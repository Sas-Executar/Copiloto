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ia-me" sheetId="1" state="visible" r:id="rId1"/>
    <sheet xmlns:r="http://schemas.openxmlformats.org/officeDocument/2006/relationships" name="01_Formulario_A00" sheetId="2" state="visible" r:id="rId2"/>
    <sheet xmlns:r="http://schemas.openxmlformats.org/officeDocument/2006/relationships" name="01_Formulario_A01" sheetId="3" state="visible" r:id="rId3"/>
    <sheet xmlns:r="http://schemas.openxmlformats.org/officeDocument/2006/relationships" name="01_Formulario_A02" sheetId="4" state="visible" r:id="rId4"/>
    <sheet xmlns:r="http://schemas.openxmlformats.org/officeDocument/2006/relationships" name="01_Formulario_A03" sheetId="5" state="visible" r:id="rId5"/>
    <sheet xmlns:r="http://schemas.openxmlformats.org/officeDocument/2006/relationships" name="01_Formulario_A04" sheetId="6" state="visible" r:id="rId6"/>
    <sheet xmlns:r="http://schemas.openxmlformats.org/officeDocument/2006/relationships" name="01_Formulario_A05" sheetId="7" state="visible" r:id="rId7"/>
    <sheet xmlns:r="http://schemas.openxmlformats.org/officeDocument/2006/relationships" name="01_Formulario_A06" sheetId="8" state="visible" r:id="rId8"/>
    <sheet xmlns:r="http://schemas.openxmlformats.org/officeDocument/2006/relationships" name="01_Formulario_A07" sheetId="9" state="visible" r:id="rId9"/>
    <sheet xmlns:r="http://schemas.openxmlformats.org/officeDocument/2006/relationships" name="01_Formulario_A08" sheetId="10" state="visible" r:id="rId10"/>
    <sheet xmlns:r="http://schemas.openxmlformats.org/officeDocument/2006/relationships" name="01_Formulario_A09" sheetId="11" state="visible" r:id="rId11"/>
    <sheet xmlns:r="http://schemas.openxmlformats.org/officeDocument/2006/relationships" name="01_Formulario_A10" sheetId="12" state="visible" r:id="rId12"/>
    <sheet xmlns:r="http://schemas.openxmlformats.org/officeDocument/2006/relationships" name="01_Formulario_A11" sheetId="13" state="visible" r:id="rId13"/>
    <sheet xmlns:r="http://schemas.openxmlformats.org/officeDocument/2006/relationships" name="01_Formulario_A12" sheetId="14" state="visible" r:id="rId14"/>
    <sheet xmlns:r="http://schemas.openxmlformats.org/officeDocument/2006/relationships" name="02_Visao_Programa" sheetId="15" state="visible" r:id="rId15"/>
    <sheet xmlns:r="http://schemas.openxmlformats.org/officeDocument/2006/relationships" name="03_Visao_Macroareas" sheetId="16" state="visible" r:id="rId16"/>
    <sheet xmlns:r="http://schemas.openxmlformats.org/officeDocument/2006/relationships" name="04_Visao_Portfolio" sheetId="17" state="visible" r:id="rId17"/>
    <sheet xmlns:r="http://schemas.openxmlformats.org/officeDocument/2006/relationships" name="05_Visao_Artefatos" sheetId="18" state="visible" r:id="rId18"/>
    <sheet xmlns:r="http://schemas.openxmlformats.org/officeDocument/2006/relationships" name="06_Visao_Dependencias" sheetId="19" state="visible" r:id="rId19"/>
    <sheet xmlns:r="http://schemas.openxmlformats.org/officeDocument/2006/relationships" name="07_Visao_Gates" sheetId="20" state="visible" r:id="rId20"/>
    <sheet xmlns:r="http://schemas.openxmlformats.org/officeDocument/2006/relationships" name="08_Visao_Documentos_Finais" sheetId="21" state="visible" r:id="rId21"/>
    <sheet xmlns:r="http://schemas.openxmlformats.org/officeDocument/2006/relationships" name="09_Indice_IDs" sheetId="22" state="visible" r:id="rId22"/>
    <sheet xmlns:r="http://schemas.openxmlformats.org/officeDocument/2006/relationships" name="10_REG_Macroareas" sheetId="23" state="visible" r:id="rId23"/>
    <sheet xmlns:r="http://schemas.openxmlformats.org/officeDocument/2006/relationships" name="11_REG_Dominios" sheetId="24" state="visible" r:id="rId24"/>
    <sheet xmlns:r="http://schemas.openxmlformats.org/officeDocument/2006/relationships" name="12_REG_Portfolio" sheetId="25" state="visible" r:id="rId25"/>
    <sheet xmlns:r="http://schemas.openxmlformats.org/officeDocument/2006/relationships" name="13_REG_Templates" sheetId="26" state="visible" r:id="rId26"/>
    <sheet xmlns:r="http://schemas.openxmlformats.org/officeDocument/2006/relationships" name="14_REG_Artefatos" sheetId="27" state="visible" r:id="rId27"/>
    <sheet xmlns:r="http://schemas.openxmlformats.org/officeDocument/2006/relationships" name="15_REG_Campos" sheetId="28" state="visible" r:id="rId28"/>
    <sheet xmlns:r="http://schemas.openxmlformats.org/officeDocument/2006/relationships" name="16_REG_Dependencias" sheetId="29" state="visible" r:id="rId29"/>
    <sheet xmlns:r="http://schemas.openxmlformats.org/officeDocument/2006/relationships" name="17_REG_Gates" sheetId="30" state="visible" r:id="rId30"/>
    <sheet xmlns:r="http://schemas.openxmlformats.org/officeDocument/2006/relationships" name="18_REG_Evidencias" sheetId="31" state="visible" r:id="rId31"/>
    <sheet xmlns:r="http://schemas.openxmlformats.org/officeDocument/2006/relationships" name="19_REG_Documentos" sheetId="32" state="visible" r:id="rId32"/>
    <sheet xmlns:r="http://schemas.openxmlformats.org/officeDocument/2006/relationships" name="20_REG_Decisoes" sheetId="33" state="visible" r:id="rId33"/>
    <sheet xmlns:r="http://schemas.openxmlformats.org/officeDocument/2006/relationships" name="21_REG_Gaps" sheetId="34" state="visible" r:id="rId34"/>
    <sheet xmlns:r="http://schemas.openxmlformats.org/officeDocument/2006/relationships" name="22_REG_Conflitos" sheetId="35" state="visible" r:id="rId35"/>
    <sheet xmlns:r="http://schemas.openxmlformats.org/officeDocument/2006/relationships" name="23_REG_Legacy_ID_Map" sheetId="36" state="visible" r:id="rId36"/>
    <sheet xmlns:r="http://schemas.openxmlformats.org/officeDocument/2006/relationships" name="24_REG_Sources" sheetId="37" state="visible" r:id="rId3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1D1D1F"/>
      <sz val="14"/>
    </font>
    <font>
      <name val="Arial"/>
      <color rgb="FF1D1D1F"/>
      <sz val="10"/>
    </font>
    <font>
      <name val="Arial"/>
      <i val="1"/>
      <color rgb="FF6E6E73"/>
      <sz val="10"/>
    </font>
    <font>
      <name val="Arial"/>
      <b val="1"/>
      <color rgb="FFFFFFFF"/>
      <sz val="11"/>
    </font>
    <font>
      <name val="Arial"/>
      <b val="1"/>
      <color rgb="FF1D1D1F"/>
      <sz val="10"/>
    </font>
    <font>
      <name val="Arial"/>
      <b val="1"/>
      <color rgb="FF0071E3"/>
      <sz val="10"/>
    </font>
    <font>
      <name val="Arial"/>
      <b val="1"/>
      <sz val="10"/>
    </font>
    <font>
      <name val="Arial"/>
      <color rgb="FF0071E3"/>
      <sz val="10"/>
    </font>
  </fonts>
  <fills count="5">
    <fill>
      <patternFill/>
    </fill>
    <fill>
      <patternFill patternType="gray125"/>
    </fill>
    <fill>
      <patternFill patternType="solid">
        <fgColor rgb="FF1D1D1F"/>
      </patternFill>
    </fill>
    <fill>
      <patternFill patternType="solid">
        <fgColor rgb="FFF5F5F7"/>
      </patternFill>
    </fill>
    <fill>
      <patternFill patternType="solid">
        <fgColor rgb="FFFFFDEB"/>
      </patternFill>
    </fill>
  </fills>
  <borders count="6">
    <border>
      <left/>
      <right/>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7" fillId="0" borderId="0" pivotButton="0" quotePrefix="0" xfId="0"/>
    <xf numFmtId="0" fontId="4" fillId="2" borderId="1" pivotButton="0" quotePrefix="0" xfId="0"/>
    <xf numFmtId="0" fontId="0" fillId="0" borderId="4" pivotButton="0" quotePrefix="0" xfId="0"/>
    <xf numFmtId="0" fontId="0" fillId="0" borderId="5" pivotButton="0" quotePrefix="0" xfId="0"/>
    <xf numFmtId="0" fontId="5" fillId="3" borderId="1" pivotButton="0" quotePrefix="0" xfId="0"/>
    <xf numFmtId="0" fontId="6" fillId="0" borderId="1" pivotButton="0" quotePrefix="0" xfId="0"/>
    <xf numFmtId="0" fontId="2" fillId="0" borderId="1" pivotButton="0" quotePrefix="0" xfId="0"/>
    <xf numFmtId="0" fontId="2" fillId="4" borderId="1" pivotButton="0" quotePrefix="0" xfId="0"/>
    <xf numFmtId="0" fontId="3" fillId="0" borderId="1" pivotButton="0" quotePrefix="0" xfId="0"/>
    <xf numFmtId="0" fontId="6" fillId="0" borderId="0" pivotButton="0" quotePrefix="0" xfId="0"/>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2"/>
  <sheetViews>
    <sheetView workbookViewId="0">
      <selection activeCell="A1" sqref="A1"/>
    </sheetView>
  </sheetViews>
  <sheetFormatPr baseColWidth="8" defaultRowHeight="15"/>
  <cols>
    <col width="115" customWidth="1" min="2" max="2"/>
  </cols>
  <sheetData>
    <row r="2">
      <c r="B2" s="1" t="inlineStr">
        <is>
          <t>EXECUTAR — HUB Control Plane</t>
        </is>
      </c>
    </row>
    <row r="4">
      <c r="B4" s="2" t="inlineStr">
        <is>
          <t>Fonte primária de verdade (Release 1): esta planilha Google Sheets. O GitHub é espelho estrutural versionado (Release 2).</t>
        </is>
      </c>
    </row>
    <row r="5">
      <c r="B5" s="2" t="inlineStr"/>
    </row>
    <row r="6">
      <c r="B6" s="2" t="inlineStr">
        <is>
          <t>COMO PREENCHER:</t>
        </is>
      </c>
    </row>
    <row r="7">
      <c r="B7" s="2" t="inlineStr">
        <is>
          <t>1. As abas 01_Formulario_&lt;MACROAREA_ID&gt; são a ÚNICA superfície de preenchimento humano.</t>
        </is>
      </c>
    </row>
    <row r="8">
      <c r="B8" s="2" t="inlineStr">
        <is>
          <t>2. A coluna 'Resposta' (fill amarelo-claro) é a ÚNICA célula editável em toda a planilha.</t>
        </is>
      </c>
    </row>
    <row r="9">
      <c r="B9" s="2" t="inlineStr">
        <is>
          <t>3. Todas as demais abas (02–09) são saídas derivadas — não editar diretamente.</t>
        </is>
      </c>
    </row>
    <row r="10">
      <c r="B10" s="2" t="inlineStr">
        <is>
          <t>4. As abas 10–24 (REG_*) são o registro normalizado — fonte estrutural, não editar diretamente.</t>
        </is>
      </c>
    </row>
    <row r="11">
      <c r="B11" s="2" t="inlineStr"/>
    </row>
    <row r="12">
      <c r="B12" s="2" t="inlineStr">
        <is>
          <t>CONVENÇÃO DE COR:</t>
        </is>
      </c>
    </row>
    <row r="13">
      <c r="B13" s="3" t="inlineStr">
        <is>
          <t xml:space="preserve">  Preto + texto branco  = cabeçalho de domínio (estrutura)</t>
        </is>
      </c>
    </row>
    <row r="14">
      <c r="B14" s="3" t="inlineStr">
        <is>
          <t xml:space="preserve">  Cinza claro            = sub-cabeçalho de artefato</t>
        </is>
      </c>
    </row>
    <row r="15">
      <c r="B15" s="3" t="inlineStr">
        <is>
          <t xml:space="preserve">  Amarelo claro (fill)   = input humano editável (só coluna Resposta)</t>
        </is>
      </c>
    </row>
    <row r="16">
      <c r="B16" s="3" t="inlineStr">
        <is>
          <t xml:space="preserve">  Azul (texto)            = fórmula / referência viva a outra aba</t>
        </is>
      </c>
    </row>
    <row r="17">
      <c r="B17" s="3" t="inlineStr">
        <is>
          <t xml:space="preserve">  Cinza (texto, itálico)  = exemplo / nota secundária</t>
        </is>
      </c>
    </row>
    <row r="18">
      <c r="B18" s="2" t="inlineStr"/>
    </row>
    <row r="19">
      <c r="B19" s="2" t="inlineStr">
        <is>
          <t>HIERARQUIA: PROGRAMA → MACROÁREAS → DOMÍNIOS ↕ PORTFÓLIO → ARTEFATOS → CAMPOS → DEPENDÊNCIAS → GATES → DOCUMENTOS FINAIS</t>
        </is>
      </c>
    </row>
    <row r="20">
      <c r="B20" s="2" t="inlineStr"/>
    </row>
    <row r="21">
      <c r="B21" s="2" t="inlineStr">
        <is>
          <t>schema_version: 1.0.0 | ADR: ADR-EXECUTAR-HUB-001</t>
        </is>
      </c>
    </row>
    <row r="22">
      <c r="B22" s="3" t="inlineStr">
        <is>
          <t>Fontes: EXECUTAR_projetosaasentrypoint_EXPANDIDO.xlsx (referência de UX), EXECUTAR_CHECKLIST_D01-D23_GRANULAR.yaml, Progama_Master_index.docx, ecossistema_operacional.yaml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G327"/>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COUNTA(D7:D328)&amp;" / 307"</f>
        <v/>
      </c>
    </row>
    <row r="4">
      <c r="A4" s="5" t="inlineStr">
        <is>
          <t>A00 — Governança, Estratégia e Gestão</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D0 — Pmbook Governança e Operação</t>
        </is>
      </c>
      <c r="B6" s="6" t="n"/>
      <c r="C6" s="6" t="n"/>
      <c r="D6" s="6" t="n"/>
      <c r="E6" s="7" t="n"/>
    </row>
    <row r="7">
      <c r="A7" s="8" t="inlineStr">
        <is>
          <t>Domínio D01 — Gestão Empresarial</t>
        </is>
      </c>
      <c r="B7" s="6" t="n"/>
      <c r="C7" s="6" t="n"/>
      <c r="D7" s="6" t="n"/>
      <c r="E7" s="7" t="n"/>
    </row>
    <row r="8">
      <c r="A8" s="8" t="inlineStr">
        <is>
          <t>Artefato D01-DOC-DDE-001 — Documento de Direção Empresarial</t>
        </is>
      </c>
      <c r="B8" s="6" t="n"/>
      <c r="C8" s="6" t="n"/>
      <c r="D8" s="6" t="n"/>
      <c r="E8" s="7" t="n"/>
    </row>
    <row r="9">
      <c r="A9" s="9" t="inlineStr">
        <is>
          <t>D01-DOC-DDE-001.IDENTITY.NOME_DO_ECOSSISTEMA</t>
        </is>
      </c>
      <c r="B9" s="10" t="inlineStr">
        <is>
          <t>nome_do_ecossistema</t>
        </is>
      </c>
      <c r="C9" s="10" t="inlineStr">
        <is>
          <t>Definir, validar e manter: Nome Do Ecossistema</t>
        </is>
      </c>
      <c r="D9" s="11" t="n"/>
      <c r="E9" s="12" t="inlineStr">
        <is>
          <t>alta</t>
        </is>
      </c>
    </row>
    <row r="10">
      <c r="A10" s="9" t="inlineStr">
        <is>
          <t>D01-DOC-DDE-001.IDENTITY.DESCRICAO_EXECUTIVA</t>
        </is>
      </c>
      <c r="B10" s="10" t="inlineStr">
        <is>
          <t>descricao_executiva</t>
        </is>
      </c>
      <c r="C10" s="10" t="inlineStr">
        <is>
          <t>Definir, validar e manter: Descricao Executiva</t>
        </is>
      </c>
      <c r="D10" s="11" t="n"/>
      <c r="E10" s="12" t="inlineStr">
        <is>
          <t>baixa</t>
        </is>
      </c>
    </row>
    <row r="11">
      <c r="A11" s="9" t="inlineStr">
        <is>
          <t>D01-DOC-DDE-001.IDENTITY.CONTEXTO</t>
        </is>
      </c>
      <c r="B11" s="10" t="inlineStr">
        <is>
          <t>contexto</t>
        </is>
      </c>
      <c r="C11" s="10" t="inlineStr">
        <is>
          <t>Definir, validar e manter: Contexto</t>
        </is>
      </c>
      <c r="D11" s="11" t="n"/>
      <c r="E11" s="12" t="inlineStr">
        <is>
          <t>baixa</t>
        </is>
      </c>
    </row>
    <row r="12">
      <c r="A12" s="9" t="inlineStr">
        <is>
          <t>D01-DOC-DDE-001.IDENTITY.RAZAO_DE_EXISTENCIA</t>
        </is>
      </c>
      <c r="B12" s="10" t="inlineStr">
        <is>
          <t>razao_de_existencia</t>
        </is>
      </c>
      <c r="C12" s="10" t="inlineStr">
        <is>
          <t>Definir, validar e manter: Razao De Existencia</t>
        </is>
      </c>
      <c r="D12" s="11" t="n"/>
      <c r="E12" s="12" t="inlineStr">
        <is>
          <t>baixa</t>
        </is>
      </c>
    </row>
    <row r="13">
      <c r="A13" s="9" t="inlineStr">
        <is>
          <t>D01-DOC-DDE-001.IDENTITY.FASE_ATUAL</t>
        </is>
      </c>
      <c r="B13" s="10" t="inlineStr">
        <is>
          <t>fase_atual</t>
        </is>
      </c>
      <c r="C13" s="10" t="inlineStr">
        <is>
          <t>Definir, validar e manter: Fase Atual</t>
        </is>
      </c>
      <c r="D13" s="11" t="n"/>
      <c r="E13" s="12" t="inlineStr">
        <is>
          <t>baixa</t>
        </is>
      </c>
    </row>
    <row r="14">
      <c r="A14" s="9" t="inlineStr">
        <is>
          <t>D01-DOC-DDE-001.PROBLEM_AND_OPPORTUNITY.PROBLEMA_CENTRAL</t>
        </is>
      </c>
      <c r="B14" s="10" t="inlineStr">
        <is>
          <t>problema_central</t>
        </is>
      </c>
      <c r="C14" s="10" t="inlineStr">
        <is>
          <t>Definir, validar e manter: Problema Central</t>
        </is>
      </c>
      <c r="D14" s="11" t="n"/>
      <c r="E14" s="12" t="inlineStr">
        <is>
          <t>baixa</t>
        </is>
      </c>
    </row>
    <row r="15">
      <c r="A15" s="9" t="inlineStr">
        <is>
          <t>D01-DOC-DDE-001.PROBLEM_AND_OPPORTUNITY.PROBLEMAS_SECUNDARIOS</t>
        </is>
      </c>
      <c r="B15" s="10" t="inlineStr">
        <is>
          <t>problemas_secundarios</t>
        </is>
      </c>
      <c r="C15" s="10" t="inlineStr">
        <is>
          <t>Definir, validar e manter: Problemas Secundarios</t>
        </is>
      </c>
      <c r="D15" s="11" t="n"/>
      <c r="E15" s="12" t="inlineStr">
        <is>
          <t>baixa</t>
        </is>
      </c>
    </row>
    <row r="16">
      <c r="A16" s="9" t="inlineStr">
        <is>
          <t>D01-DOC-DDE-001.PROBLEM_AND_OPPORTUNITY.OPORTUNIDADE</t>
        </is>
      </c>
      <c r="B16" s="10" t="inlineStr">
        <is>
          <t>oportunidade</t>
        </is>
      </c>
      <c r="C16" s="10" t="inlineStr">
        <is>
          <t>Definir, validar e manter: Oportunidade</t>
        </is>
      </c>
      <c r="D16" s="11" t="n"/>
      <c r="E16" s="12" t="inlineStr">
        <is>
          <t>baixa</t>
        </is>
      </c>
    </row>
    <row r="17">
      <c r="A17" s="9" t="inlineStr">
        <is>
          <t>D01-DOC-DDE-001.PROBLEM_AND_OPPORTUNITY.EVIDENCIAS_DO_PROBLEMA</t>
        </is>
      </c>
      <c r="B17" s="10" t="inlineStr">
        <is>
          <t>evidencias_do_problema</t>
        </is>
      </c>
      <c r="C17" s="10" t="inlineStr">
        <is>
          <t>Definir, validar e manter: Evidencias Do Problema</t>
        </is>
      </c>
      <c r="D17" s="11" t="n"/>
      <c r="E17" s="12" t="inlineStr">
        <is>
          <t>baixa</t>
        </is>
      </c>
    </row>
    <row r="18">
      <c r="A18" s="9" t="inlineStr">
        <is>
          <t>D01-DOC-DDE-001.PURPOSE.PROPOSITO</t>
        </is>
      </c>
      <c r="B18" s="10" t="inlineStr">
        <is>
          <t>proposito</t>
        </is>
      </c>
      <c r="C18" s="10" t="inlineStr">
        <is>
          <t>Definir, validar e manter: Proposito</t>
        </is>
      </c>
      <c r="D18" s="11" t="n"/>
      <c r="E18" s="12" t="inlineStr">
        <is>
          <t>baixa</t>
        </is>
      </c>
    </row>
    <row r="19">
      <c r="A19" s="9" t="inlineStr">
        <is>
          <t>D01-DOC-DDE-001.PURPOSE.MISSAO</t>
        </is>
      </c>
      <c r="B19" s="10" t="inlineStr">
        <is>
          <t>missao</t>
        </is>
      </c>
      <c r="C19" s="10" t="inlineStr">
        <is>
          <t>Definir, validar e manter: Missao</t>
        </is>
      </c>
      <c r="D19" s="11" t="n"/>
      <c r="E19" s="12" t="inlineStr">
        <is>
          <t>baixa</t>
        </is>
      </c>
    </row>
    <row r="20">
      <c r="A20" s="9" t="inlineStr">
        <is>
          <t>D01-DOC-DDE-001.PURPOSE.VISAO</t>
        </is>
      </c>
      <c r="B20" s="10" t="inlineStr">
        <is>
          <t>visao</t>
        </is>
      </c>
      <c r="C20" s="10" t="inlineStr">
        <is>
          <t>Definir, validar e manter: Visao</t>
        </is>
      </c>
      <c r="D20" s="11" t="n"/>
      <c r="E20" s="12" t="inlineStr">
        <is>
          <t>baixa</t>
        </is>
      </c>
    </row>
    <row r="21">
      <c r="A21" s="9" t="inlineStr">
        <is>
          <t>D01-DOC-DDE-001.PURPOSE.PRINCIPIOS</t>
        </is>
      </c>
      <c r="B21" s="10" t="inlineStr">
        <is>
          <t>principios</t>
        </is>
      </c>
      <c r="C21" s="10" t="inlineStr">
        <is>
          <t>Definir, validar e manter: Principios</t>
        </is>
      </c>
      <c r="D21" s="11" t="n"/>
      <c r="E21" s="12" t="inlineStr">
        <is>
          <t>alta</t>
        </is>
      </c>
    </row>
    <row r="22">
      <c r="A22" s="9" t="inlineStr">
        <is>
          <t>D01-DOC-DDE-001.PURPOSE.VALORES</t>
        </is>
      </c>
      <c r="B22" s="10" t="inlineStr">
        <is>
          <t>valores</t>
        </is>
      </c>
      <c r="C22" s="10" t="inlineStr">
        <is>
          <t>Definir, validar e manter: Valores</t>
        </is>
      </c>
      <c r="D22" s="11" t="n"/>
      <c r="E22" s="12" t="inlineStr">
        <is>
          <t>baixa</t>
        </is>
      </c>
    </row>
    <row r="23">
      <c r="A23" s="9" t="inlineStr">
        <is>
          <t>D01-DOC-DDE-001.STRATEGIC_DIRECTION.OBJETIVOS_ESTRATEGICOS</t>
        </is>
      </c>
      <c r="B23" s="10" t="inlineStr">
        <is>
          <t>objetivos_estrategicos</t>
        </is>
      </c>
      <c r="C23" s="10" t="inlineStr">
        <is>
          <t>Definir, validar e manter: Objetivos Estrategicos</t>
        </is>
      </c>
      <c r="D23" s="11" t="n"/>
      <c r="E23" s="12" t="inlineStr">
        <is>
          <t>alta</t>
        </is>
      </c>
    </row>
    <row r="24">
      <c r="A24" s="9" t="inlineStr">
        <is>
          <t>D01-DOC-DDE-001.STRATEGIC_DIRECTION.RESULTADOS_ESPERADOS</t>
        </is>
      </c>
      <c r="B24" s="10" t="inlineStr">
        <is>
          <t>resultados_esperados</t>
        </is>
      </c>
      <c r="C24" s="10" t="inlineStr">
        <is>
          <t>Definir, validar e manter: Resultados Esperados</t>
        </is>
      </c>
      <c r="D24" s="11" t="n"/>
      <c r="E24" s="12" t="inlineStr">
        <is>
          <t>baixa</t>
        </is>
      </c>
    </row>
    <row r="25">
      <c r="A25" s="9" t="inlineStr">
        <is>
          <t>D01-DOC-DDE-001.STRATEGIC_DIRECTION.PRIORIDADES</t>
        </is>
      </c>
      <c r="B25" s="10" t="inlineStr">
        <is>
          <t>prioridades</t>
        </is>
      </c>
      <c r="C25" s="10" t="inlineStr">
        <is>
          <t>Definir, validar e manter: Prioridades</t>
        </is>
      </c>
      <c r="D25" s="11" t="n"/>
      <c r="E25" s="12" t="inlineStr">
        <is>
          <t>media</t>
        </is>
      </c>
    </row>
    <row r="26">
      <c r="A26" s="9" t="inlineStr">
        <is>
          <t>D01-DOC-DDE-001.STRATEGIC_DIRECTION.NAO_OBJETIVOS</t>
        </is>
      </c>
      <c r="B26" s="10" t="inlineStr">
        <is>
          <t>nao_objetivos</t>
        </is>
      </c>
      <c r="C26" s="10" t="inlineStr">
        <is>
          <t>Definir, validar e manter: Nao Objetivos</t>
        </is>
      </c>
      <c r="D26" s="11" t="n"/>
      <c r="E26" s="12" t="inlineStr">
        <is>
          <t>baixa</t>
        </is>
      </c>
    </row>
    <row r="27">
      <c r="A27" s="9" t="inlineStr">
        <is>
          <t>D01-DOC-DDE-001.STRATEGIC_DIRECTION.HORIZONTE_TEMPORAL</t>
        </is>
      </c>
      <c r="B27" s="10" t="inlineStr">
        <is>
          <t>horizonte_temporal</t>
        </is>
      </c>
      <c r="C27" s="10" t="inlineStr">
        <is>
          <t>Definir, validar e manter: Horizonte Temporal</t>
        </is>
      </c>
      <c r="D27" s="11" t="n"/>
      <c r="E27" s="12" t="inlineStr">
        <is>
          <t>baixa</t>
        </is>
      </c>
    </row>
    <row r="28">
      <c r="A28" s="9" t="inlineStr">
        <is>
          <t>D01-DOC-DDE-001.ECOSYSTEM.PRODUTOS</t>
        </is>
      </c>
      <c r="B28" s="10" t="inlineStr">
        <is>
          <t>produtos</t>
        </is>
      </c>
      <c r="C28" s="10" t="inlineStr">
        <is>
          <t>Definir, validar e manter: Produtos</t>
        </is>
      </c>
      <c r="D28" s="11" t="n"/>
      <c r="E28" s="12" t="inlineStr">
        <is>
          <t>alta</t>
        </is>
      </c>
    </row>
    <row r="29">
      <c r="A29" s="9" t="inlineStr">
        <is>
          <t>D01-DOC-DDE-001.ECOSYSTEM.SERVICOS</t>
        </is>
      </c>
      <c r="B29" s="10" t="inlineStr">
        <is>
          <t>servicos</t>
        </is>
      </c>
      <c r="C29" s="10" t="inlineStr">
        <is>
          <t>Definir, validar e manter: Servicos</t>
        </is>
      </c>
      <c r="D29" s="11" t="n"/>
      <c r="E29" s="12" t="inlineStr">
        <is>
          <t>baixa</t>
        </is>
      </c>
    </row>
    <row r="30">
      <c r="A30" s="9" t="inlineStr">
        <is>
          <t>D01-DOC-DDE-001.ECOSYSTEM.MARCAS</t>
        </is>
      </c>
      <c r="B30" s="10" t="inlineStr">
        <is>
          <t>marcas</t>
        </is>
      </c>
      <c r="C30" s="10" t="inlineStr">
        <is>
          <t>Definir, validar e manter: Marcas</t>
        </is>
      </c>
      <c r="D30" s="11" t="n"/>
      <c r="E30" s="12" t="inlineStr">
        <is>
          <t>baixa</t>
        </is>
      </c>
    </row>
    <row r="31">
      <c r="A31" s="9" t="inlineStr">
        <is>
          <t>D01-DOC-DDE-001.ECOSYSTEM.AGENTES</t>
        </is>
      </c>
      <c r="B31" s="10" t="inlineStr">
        <is>
          <t>agentes</t>
        </is>
      </c>
      <c r="C31" s="10" t="inlineStr">
        <is>
          <t>Definir, validar e manter: Agentes</t>
        </is>
      </c>
      <c r="D31" s="11" t="n"/>
      <c r="E31" s="12" t="inlineStr">
        <is>
          <t>baixa</t>
        </is>
      </c>
    </row>
    <row r="32">
      <c r="A32" s="9" t="inlineStr">
        <is>
          <t>D01-DOC-DDE-001.ECOSYSTEM.PLATAFORMAS</t>
        </is>
      </c>
      <c r="B32" s="10" t="inlineStr">
        <is>
          <t>plataformas</t>
        </is>
      </c>
      <c r="C32" s="10" t="inlineStr">
        <is>
          <t>Definir, validar e manter: Plataformas</t>
        </is>
      </c>
      <c r="D32" s="11" t="n"/>
      <c r="E32" s="12" t="inlineStr">
        <is>
          <t>baixa</t>
        </is>
      </c>
    </row>
    <row r="33">
      <c r="A33" s="9" t="inlineStr">
        <is>
          <t>D01-DOC-DDE-001.ECOSYSTEM.UNIDADES_DE_NEGOCIO</t>
        </is>
      </c>
      <c r="B33" s="10" t="inlineStr">
        <is>
          <t>unidades_de_negocio</t>
        </is>
      </c>
      <c r="C33" s="10" t="inlineStr">
        <is>
          <t>Definir, validar e manter: Unidades De Negocio</t>
        </is>
      </c>
      <c r="D33" s="11" t="n"/>
      <c r="E33" s="12" t="inlineStr">
        <is>
          <t>baixa</t>
        </is>
      </c>
    </row>
    <row r="34">
      <c r="A34" s="9" t="inlineStr">
        <is>
          <t>D01-DOC-DDE-001.GOVERNANCE.MODELO_DE_GOVERNANCA</t>
        </is>
      </c>
      <c r="B34" s="10" t="inlineStr">
        <is>
          <t>modelo_de_governanca</t>
        </is>
      </c>
      <c r="C34" s="10" t="inlineStr">
        <is>
          <t>Definir, validar e manter: Modelo De Governanca</t>
        </is>
      </c>
      <c r="D34" s="11" t="n"/>
      <c r="E34" s="12" t="inlineStr">
        <is>
          <t>baixa</t>
        </is>
      </c>
    </row>
    <row r="35">
      <c r="A35" s="9" t="inlineStr">
        <is>
          <t>D01-DOC-DDE-001.GOVERNANCE.PAPEIS_DECISORIOS</t>
        </is>
      </c>
      <c r="B35" s="10" t="inlineStr">
        <is>
          <t>papeis_decisorios</t>
        </is>
      </c>
      <c r="C35" s="10" t="inlineStr">
        <is>
          <t>Definir, validar e manter: Papeis Decisorios</t>
        </is>
      </c>
      <c r="D35" s="11" t="n"/>
      <c r="E35" s="12" t="inlineStr">
        <is>
          <t>baixa</t>
        </is>
      </c>
    </row>
    <row r="36">
      <c r="A36" s="9" t="inlineStr">
        <is>
          <t>D01-DOC-DDE-001.GOVERNANCE.DIREITOS_DE_DECISAO</t>
        </is>
      </c>
      <c r="B36" s="10" t="inlineStr">
        <is>
          <t>direitos_de_decisao</t>
        </is>
      </c>
      <c r="C36" s="10" t="inlineStr">
        <is>
          <t>Definir, validar e manter: Direitos De Decisao</t>
        </is>
      </c>
      <c r="D36" s="11" t="n"/>
      <c r="E36" s="12" t="inlineStr">
        <is>
          <t>baixa</t>
        </is>
      </c>
    </row>
    <row r="37">
      <c r="A37" s="9" t="inlineStr">
        <is>
          <t>D01-DOC-DDE-001.GOVERNANCE.GATES</t>
        </is>
      </c>
      <c r="B37" s="10" t="inlineStr">
        <is>
          <t>gates</t>
        </is>
      </c>
      <c r="C37" s="10" t="inlineStr">
        <is>
          <t>Definir, validar e manter: Gates</t>
        </is>
      </c>
      <c r="D37" s="11" t="n"/>
      <c r="E37" s="12" t="inlineStr">
        <is>
          <t>baixa</t>
        </is>
      </c>
    </row>
    <row r="38">
      <c r="A38" s="9" t="inlineStr">
        <is>
          <t>D01-DOC-DDE-001.GOVERNANCE.MECANISMOS_DE_CONTROLE</t>
        </is>
      </c>
      <c r="B38" s="10" t="inlineStr">
        <is>
          <t>mecanismos_de_controle</t>
        </is>
      </c>
      <c r="C38" s="10" t="inlineStr">
        <is>
          <t>Definir, validar e manter: Mecanismos De Controle</t>
        </is>
      </c>
      <c r="D38" s="11" t="n"/>
      <c r="E38" s="12" t="inlineStr">
        <is>
          <t>alta</t>
        </is>
      </c>
    </row>
    <row r="39">
      <c r="A39" s="9" t="inlineStr">
        <is>
          <t>D01-DOC-DDE-001.STAKEHOLDERS.STAKEHOLDERS</t>
        </is>
      </c>
      <c r="B39" s="10" t="inlineStr">
        <is>
          <t>stakeholders</t>
        </is>
      </c>
      <c r="C39" s="10" t="inlineStr">
        <is>
          <t>Definir, validar e manter: Stakeholders</t>
        </is>
      </c>
      <c r="D39" s="11" t="n"/>
      <c r="E39" s="12" t="inlineStr">
        <is>
          <t>baixa</t>
        </is>
      </c>
    </row>
    <row r="40">
      <c r="A40" s="9" t="inlineStr">
        <is>
          <t>D01-DOC-DDE-001.STAKEHOLDERS.INTERESSE</t>
        </is>
      </c>
      <c r="B40" s="10" t="inlineStr">
        <is>
          <t>interesse</t>
        </is>
      </c>
      <c r="C40" s="10" t="inlineStr">
        <is>
          <t>Definir, validar e manter: Interesse</t>
        </is>
      </c>
      <c r="D40" s="11" t="n"/>
      <c r="E40" s="12" t="inlineStr">
        <is>
          <t>baixa</t>
        </is>
      </c>
    </row>
    <row r="41">
      <c r="A41" s="9" t="inlineStr">
        <is>
          <t>D01-DOC-DDE-001.STAKEHOLDERS.INFLUENCIA</t>
        </is>
      </c>
      <c r="B41" s="10" t="inlineStr">
        <is>
          <t>influencia</t>
        </is>
      </c>
      <c r="C41" s="10" t="inlineStr">
        <is>
          <t>Definir, validar e manter: Influencia</t>
        </is>
      </c>
      <c r="D41" s="11" t="n"/>
      <c r="E41" s="12" t="inlineStr">
        <is>
          <t>baixa</t>
        </is>
      </c>
    </row>
    <row r="42">
      <c r="A42" s="9" t="inlineStr">
        <is>
          <t>D01-DOC-DDE-001.STAKEHOLDERS.RELACIONAMENTO</t>
        </is>
      </c>
      <c r="B42" s="10" t="inlineStr">
        <is>
          <t>relacionamento</t>
        </is>
      </c>
      <c r="C42" s="10" t="inlineStr">
        <is>
          <t>Definir, validar e manter: Relacionamento</t>
        </is>
      </c>
      <c r="D42" s="11" t="n"/>
      <c r="E42" s="12" t="inlineStr">
        <is>
          <t>baixa</t>
        </is>
      </c>
    </row>
    <row r="43">
      <c r="A43" s="9" t="inlineStr">
        <is>
          <t>D01-DOC-DDE-001.STRATEGIC_DEPENDENCIES.DEPENDENCIAS</t>
        </is>
      </c>
      <c r="B43" s="10" t="inlineStr">
        <is>
          <t>dependencias</t>
        </is>
      </c>
      <c r="C43" s="10" t="inlineStr">
        <is>
          <t>Definir, validar e manter: Dependencias</t>
        </is>
      </c>
      <c r="D43" s="11" t="n"/>
      <c r="E43" s="12" t="inlineStr">
        <is>
          <t>baixa</t>
        </is>
      </c>
    </row>
    <row r="44">
      <c r="A44" s="9" t="inlineStr">
        <is>
          <t>D01-DOC-DDE-001.STRATEGIC_DEPENDENCIES.RESTRICOES</t>
        </is>
      </c>
      <c r="B44" s="10" t="inlineStr">
        <is>
          <t>restricoes</t>
        </is>
      </c>
      <c r="C44" s="10" t="inlineStr">
        <is>
          <t>Definir, validar e manter: Restricoes</t>
        </is>
      </c>
      <c r="D44" s="11" t="n"/>
      <c r="E44" s="12" t="inlineStr">
        <is>
          <t>baixa</t>
        </is>
      </c>
    </row>
    <row r="45">
      <c r="A45" s="9" t="inlineStr">
        <is>
          <t>D01-DOC-DDE-001.STRATEGIC_DEPENDENCIES.PREMISSAS</t>
        </is>
      </c>
      <c r="B45" s="10" t="inlineStr">
        <is>
          <t>premissas</t>
        </is>
      </c>
      <c r="C45" s="10" t="inlineStr">
        <is>
          <t>Definir, validar e manter: Premissas</t>
        </is>
      </c>
      <c r="D45" s="11" t="n"/>
      <c r="E45" s="12" t="inlineStr">
        <is>
          <t>baixa</t>
        </is>
      </c>
    </row>
    <row r="46">
      <c r="A46" s="9" t="inlineStr">
        <is>
          <t>D01-DOC-DDE-001.RISKS.RISCOS_ESTRATEGICOS</t>
        </is>
      </c>
      <c r="B46" s="10" t="inlineStr">
        <is>
          <t>riscos_estrategicos</t>
        </is>
      </c>
      <c r="C46" s="10" t="inlineStr">
        <is>
          <t>Definir, validar e manter: Riscos Estrategicos</t>
        </is>
      </c>
      <c r="D46" s="11" t="n"/>
      <c r="E46" s="12" t="inlineStr">
        <is>
          <t>baixa</t>
        </is>
      </c>
    </row>
    <row r="47">
      <c r="A47" s="9" t="inlineStr">
        <is>
          <t>D01-DOC-DDE-001.RISKS.MITIGACOES_EXISTENTES</t>
        </is>
      </c>
      <c r="B47" s="10" t="inlineStr">
        <is>
          <t>mitigacoes_existentes</t>
        </is>
      </c>
      <c r="C47" s="10" t="inlineStr">
        <is>
          <t>Definir, validar e manter: Mitigacoes Existentes</t>
        </is>
      </c>
      <c r="D47" s="11" t="n"/>
      <c r="E47" s="12" t="inlineStr">
        <is>
          <t>baixa</t>
        </is>
      </c>
    </row>
    <row r="48">
      <c r="A48" s="9" t="inlineStr">
        <is>
          <t>D01-DOC-DDE-001.MEASUREMENT.INDICADORES</t>
        </is>
      </c>
      <c r="B48" s="10" t="inlineStr">
        <is>
          <t>indicadores</t>
        </is>
      </c>
      <c r="C48" s="10" t="inlineStr">
        <is>
          <t>Definir, validar e manter: Indicadores</t>
        </is>
      </c>
      <c r="D48" s="11" t="n"/>
      <c r="E48" s="12" t="inlineStr">
        <is>
          <t>baixa</t>
        </is>
      </c>
    </row>
    <row r="49">
      <c r="A49" s="9" t="inlineStr">
        <is>
          <t>D01-DOC-DDE-001.MEASUREMENT.METAS</t>
        </is>
      </c>
      <c r="B49" s="10" t="inlineStr">
        <is>
          <t>metas</t>
        </is>
      </c>
      <c r="C49" s="10" t="inlineStr">
        <is>
          <t>Definir, validar e manter: Metas</t>
        </is>
      </c>
      <c r="D49" s="11" t="n"/>
      <c r="E49" s="12" t="inlineStr">
        <is>
          <t>baixa</t>
        </is>
      </c>
    </row>
    <row r="50">
      <c r="A50" s="9" t="inlineStr">
        <is>
          <t>D01-DOC-DDE-001.MEASUREMENT.CRITERIOS_DE_SUCESSO</t>
        </is>
      </c>
      <c r="B50" s="10" t="inlineStr">
        <is>
          <t>criterios_de_sucesso</t>
        </is>
      </c>
      <c r="C50" s="10" t="inlineStr">
        <is>
          <t>Definir, validar e manter: Criterios De Sucesso</t>
        </is>
      </c>
      <c r="D50" s="11" t="n"/>
      <c r="E50" s="12" t="inlineStr">
        <is>
          <t>baixa</t>
        </is>
      </c>
    </row>
    <row r="51">
      <c r="A51" s="9" t="inlineStr">
        <is>
          <t>D01-DOC-DDE-001.DECISIONS.DECISOES_VIGENTES</t>
        </is>
      </c>
      <c r="B51" s="10" t="inlineStr">
        <is>
          <t>decisoes_vigentes</t>
        </is>
      </c>
      <c r="C51" s="10" t="inlineStr">
        <is>
          <t>Definir, validar e manter: Decisoes Vigentes</t>
        </is>
      </c>
      <c r="D51" s="11" t="n"/>
      <c r="E51" s="12" t="inlineStr">
        <is>
          <t>baixa</t>
        </is>
      </c>
    </row>
    <row r="52">
      <c r="A52" s="9" t="inlineStr">
        <is>
          <t>D01-DOC-DDE-001.DECISIONS.DECISOES_PENDENTES</t>
        </is>
      </c>
      <c r="B52" s="10" t="inlineStr">
        <is>
          <t>decisoes_pendentes</t>
        </is>
      </c>
      <c r="C52" s="10" t="inlineStr">
        <is>
          <t>Definir, validar e manter: Decisoes Pendentes</t>
        </is>
      </c>
      <c r="D52" s="11" t="n"/>
      <c r="E52" s="12" t="inlineStr">
        <is>
          <t>baixa</t>
        </is>
      </c>
    </row>
    <row r="53">
      <c r="A53" s="8" t="inlineStr">
        <is>
          <t>Artefato D01-DOC-TAP-001 — Termo de Abertura do Ecossistema</t>
        </is>
      </c>
      <c r="B53" s="6" t="n"/>
      <c r="C53" s="6" t="n"/>
      <c r="D53" s="6" t="n"/>
      <c r="E53" s="7" t="n"/>
    </row>
    <row r="54">
      <c r="A54" s="9" t="inlineStr">
        <is>
          <t>D01-DOC-TAP-001.IDENTIFICATION.TITULO</t>
        </is>
      </c>
      <c r="B54" s="10" t="inlineStr">
        <is>
          <t>titulo</t>
        </is>
      </c>
      <c r="C54" s="10" t="inlineStr">
        <is>
          <t>Definir, validar e manter: Titulo</t>
        </is>
      </c>
      <c r="D54" s="11" t="n"/>
      <c r="E54" s="12" t="inlineStr">
        <is>
          <t>baixa</t>
        </is>
      </c>
    </row>
    <row r="55">
      <c r="A55" s="9" t="inlineStr">
        <is>
          <t>D01-DOC-TAP-001.IDENTIFICATION.JUSTIFICATIVA</t>
        </is>
      </c>
      <c r="B55" s="10" t="inlineStr">
        <is>
          <t>justificativa</t>
        </is>
      </c>
      <c r="C55" s="10" t="inlineStr">
        <is>
          <t>Definir, validar e manter: Justificativa</t>
        </is>
      </c>
      <c r="D55" s="11" t="n"/>
      <c r="E55" s="12" t="inlineStr">
        <is>
          <t>baixa</t>
        </is>
      </c>
    </row>
    <row r="56">
      <c r="A56" s="9" t="inlineStr">
        <is>
          <t>D01-DOC-TAP-001.IDENTIFICATION.CONTEXTO</t>
        </is>
      </c>
      <c r="B56" s="10" t="inlineStr">
        <is>
          <t>contexto</t>
        </is>
      </c>
      <c r="C56" s="10" t="inlineStr">
        <is>
          <t>Definir, validar e manter: Contexto</t>
        </is>
      </c>
      <c r="D56" s="11" t="n"/>
      <c r="E56" s="12" t="inlineStr">
        <is>
          <t>baixa</t>
        </is>
      </c>
    </row>
    <row r="57">
      <c r="A57" s="9" t="inlineStr">
        <is>
          <t>D01-DOC-TAP-001.IDENTIFICATION.SPONSOR</t>
        </is>
      </c>
      <c r="B57" s="10" t="inlineStr">
        <is>
          <t>sponsor</t>
        </is>
      </c>
      <c r="C57" s="10" t="inlineStr">
        <is>
          <t>Definir, validar e manter: Sponsor</t>
        </is>
      </c>
      <c r="D57" s="11" t="n"/>
      <c r="E57" s="12" t="inlineStr">
        <is>
          <t>baixa</t>
        </is>
      </c>
    </row>
    <row r="58">
      <c r="A58" s="9" t="inlineStr">
        <is>
          <t>D01-DOC-TAP-001.IDENTIFICATION.OWNER</t>
        </is>
      </c>
      <c r="B58" s="10" t="inlineStr">
        <is>
          <t>owner</t>
        </is>
      </c>
      <c r="C58" s="10" t="inlineStr">
        <is>
          <t>Definir, validar e manter: Owner</t>
        </is>
      </c>
      <c r="D58" s="11" t="n"/>
      <c r="E58" s="12" t="inlineStr">
        <is>
          <t>baixa</t>
        </is>
      </c>
    </row>
    <row r="59">
      <c r="A59" s="9" t="inlineStr">
        <is>
          <t>D01-DOC-TAP-001.OBJECTIVE.OBJETIVO_GERAL</t>
        </is>
      </c>
      <c r="B59" s="10" t="inlineStr">
        <is>
          <t>objetivo_geral</t>
        </is>
      </c>
      <c r="C59" s="10" t="inlineStr">
        <is>
          <t>Definir, validar e manter: Objetivo Geral</t>
        </is>
      </c>
      <c r="D59" s="11" t="n"/>
      <c r="E59" s="12" t="inlineStr">
        <is>
          <t>baixa</t>
        </is>
      </c>
    </row>
    <row r="60">
      <c r="A60" s="9" t="inlineStr">
        <is>
          <t>D01-DOC-TAP-001.OBJECTIVE.OBJETIVOS_ESPECIFICOS</t>
        </is>
      </c>
      <c r="B60" s="10" t="inlineStr">
        <is>
          <t>objetivos_especificos</t>
        </is>
      </c>
      <c r="C60" s="10" t="inlineStr">
        <is>
          <t>Definir, validar e manter: Objetivos Especificos</t>
        </is>
      </c>
      <c r="D60" s="11" t="n"/>
      <c r="E60" s="12" t="inlineStr">
        <is>
          <t>baixa</t>
        </is>
      </c>
    </row>
    <row r="61">
      <c r="A61" s="9" t="inlineStr">
        <is>
          <t>D01-DOC-TAP-001.OBJECTIVE.RESULTADO_FINAL_ESPERADO</t>
        </is>
      </c>
      <c r="B61" s="10" t="inlineStr">
        <is>
          <t>resultado_final_esperado</t>
        </is>
      </c>
      <c r="C61" s="10" t="inlineStr">
        <is>
          <t>Definir, validar e manter: Resultado Final Esperado</t>
        </is>
      </c>
      <c r="D61" s="11" t="n"/>
      <c r="E61" s="12" t="inlineStr">
        <is>
          <t>baixa</t>
        </is>
      </c>
    </row>
    <row r="62">
      <c r="A62" s="9" t="inlineStr">
        <is>
          <t>D01-DOC-TAP-001.SCOPE.ESCOPO_INCLUIDO</t>
        </is>
      </c>
      <c r="B62" s="10" t="inlineStr">
        <is>
          <t>escopo_incluido</t>
        </is>
      </c>
      <c r="C62" s="10" t="inlineStr">
        <is>
          <t>Definir, validar e manter: Escopo Incluido</t>
        </is>
      </c>
      <c r="D62" s="11" t="n"/>
      <c r="E62" s="12" t="inlineStr">
        <is>
          <t>baixa</t>
        </is>
      </c>
    </row>
    <row r="63">
      <c r="A63" s="9" t="inlineStr">
        <is>
          <t>D01-DOC-TAP-001.SCOPE.ESCOPO_EXCLUIDO</t>
        </is>
      </c>
      <c r="B63" s="10" t="inlineStr">
        <is>
          <t>escopo_excluido</t>
        </is>
      </c>
      <c r="C63" s="10" t="inlineStr">
        <is>
          <t>Definir, validar e manter: Escopo Excluido</t>
        </is>
      </c>
      <c r="D63" s="11" t="n"/>
      <c r="E63" s="12" t="inlineStr">
        <is>
          <t>baixa</t>
        </is>
      </c>
    </row>
    <row r="64">
      <c r="A64" s="9" t="inlineStr">
        <is>
          <t>D01-DOC-TAP-001.SCOPE.FRONTEIRAS</t>
        </is>
      </c>
      <c r="B64" s="10" t="inlineStr">
        <is>
          <t>fronteiras</t>
        </is>
      </c>
      <c r="C64" s="10" t="inlineStr">
        <is>
          <t>Definir, validar e manter: Fronteiras</t>
        </is>
      </c>
      <c r="D64" s="11" t="n"/>
      <c r="E64" s="12" t="inlineStr">
        <is>
          <t>baixa</t>
        </is>
      </c>
    </row>
    <row r="65">
      <c r="A65" s="9" t="inlineStr">
        <is>
          <t>D01-DOC-TAP-001.DELIVERABLES.ENTREGAVEIS_PRINCIPAIS</t>
        </is>
      </c>
      <c r="B65" s="10" t="inlineStr">
        <is>
          <t>entregaveis_principais</t>
        </is>
      </c>
      <c r="C65" s="10" t="inlineStr">
        <is>
          <t>Definir, validar e manter: Entregaveis Principais</t>
        </is>
      </c>
      <c r="D65" s="11" t="n"/>
      <c r="E65" s="12" t="inlineStr">
        <is>
          <t>baixa</t>
        </is>
      </c>
    </row>
    <row r="66">
      <c r="A66" s="9" t="inlineStr">
        <is>
          <t>D01-DOC-TAP-001.DELIVERABLES.DEFINITION_OF_DONE</t>
        </is>
      </c>
      <c r="B66" s="10" t="inlineStr">
        <is>
          <t>definition_of_done</t>
        </is>
      </c>
      <c r="C66" s="10" t="inlineStr">
        <is>
          <t>Definir, validar e manter: Definition Of Done</t>
        </is>
      </c>
      <c r="D66" s="11" t="n"/>
      <c r="E66" s="12" t="inlineStr">
        <is>
          <t>baixa</t>
        </is>
      </c>
    </row>
    <row r="67">
      <c r="A67" s="9" t="inlineStr">
        <is>
          <t>D01-DOC-TAP-001.MILESTONES.MARCOS</t>
        </is>
      </c>
      <c r="B67" s="10" t="inlineStr">
        <is>
          <t>marcos</t>
        </is>
      </c>
      <c r="C67" s="10" t="inlineStr">
        <is>
          <t>Definir, validar e manter: Marcos</t>
        </is>
      </c>
      <c r="D67" s="11" t="n"/>
      <c r="E67" s="12" t="inlineStr">
        <is>
          <t>baixa</t>
        </is>
      </c>
    </row>
    <row r="68">
      <c r="A68" s="9" t="inlineStr">
        <is>
          <t>D01-DOC-TAP-001.MILESTONES.DATAS_EXISTENTES</t>
        </is>
      </c>
      <c r="B68" s="10" t="inlineStr">
        <is>
          <t>datas_existentes</t>
        </is>
      </c>
      <c r="C68" s="10" t="inlineStr">
        <is>
          <t>Definir, validar e manter: Datas Existentes</t>
        </is>
      </c>
      <c r="D68" s="11" t="n"/>
      <c r="E68" s="12" t="inlineStr">
        <is>
          <t>baixa</t>
        </is>
      </c>
    </row>
    <row r="69">
      <c r="A69" s="9" t="inlineStr">
        <is>
          <t>D01-DOC-TAP-001.STAKEHOLDERS.PARTICIPANTES</t>
        </is>
      </c>
      <c r="B69" s="10" t="inlineStr">
        <is>
          <t>participantes</t>
        </is>
      </c>
      <c r="C69" s="10" t="inlineStr">
        <is>
          <t>Definir, validar e manter: Participantes</t>
        </is>
      </c>
      <c r="D69" s="11" t="n"/>
      <c r="E69" s="12" t="inlineStr">
        <is>
          <t>baixa</t>
        </is>
      </c>
    </row>
    <row r="70">
      <c r="A70" s="9" t="inlineStr">
        <is>
          <t>D01-DOC-TAP-001.STAKEHOLDERS.PAPEIS</t>
        </is>
      </c>
      <c r="B70" s="10" t="inlineStr">
        <is>
          <t>papeis</t>
        </is>
      </c>
      <c r="C70" s="10" t="inlineStr">
        <is>
          <t>Definir, validar e manter: Papeis</t>
        </is>
      </c>
      <c r="D70" s="11" t="n"/>
      <c r="E70" s="12" t="inlineStr">
        <is>
          <t>baixa</t>
        </is>
      </c>
    </row>
    <row r="71">
      <c r="A71" s="9" t="inlineStr">
        <is>
          <t>D01-DOC-TAP-001.STAKEHOLDERS.RESPONSABILIDADES</t>
        </is>
      </c>
      <c r="B71" s="10" t="inlineStr">
        <is>
          <t>responsabilidades</t>
        </is>
      </c>
      <c r="C71" s="10" t="inlineStr">
        <is>
          <t>Definir, validar e manter: Responsabilidades</t>
        </is>
      </c>
      <c r="D71" s="11" t="n"/>
      <c r="E71" s="12" t="inlineStr">
        <is>
          <t>baixa</t>
        </is>
      </c>
    </row>
    <row r="72">
      <c r="A72" s="9" t="inlineStr">
        <is>
          <t>D01-DOC-TAP-001.CONSTRAINTS.RESTRICOES</t>
        </is>
      </c>
      <c r="B72" s="10" t="inlineStr">
        <is>
          <t>restricoes</t>
        </is>
      </c>
      <c r="C72" s="10" t="inlineStr">
        <is>
          <t>Definir, validar e manter: Restricoes</t>
        </is>
      </c>
      <c r="D72" s="11" t="n"/>
      <c r="E72" s="12" t="inlineStr">
        <is>
          <t>baixa</t>
        </is>
      </c>
    </row>
    <row r="73">
      <c r="A73" s="9" t="inlineStr">
        <is>
          <t>D01-DOC-TAP-001.CONSTRAINTS.PREMISSAS</t>
        </is>
      </c>
      <c r="B73" s="10" t="inlineStr">
        <is>
          <t>premissas</t>
        </is>
      </c>
      <c r="C73" s="10" t="inlineStr">
        <is>
          <t>Definir, validar e manter: Premissas</t>
        </is>
      </c>
      <c r="D73" s="11" t="n"/>
      <c r="E73" s="12" t="inlineStr">
        <is>
          <t>baixa</t>
        </is>
      </c>
    </row>
    <row r="74">
      <c r="A74" s="9" t="inlineStr">
        <is>
          <t>D01-DOC-TAP-001.CONSTRAINTS.DEPENDENCIAS</t>
        </is>
      </c>
      <c r="B74" s="10" t="inlineStr">
        <is>
          <t>dependencias</t>
        </is>
      </c>
      <c r="C74" s="10" t="inlineStr">
        <is>
          <t>Definir, validar e manter: Dependencias</t>
        </is>
      </c>
      <c r="D74" s="11" t="n"/>
      <c r="E74" s="12" t="inlineStr">
        <is>
          <t>baixa</t>
        </is>
      </c>
    </row>
    <row r="75">
      <c r="A75" s="9" t="inlineStr">
        <is>
          <t>D01-DOC-TAP-001.RESOURCES.CAPACIDADE</t>
        </is>
      </c>
      <c r="B75" s="10" t="inlineStr">
        <is>
          <t>capacidade</t>
        </is>
      </c>
      <c r="C75" s="10" t="inlineStr">
        <is>
          <t>Definir, validar e manter: Capacidade</t>
        </is>
      </c>
      <c r="D75" s="11" t="n"/>
      <c r="E75" s="12" t="inlineStr">
        <is>
          <t>baixa</t>
        </is>
      </c>
    </row>
    <row r="76">
      <c r="A76" s="9" t="inlineStr">
        <is>
          <t>D01-DOC-TAP-001.RESOURCES.RECURSOS</t>
        </is>
      </c>
      <c r="B76" s="10" t="inlineStr">
        <is>
          <t>recursos</t>
        </is>
      </c>
      <c r="C76" s="10" t="inlineStr">
        <is>
          <t>Definir, validar e manter: Recursos</t>
        </is>
      </c>
      <c r="D76" s="11" t="n"/>
      <c r="E76" s="12" t="inlineStr">
        <is>
          <t>baixa</t>
        </is>
      </c>
    </row>
    <row r="77">
      <c r="A77" s="9" t="inlineStr">
        <is>
          <t>D01-DOC-TAP-001.RESOURCES.ORCAMENTO</t>
        </is>
      </c>
      <c r="B77" s="10" t="inlineStr">
        <is>
          <t>orcamento</t>
        </is>
      </c>
      <c r="C77" s="10" t="inlineStr">
        <is>
          <t>Definir, validar e manter: Orcamento</t>
        </is>
      </c>
      <c r="D77" s="11" t="n"/>
      <c r="E77" s="12" t="inlineStr">
        <is>
          <t>baixa</t>
        </is>
      </c>
    </row>
    <row r="78">
      <c r="A78" s="9" t="inlineStr">
        <is>
          <t>D01-DOC-TAP-001.SUCCESS.CRITERIOS_DE_ACEITE</t>
        </is>
      </c>
      <c r="B78" s="10" t="inlineStr">
        <is>
          <t>criterios_de_aceite</t>
        </is>
      </c>
      <c r="C78" s="10" t="inlineStr">
        <is>
          <t>Definir, validar e manter: Criterios De Aceite</t>
        </is>
      </c>
      <c r="D78" s="11" t="n"/>
      <c r="E78" s="12" t="inlineStr">
        <is>
          <t>baixa</t>
        </is>
      </c>
    </row>
    <row r="79">
      <c r="A79" s="9" t="inlineStr">
        <is>
          <t>D01-DOC-TAP-001.SUCCESS.INDICADORES_DE_SUCESSO</t>
        </is>
      </c>
      <c r="B79" s="10" t="inlineStr">
        <is>
          <t>indicadores_de_sucesso</t>
        </is>
      </c>
      <c r="C79" s="10" t="inlineStr">
        <is>
          <t>Definir, validar e manter: Indicadores De Sucesso</t>
        </is>
      </c>
      <c r="D79" s="11" t="n"/>
      <c r="E79" s="12" t="inlineStr">
        <is>
          <t>baixa</t>
        </is>
      </c>
    </row>
    <row r="80">
      <c r="A80" s="9" t="inlineStr">
        <is>
          <t>D01-DOC-TAP-001.RISKS.RISCOS_INICIAIS</t>
        </is>
      </c>
      <c r="B80" s="10" t="inlineStr">
        <is>
          <t>riscos_iniciais</t>
        </is>
      </c>
      <c r="C80" s="10" t="inlineStr">
        <is>
          <t>Definir, validar e manter: Riscos Iniciais</t>
        </is>
      </c>
      <c r="D80" s="11" t="n"/>
      <c r="E80" s="12" t="inlineStr">
        <is>
          <t>baixa</t>
        </is>
      </c>
    </row>
    <row r="81">
      <c r="A81" s="9" t="inlineStr">
        <is>
          <t>D01-DOC-TAP-001.APPROVALS.APROVADORES</t>
        </is>
      </c>
      <c r="B81" s="10" t="inlineStr">
        <is>
          <t>aprovadores</t>
        </is>
      </c>
      <c r="C81" s="10" t="inlineStr">
        <is>
          <t>Definir, validar e manter: Aprovadores</t>
        </is>
      </c>
      <c r="D81" s="11" t="n"/>
      <c r="E81" s="12" t="inlineStr">
        <is>
          <t>media</t>
        </is>
      </c>
    </row>
    <row r="82">
      <c r="A82" s="9" t="inlineStr">
        <is>
          <t>D01-DOC-TAP-001.APPROVALS.STATUS_APROVACAO</t>
        </is>
      </c>
      <c r="B82" s="10" t="inlineStr">
        <is>
          <t>status_aprovacao</t>
        </is>
      </c>
      <c r="C82" s="10" t="inlineStr">
        <is>
          <t>Definir, validar e manter: Status Aprovacao</t>
        </is>
      </c>
      <c r="D82" s="11" t="n"/>
      <c r="E82" s="12" t="inlineStr">
        <is>
          <t>baixa</t>
        </is>
      </c>
    </row>
    <row r="83">
      <c r="A83" s="8" t="inlineStr">
        <is>
          <t>Artefato D01-DOC-MNE-001 — Modelo de Negócio do Ecossistema</t>
        </is>
      </c>
      <c r="B83" s="6" t="n"/>
      <c r="C83" s="6" t="n"/>
      <c r="D83" s="6" t="n"/>
      <c r="E83" s="7" t="n"/>
    </row>
    <row r="84">
      <c r="A84" s="9" t="inlineStr">
        <is>
          <t>D01-DOC-MNE-001.CUSTOMER.SEGMENTOS</t>
        </is>
      </c>
      <c r="B84" s="10" t="inlineStr">
        <is>
          <t>segmentos</t>
        </is>
      </c>
      <c r="C84" s="10" t="inlineStr">
        <is>
          <t>Definir, validar e manter: Segmentos</t>
        </is>
      </c>
      <c r="D84" s="11" t="n"/>
      <c r="E84" s="12" t="inlineStr">
        <is>
          <t>baixa</t>
        </is>
      </c>
    </row>
    <row r="85">
      <c r="A85" s="9" t="inlineStr">
        <is>
          <t>D01-DOC-MNE-001.CUSTOMER.USUARIOS</t>
        </is>
      </c>
      <c r="B85" s="10" t="inlineStr">
        <is>
          <t>usuarios</t>
        </is>
      </c>
      <c r="C85" s="10" t="inlineStr">
        <is>
          <t>Definir, validar e manter: Usuarios</t>
        </is>
      </c>
      <c r="D85" s="11" t="n"/>
      <c r="E85" s="12" t="inlineStr">
        <is>
          <t>baixa</t>
        </is>
      </c>
    </row>
    <row r="86">
      <c r="A86" s="9" t="inlineStr">
        <is>
          <t>D01-DOC-MNE-001.CUSTOMER.CLIENTES</t>
        </is>
      </c>
      <c r="B86" s="10" t="inlineStr">
        <is>
          <t>clientes</t>
        </is>
      </c>
      <c r="C86" s="10" t="inlineStr">
        <is>
          <t>Definir, validar e manter: Clientes</t>
        </is>
      </c>
      <c r="D86" s="11" t="n"/>
      <c r="E86" s="12" t="inlineStr">
        <is>
          <t>baixa</t>
        </is>
      </c>
    </row>
    <row r="87">
      <c r="A87" s="9" t="inlineStr">
        <is>
          <t>D01-DOC-MNE-001.CUSTOMER.PROBLEMAS</t>
        </is>
      </c>
      <c r="B87" s="10" t="inlineStr">
        <is>
          <t>problemas</t>
        </is>
      </c>
      <c r="C87" s="10" t="inlineStr">
        <is>
          <t>Definir, validar e manter: Problemas</t>
        </is>
      </c>
      <c r="D87" s="11" t="n"/>
      <c r="E87" s="12" t="inlineStr">
        <is>
          <t>baixa</t>
        </is>
      </c>
    </row>
    <row r="88">
      <c r="A88" s="9" t="inlineStr">
        <is>
          <t>D01-DOC-MNE-001.CUSTOMER.JTBD</t>
        </is>
      </c>
      <c r="B88" s="10" t="inlineStr">
        <is>
          <t>jtbd</t>
        </is>
      </c>
      <c r="C88" s="10" t="inlineStr">
        <is>
          <t>Definir, validar e manter: JTBD</t>
        </is>
      </c>
      <c r="D88" s="11" t="n"/>
      <c r="E88" s="12" t="inlineStr">
        <is>
          <t>baixa</t>
        </is>
      </c>
    </row>
    <row r="89">
      <c r="A89" s="9" t="inlineStr">
        <is>
          <t>D01-DOC-MNE-001.VALUE.PROPOSTAS_DE_VALOR</t>
        </is>
      </c>
      <c r="B89" s="10" t="inlineStr">
        <is>
          <t>propostas_de_valor</t>
        </is>
      </c>
      <c r="C89" s="10" t="inlineStr">
        <is>
          <t>Definir, validar e manter: Propostas De Valor</t>
        </is>
      </c>
      <c r="D89" s="11" t="n"/>
      <c r="E89" s="12" t="inlineStr">
        <is>
          <t>baixa</t>
        </is>
      </c>
    </row>
    <row r="90">
      <c r="A90" s="9" t="inlineStr">
        <is>
          <t>D01-DOC-MNE-001.VALUE.BENEFICIOS</t>
        </is>
      </c>
      <c r="B90" s="10" t="inlineStr">
        <is>
          <t>beneficios</t>
        </is>
      </c>
      <c r="C90" s="10" t="inlineStr">
        <is>
          <t>Definir, validar e manter: Beneficios</t>
        </is>
      </c>
      <c r="D90" s="11" t="n"/>
      <c r="E90" s="12" t="inlineStr">
        <is>
          <t>baixa</t>
        </is>
      </c>
    </row>
    <row r="91">
      <c r="A91" s="9" t="inlineStr">
        <is>
          <t>D01-DOC-MNE-001.VALUE.DIFERENCIADORES</t>
        </is>
      </c>
      <c r="B91" s="10" t="inlineStr">
        <is>
          <t>diferenciadores</t>
        </is>
      </c>
      <c r="C91" s="10" t="inlineStr">
        <is>
          <t>Definir, validar e manter: Diferenciadores</t>
        </is>
      </c>
      <c r="D91" s="11" t="n"/>
      <c r="E91" s="12" t="inlineStr">
        <is>
          <t>baixa</t>
        </is>
      </c>
    </row>
    <row r="92">
      <c r="A92" s="9" t="inlineStr">
        <is>
          <t>D01-DOC-MNE-001.VALUE.ALTERNATIVAS_EXISTENTES</t>
        </is>
      </c>
      <c r="B92" s="10" t="inlineStr">
        <is>
          <t>alternativas_existentes</t>
        </is>
      </c>
      <c r="C92" s="10" t="inlineStr">
        <is>
          <t>Definir, validar e manter: Alternativas Existentes</t>
        </is>
      </c>
      <c r="D92" s="11" t="n"/>
      <c r="E92" s="12" t="inlineStr">
        <is>
          <t>baixa</t>
        </is>
      </c>
    </row>
    <row r="93">
      <c r="A93" s="9" t="inlineStr">
        <is>
          <t>D01-DOC-MNE-001.OFFERINGS.PRODUTOS</t>
        </is>
      </c>
      <c r="B93" s="10" t="inlineStr">
        <is>
          <t>produtos</t>
        </is>
      </c>
      <c r="C93" s="10" t="inlineStr">
        <is>
          <t>Definir, validar e manter: Produtos</t>
        </is>
      </c>
      <c r="D93" s="11" t="n"/>
      <c r="E93" s="12" t="inlineStr">
        <is>
          <t>baixa</t>
        </is>
      </c>
    </row>
    <row r="94">
      <c r="A94" s="9" t="inlineStr">
        <is>
          <t>D01-DOC-MNE-001.OFFERINGS.SERVICOS</t>
        </is>
      </c>
      <c r="B94" s="10" t="inlineStr">
        <is>
          <t>servicos</t>
        </is>
      </c>
      <c r="C94" s="10" t="inlineStr">
        <is>
          <t>Definir, validar e manter: Servicos</t>
        </is>
      </c>
      <c r="D94" s="11" t="n"/>
      <c r="E94" s="12" t="inlineStr">
        <is>
          <t>baixa</t>
        </is>
      </c>
    </row>
    <row r="95">
      <c r="A95" s="9" t="inlineStr">
        <is>
          <t>D01-DOC-MNE-001.OFFERINGS.PLANOS</t>
        </is>
      </c>
      <c r="B95" s="10" t="inlineStr">
        <is>
          <t>planos</t>
        </is>
      </c>
      <c r="C95" s="10" t="inlineStr">
        <is>
          <t>Definir, validar e manter: Planos</t>
        </is>
      </c>
      <c r="D95" s="11" t="n"/>
      <c r="E95" s="12" t="inlineStr">
        <is>
          <t>baixa</t>
        </is>
      </c>
    </row>
    <row r="96">
      <c r="A96" s="9" t="inlineStr">
        <is>
          <t>D01-DOC-MNE-001.OFFERINGS.OFERTAS</t>
        </is>
      </c>
      <c r="B96" s="10" t="inlineStr">
        <is>
          <t>ofertas</t>
        </is>
      </c>
      <c r="C96" s="10" t="inlineStr">
        <is>
          <t>Definir, validar e manter: Ofertas</t>
        </is>
      </c>
      <c r="D96" s="11" t="n"/>
      <c r="E96" s="12" t="inlineStr">
        <is>
          <t>baixa</t>
        </is>
      </c>
    </row>
    <row r="97">
      <c r="A97" s="9" t="inlineStr">
        <is>
          <t>D01-DOC-MNE-001.CHANNELS.AQUISICAO</t>
        </is>
      </c>
      <c r="B97" s="10" t="inlineStr">
        <is>
          <t>aquisicao</t>
        </is>
      </c>
      <c r="C97" s="10" t="inlineStr">
        <is>
          <t>Definir, validar e manter: Aquisicao</t>
        </is>
      </c>
      <c r="D97" s="11" t="n"/>
      <c r="E97" s="12" t="inlineStr">
        <is>
          <t>baixa</t>
        </is>
      </c>
    </row>
    <row r="98">
      <c r="A98" s="9" t="inlineStr">
        <is>
          <t>D01-DOC-MNE-001.CHANNELS.DISTRIBUICAO</t>
        </is>
      </c>
      <c r="B98" s="10" t="inlineStr">
        <is>
          <t>distribuicao</t>
        </is>
      </c>
      <c r="C98" s="10" t="inlineStr">
        <is>
          <t>Definir, validar e manter: Distribuicao</t>
        </is>
      </c>
      <c r="D98" s="11" t="n"/>
      <c r="E98" s="12" t="inlineStr">
        <is>
          <t>baixa</t>
        </is>
      </c>
    </row>
    <row r="99">
      <c r="A99" s="9" t="inlineStr">
        <is>
          <t>D01-DOC-MNE-001.CHANNELS.ENTREGA</t>
        </is>
      </c>
      <c r="B99" s="10" t="inlineStr">
        <is>
          <t>entrega</t>
        </is>
      </c>
      <c r="C99" s="10" t="inlineStr">
        <is>
          <t>Definir, validar e manter: Entrega</t>
        </is>
      </c>
      <c r="D99" s="11" t="n"/>
      <c r="E99" s="12" t="inlineStr">
        <is>
          <t>baixa</t>
        </is>
      </c>
    </row>
    <row r="100">
      <c r="A100" s="9" t="inlineStr">
        <is>
          <t>D01-DOC-MNE-001.RELATIONSHIPS.RELACIONAMENTO_COM_CLIENTE</t>
        </is>
      </c>
      <c r="B100" s="10" t="inlineStr">
        <is>
          <t>relacionamento_com_cliente</t>
        </is>
      </c>
      <c r="C100" s="10" t="inlineStr">
        <is>
          <t>Definir, validar e manter: Relacionamento Com Cliente</t>
        </is>
      </c>
      <c r="D100" s="11" t="n"/>
      <c r="E100" s="12" t="inlineStr">
        <is>
          <t>baixa</t>
        </is>
      </c>
    </row>
    <row r="101">
      <c r="A101" s="9" t="inlineStr">
        <is>
          <t>D01-DOC-MNE-001.RELATIONSHIPS.COMUNIDADE</t>
        </is>
      </c>
      <c r="B101" s="10" t="inlineStr">
        <is>
          <t>comunidade</t>
        </is>
      </c>
      <c r="C101" s="10" t="inlineStr">
        <is>
          <t>Definir, validar e manter: Comunidade</t>
        </is>
      </c>
      <c r="D101" s="11" t="n"/>
      <c r="E101" s="12" t="inlineStr">
        <is>
          <t>baixa</t>
        </is>
      </c>
    </row>
    <row r="102">
      <c r="A102" s="9" t="inlineStr">
        <is>
          <t>D01-DOC-MNE-001.RELATIONSHIPS.SUPORTE</t>
        </is>
      </c>
      <c r="B102" s="10" t="inlineStr">
        <is>
          <t>suporte</t>
        </is>
      </c>
      <c r="C102" s="10" t="inlineStr">
        <is>
          <t>Definir, validar e manter: Suporte</t>
        </is>
      </c>
      <c r="D102" s="11" t="n"/>
      <c r="E102" s="12" t="inlineStr">
        <is>
          <t>baixa</t>
        </is>
      </c>
    </row>
    <row r="103">
      <c r="A103" s="9" t="inlineStr">
        <is>
          <t>D01-DOC-MNE-001.REVENUE.FONTES_DE_RECEITA</t>
        </is>
      </c>
      <c r="B103" s="10" t="inlineStr">
        <is>
          <t>fontes_de_receita</t>
        </is>
      </c>
      <c r="C103" s="10" t="inlineStr">
        <is>
          <t>Definir, validar e manter: Fontes De Receita</t>
        </is>
      </c>
      <c r="D103" s="11" t="n"/>
      <c r="E103" s="12" t="inlineStr">
        <is>
          <t>baixa</t>
        </is>
      </c>
    </row>
    <row r="104">
      <c r="A104" s="9" t="inlineStr">
        <is>
          <t>D01-DOC-MNE-001.REVENUE.PRECIFICACAO</t>
        </is>
      </c>
      <c r="B104" s="10" t="inlineStr">
        <is>
          <t>precificacao</t>
        </is>
      </c>
      <c r="C104" s="10" t="inlineStr">
        <is>
          <t>Definir, validar e manter: Precificacao</t>
        </is>
      </c>
      <c r="D104" s="11" t="n"/>
      <c r="E104" s="12" t="inlineStr">
        <is>
          <t>media</t>
        </is>
      </c>
    </row>
    <row r="105">
      <c r="A105" s="9" t="inlineStr">
        <is>
          <t>D01-DOC-MNE-001.REVENUE.RECORRENCIA</t>
        </is>
      </c>
      <c r="B105" s="10" t="inlineStr">
        <is>
          <t>recorrencia</t>
        </is>
      </c>
      <c r="C105" s="10" t="inlineStr">
        <is>
          <t>Definir, validar e manter: Recorrencia</t>
        </is>
      </c>
      <c r="D105" s="11" t="n"/>
      <c r="E105" s="12" t="inlineStr">
        <is>
          <t>media</t>
        </is>
      </c>
    </row>
    <row r="106">
      <c r="A106" s="9" t="inlineStr">
        <is>
          <t>D01-DOC-MNE-001.COSTS.ESTRUTURA_DE_CUSTOS</t>
        </is>
      </c>
      <c r="B106" s="10" t="inlineStr">
        <is>
          <t>estrutura_de_custos</t>
        </is>
      </c>
      <c r="C106" s="10" t="inlineStr">
        <is>
          <t>Definir, validar e manter: Estrutura De Custos</t>
        </is>
      </c>
      <c r="D106" s="11" t="n"/>
      <c r="E106" s="12" t="inlineStr">
        <is>
          <t>baixa</t>
        </is>
      </c>
    </row>
    <row r="107">
      <c r="A107" s="9" t="inlineStr">
        <is>
          <t>D01-DOC-MNE-001.COSTS.CAPEX</t>
        </is>
      </c>
      <c r="B107" s="10" t="inlineStr">
        <is>
          <t>capex</t>
        </is>
      </c>
      <c r="C107" s="10" t="inlineStr">
        <is>
          <t>Definir, validar e manter: Capex</t>
        </is>
      </c>
      <c r="D107" s="11" t="n"/>
      <c r="E107" s="12" t="inlineStr">
        <is>
          <t>baixa</t>
        </is>
      </c>
    </row>
    <row r="108">
      <c r="A108" s="9" t="inlineStr">
        <is>
          <t>D01-DOC-MNE-001.COSTS.OPEX</t>
        </is>
      </c>
      <c r="B108" s="10" t="inlineStr">
        <is>
          <t>opex</t>
        </is>
      </c>
      <c r="C108" s="10" t="inlineStr">
        <is>
          <t>Definir, validar e manter: Opex</t>
        </is>
      </c>
      <c r="D108" s="11" t="n"/>
      <c r="E108" s="12" t="inlineStr">
        <is>
          <t>baixa</t>
        </is>
      </c>
    </row>
    <row r="109">
      <c r="A109" s="9" t="inlineStr">
        <is>
          <t>D01-DOC-MNE-001.RESOURCES.RECURSOS_CHAVE</t>
        </is>
      </c>
      <c r="B109" s="10" t="inlineStr">
        <is>
          <t>recursos_chave</t>
        </is>
      </c>
      <c r="C109" s="10" t="inlineStr">
        <is>
          <t>Definir, validar e manter: Recursos Chave</t>
        </is>
      </c>
      <c r="D109" s="11" t="n"/>
      <c r="E109" s="12" t="inlineStr">
        <is>
          <t>baixa</t>
        </is>
      </c>
    </row>
    <row r="110">
      <c r="A110" s="9" t="inlineStr">
        <is>
          <t>D01-DOC-MNE-001.RESOURCES.CAPACIDADES_CHAVE</t>
        </is>
      </c>
      <c r="B110" s="10" t="inlineStr">
        <is>
          <t>capacidades_chave</t>
        </is>
      </c>
      <c r="C110" s="10" t="inlineStr">
        <is>
          <t>Definir, validar e manter: Capacidades Chave</t>
        </is>
      </c>
      <c r="D110" s="11" t="n"/>
      <c r="E110" s="12" t="inlineStr">
        <is>
          <t>baixa</t>
        </is>
      </c>
    </row>
    <row r="111">
      <c r="A111" s="9" t="inlineStr">
        <is>
          <t>D01-DOC-MNE-001.ACTIVITIES.ATIVIDADES_CHAVE</t>
        </is>
      </c>
      <c r="B111" s="10" t="inlineStr">
        <is>
          <t>atividades_chave</t>
        </is>
      </c>
      <c r="C111" s="10" t="inlineStr">
        <is>
          <t>Definir, validar e manter: Atividades Chave</t>
        </is>
      </c>
      <c r="D111" s="11" t="n"/>
      <c r="E111" s="12" t="inlineStr">
        <is>
          <t>baixa</t>
        </is>
      </c>
    </row>
    <row r="112">
      <c r="A112" s="9" t="inlineStr">
        <is>
          <t>D01-DOC-MNE-001.PARTNERS.PARCEIROS</t>
        </is>
      </c>
      <c r="B112" s="10" t="inlineStr">
        <is>
          <t>parceiros</t>
        </is>
      </c>
      <c r="C112" s="10" t="inlineStr">
        <is>
          <t>Definir, validar e manter: Parceiros</t>
        </is>
      </c>
      <c r="D112" s="11" t="n"/>
      <c r="E112" s="12" t="inlineStr">
        <is>
          <t>baixa</t>
        </is>
      </c>
    </row>
    <row r="113">
      <c r="A113" s="9" t="inlineStr">
        <is>
          <t>D01-DOC-MNE-001.PARTNERS.FORNECEDORES</t>
        </is>
      </c>
      <c r="B113" s="10" t="inlineStr">
        <is>
          <t>fornecedores</t>
        </is>
      </c>
      <c r="C113" s="10" t="inlineStr">
        <is>
          <t>Definir, validar e manter: Fornecedores</t>
        </is>
      </c>
      <c r="D113" s="11" t="n"/>
      <c r="E113" s="12" t="inlineStr">
        <is>
          <t>baixa</t>
        </is>
      </c>
    </row>
    <row r="114">
      <c r="A114" s="9" t="inlineStr">
        <is>
          <t>D01-DOC-MNE-001.ECONOMICS.MARGEM</t>
        </is>
      </c>
      <c r="B114" s="10" t="inlineStr">
        <is>
          <t>margem</t>
        </is>
      </c>
      <c r="C114" s="10" t="inlineStr">
        <is>
          <t>Definir, validar e manter: Margem</t>
        </is>
      </c>
      <c r="D114" s="11" t="n"/>
      <c r="E114" s="12" t="inlineStr">
        <is>
          <t>media</t>
        </is>
      </c>
    </row>
    <row r="115">
      <c r="A115" s="9" t="inlineStr">
        <is>
          <t>D01-DOC-MNE-001.ECONOMICS.CAC</t>
        </is>
      </c>
      <c r="B115" s="10" t="inlineStr">
        <is>
          <t>cac</t>
        </is>
      </c>
      <c r="C115" s="10" t="inlineStr">
        <is>
          <t>Definir, validar e manter: Cac</t>
        </is>
      </c>
      <c r="D115" s="11" t="n"/>
      <c r="E115" s="12" t="inlineStr">
        <is>
          <t>media</t>
        </is>
      </c>
    </row>
    <row r="116">
      <c r="A116" s="9" t="inlineStr">
        <is>
          <t>D01-DOC-MNE-001.ECONOMICS.LTV</t>
        </is>
      </c>
      <c r="B116" s="10" t="inlineStr">
        <is>
          <t>ltv</t>
        </is>
      </c>
      <c r="C116" s="10" t="inlineStr">
        <is>
          <t>Definir, validar e manter: Ltv</t>
        </is>
      </c>
      <c r="D116" s="11" t="n"/>
      <c r="E116" s="12" t="inlineStr">
        <is>
          <t>media</t>
        </is>
      </c>
    </row>
    <row r="117">
      <c r="A117" s="9" t="inlineStr">
        <is>
          <t>D01-DOC-MNE-001.ECONOMICS.BREAK_EVEN</t>
        </is>
      </c>
      <c r="B117" s="10" t="inlineStr">
        <is>
          <t>break_even</t>
        </is>
      </c>
      <c r="C117" s="10" t="inlineStr">
        <is>
          <t>Definir, validar e manter: Break Even</t>
        </is>
      </c>
      <c r="D117" s="11" t="n"/>
      <c r="E117" s="12" t="inlineStr">
        <is>
          <t>media</t>
        </is>
      </c>
    </row>
    <row r="118">
      <c r="A118" s="9" t="inlineStr">
        <is>
          <t>D01-DOC-MNE-001.ASSUMPTIONS.HIPOTESES</t>
        </is>
      </c>
      <c r="B118" s="10" t="inlineStr">
        <is>
          <t>hipoteses</t>
        </is>
      </c>
      <c r="C118" s="10" t="inlineStr">
        <is>
          <t>Definir, validar e manter: Hipoteses</t>
        </is>
      </c>
      <c r="D118" s="11" t="n"/>
      <c r="E118" s="12" t="inlineStr">
        <is>
          <t>baixa</t>
        </is>
      </c>
    </row>
    <row r="119">
      <c r="A119" s="9" t="inlineStr">
        <is>
          <t>D01-DOC-MNE-001.ASSUMPTIONS.VALIDACOES_PENDENTES</t>
        </is>
      </c>
      <c r="B119" s="10" t="inlineStr">
        <is>
          <t>validacoes_pendentes</t>
        </is>
      </c>
      <c r="C119" s="10" t="inlineStr">
        <is>
          <t>Definir, validar e manter: Validacoes Pendentes</t>
        </is>
      </c>
      <c r="D119" s="11" t="n"/>
      <c r="E119" s="12" t="inlineStr">
        <is>
          <t>baixa</t>
        </is>
      </c>
    </row>
    <row r="120">
      <c r="A120" s="8" t="inlineStr">
        <is>
          <t>Artefato D01-DOC-MRE-001 — Mapa de Relações do Ecossistema</t>
        </is>
      </c>
      <c r="B120" s="6" t="n"/>
      <c r="C120" s="6" t="n"/>
      <c r="D120" s="6" t="n"/>
      <c r="E120" s="7" t="n"/>
    </row>
    <row r="121">
      <c r="A121" s="9" t="inlineStr">
        <is>
          <t>D01-DOC-MRE-001.NODES.COMPONENTES</t>
        </is>
      </c>
      <c r="B121" s="10" t="inlineStr">
        <is>
          <t>componentes</t>
        </is>
      </c>
      <c r="C121" s="10" t="inlineStr">
        <is>
          <t>Definir, validar e manter: Componentes</t>
        </is>
      </c>
      <c r="D121" s="11" t="n"/>
      <c r="E121" s="12" t="inlineStr">
        <is>
          <t>baixa</t>
        </is>
      </c>
    </row>
    <row r="122">
      <c r="A122" s="9" t="inlineStr">
        <is>
          <t>D01-DOC-MRE-001.NODES.PRODUTOS</t>
        </is>
      </c>
      <c r="B122" s="10" t="inlineStr">
        <is>
          <t>produtos</t>
        </is>
      </c>
      <c r="C122" s="10" t="inlineStr">
        <is>
          <t>Definir, validar e manter: Produtos</t>
        </is>
      </c>
      <c r="D122" s="11" t="n"/>
      <c r="E122" s="12" t="inlineStr">
        <is>
          <t>baixa</t>
        </is>
      </c>
    </row>
    <row r="123">
      <c r="A123" s="9" t="inlineStr">
        <is>
          <t>D01-DOC-MRE-001.NODES.SERVICOS</t>
        </is>
      </c>
      <c r="B123" s="10" t="inlineStr">
        <is>
          <t>servicos</t>
        </is>
      </c>
      <c r="C123" s="10" t="inlineStr">
        <is>
          <t>Definir, validar e manter: Servicos</t>
        </is>
      </c>
      <c r="D123" s="11" t="n"/>
      <c r="E123" s="12" t="inlineStr">
        <is>
          <t>baixa</t>
        </is>
      </c>
    </row>
    <row r="124">
      <c r="A124" s="9" t="inlineStr">
        <is>
          <t>D01-DOC-MRE-001.NODES.AGENTES</t>
        </is>
      </c>
      <c r="B124" s="10" t="inlineStr">
        <is>
          <t>agentes</t>
        </is>
      </c>
      <c r="C124" s="10" t="inlineStr">
        <is>
          <t>Definir, validar e manter: Agentes</t>
        </is>
      </c>
      <c r="D124" s="11" t="n"/>
      <c r="E124" s="12" t="inlineStr">
        <is>
          <t>baixa</t>
        </is>
      </c>
    </row>
    <row r="125">
      <c r="A125" s="9" t="inlineStr">
        <is>
          <t>D01-DOC-MRE-001.NODES.PLATAFORMAS</t>
        </is>
      </c>
      <c r="B125" s="10" t="inlineStr">
        <is>
          <t>plataformas</t>
        </is>
      </c>
      <c r="C125" s="10" t="inlineStr">
        <is>
          <t>Definir, validar e manter: Plataformas</t>
        </is>
      </c>
      <c r="D125" s="11" t="n"/>
      <c r="E125" s="12" t="inlineStr">
        <is>
          <t>baixa</t>
        </is>
      </c>
    </row>
    <row r="126">
      <c r="A126" s="9" t="inlineStr">
        <is>
          <t>D01-DOC-MRE-001.RELATIONSHIPS.ORIGEM</t>
        </is>
      </c>
      <c r="B126" s="10" t="inlineStr">
        <is>
          <t>origem</t>
        </is>
      </c>
      <c r="C126" s="10" t="inlineStr">
        <is>
          <t>Definir, validar e manter: Origem</t>
        </is>
      </c>
      <c r="D126" s="11" t="n"/>
      <c r="E126" s="12" t="inlineStr">
        <is>
          <t>baixa</t>
        </is>
      </c>
    </row>
    <row r="127">
      <c r="A127" s="9" t="inlineStr">
        <is>
          <t>D01-DOC-MRE-001.RELATIONSHIPS.DESTINO</t>
        </is>
      </c>
      <c r="B127" s="10" t="inlineStr">
        <is>
          <t>destino</t>
        </is>
      </c>
      <c r="C127" s="10" t="inlineStr">
        <is>
          <t>Definir, validar e manter: Destino</t>
        </is>
      </c>
      <c r="D127" s="11" t="n"/>
      <c r="E127" s="12" t="inlineStr">
        <is>
          <t>baixa</t>
        </is>
      </c>
    </row>
    <row r="128">
      <c r="A128" s="9" t="inlineStr">
        <is>
          <t>D01-DOC-MRE-001.RELATIONSHIPS.TIPO_DE_RELACAO</t>
        </is>
      </c>
      <c r="B128" s="10" t="inlineStr">
        <is>
          <t>tipo_de_relacao</t>
        </is>
      </c>
      <c r="C128" s="10" t="inlineStr">
        <is>
          <t>Definir, validar e manter: Tipo De Relacao</t>
        </is>
      </c>
      <c r="D128" s="11" t="n"/>
      <c r="E128" s="12" t="inlineStr">
        <is>
          <t>baixa</t>
        </is>
      </c>
    </row>
    <row r="129">
      <c r="A129" s="9" t="inlineStr">
        <is>
          <t>D01-DOC-MRE-001.RELATIONSHIPS.OBJETIVO</t>
        </is>
      </c>
      <c r="B129" s="10" t="inlineStr">
        <is>
          <t>objetivo</t>
        </is>
      </c>
      <c r="C129" s="10" t="inlineStr">
        <is>
          <t>Definir, validar e manter: Objetivo</t>
        </is>
      </c>
      <c r="D129" s="11" t="n"/>
      <c r="E129" s="12" t="inlineStr">
        <is>
          <t>baixa</t>
        </is>
      </c>
    </row>
    <row r="130">
      <c r="A130" s="9" t="inlineStr">
        <is>
          <t>D01-DOC-MRE-001.FLOWS.FLUXO_DE_VALOR</t>
        </is>
      </c>
      <c r="B130" s="10" t="inlineStr">
        <is>
          <t>fluxo_de_valor</t>
        </is>
      </c>
      <c r="C130" s="10" t="inlineStr">
        <is>
          <t>Definir, validar e manter: Fluxo De Valor</t>
        </is>
      </c>
      <c r="D130" s="11" t="n"/>
      <c r="E130" s="12" t="inlineStr">
        <is>
          <t>baixa</t>
        </is>
      </c>
    </row>
    <row r="131">
      <c r="A131" s="9" t="inlineStr">
        <is>
          <t>D01-DOC-MRE-001.FLOWS.FLUXO_DE_DADOS</t>
        </is>
      </c>
      <c r="B131" s="10" t="inlineStr">
        <is>
          <t>fluxo_de_dados</t>
        </is>
      </c>
      <c r="C131" s="10" t="inlineStr">
        <is>
          <t>Definir, validar e manter: Fluxo De Dados</t>
        </is>
      </c>
      <c r="D131" s="11" t="n"/>
      <c r="E131" s="12" t="inlineStr">
        <is>
          <t>baixa</t>
        </is>
      </c>
    </row>
    <row r="132">
      <c r="A132" s="9" t="inlineStr">
        <is>
          <t>D01-DOC-MRE-001.FLOWS.FLUXO_DE_CONHECIMENTO</t>
        </is>
      </c>
      <c r="B132" s="10" t="inlineStr">
        <is>
          <t>fluxo_de_conhecimento</t>
        </is>
      </c>
      <c r="C132" s="10" t="inlineStr">
        <is>
          <t>Definir, validar e manter: Fluxo De Conhecimento</t>
        </is>
      </c>
      <c r="D132" s="11" t="n"/>
      <c r="E132" s="12" t="inlineStr">
        <is>
          <t>baixa</t>
        </is>
      </c>
    </row>
    <row r="133">
      <c r="A133" s="9" t="inlineStr">
        <is>
          <t>D01-DOC-MRE-001.FLOWS.FLUXO_COMERCIAL</t>
        </is>
      </c>
      <c r="B133" s="10" t="inlineStr">
        <is>
          <t>fluxo_comercial</t>
        </is>
      </c>
      <c r="C133" s="10" t="inlineStr">
        <is>
          <t>Definir, validar e manter: Fluxo Comercial</t>
        </is>
      </c>
      <c r="D133" s="11" t="n"/>
      <c r="E133" s="12" t="inlineStr">
        <is>
          <t>baixa</t>
        </is>
      </c>
    </row>
    <row r="134">
      <c r="A134" s="9" t="inlineStr">
        <is>
          <t>D01-DOC-MRE-001.FLOWS.FLUXO_DE_FEEDBACK</t>
        </is>
      </c>
      <c r="B134" s="10" t="inlineStr">
        <is>
          <t>fluxo_de_feedback</t>
        </is>
      </c>
      <c r="C134" s="10" t="inlineStr">
        <is>
          <t>Definir, validar e manter: Fluxo De Feedback</t>
        </is>
      </c>
      <c r="D134" s="11" t="n"/>
      <c r="E134" s="12" t="inlineStr">
        <is>
          <t>baixa</t>
        </is>
      </c>
    </row>
    <row r="135">
      <c r="A135" s="9" t="inlineStr">
        <is>
          <t>D01-DOC-MRE-001.INTERFACES.ENTRADAS</t>
        </is>
      </c>
      <c r="B135" s="10" t="inlineStr">
        <is>
          <t>entradas</t>
        </is>
      </c>
      <c r="C135" s="10" t="inlineStr">
        <is>
          <t>Definir, validar e manter: Entradas</t>
        </is>
      </c>
      <c r="D135" s="11" t="n"/>
      <c r="E135" s="12" t="inlineStr">
        <is>
          <t>baixa</t>
        </is>
      </c>
    </row>
    <row r="136">
      <c r="A136" s="9" t="inlineStr">
        <is>
          <t>D01-DOC-MRE-001.INTERFACES.SAIDAS</t>
        </is>
      </c>
      <c r="B136" s="10" t="inlineStr">
        <is>
          <t>saidas</t>
        </is>
      </c>
      <c r="C136" s="10" t="inlineStr">
        <is>
          <t>Definir, validar e manter: Saidas</t>
        </is>
      </c>
      <c r="D136" s="11" t="n"/>
      <c r="E136" s="12" t="inlineStr">
        <is>
          <t>baixa</t>
        </is>
      </c>
    </row>
    <row r="137">
      <c r="A137" s="9" t="inlineStr">
        <is>
          <t>D01-DOC-MRE-001.INTERFACES.HANDOFFS</t>
        </is>
      </c>
      <c r="B137" s="10" t="inlineStr">
        <is>
          <t>handoffs</t>
        </is>
      </c>
      <c r="C137" s="10" t="inlineStr">
        <is>
          <t>Definir, validar e manter: Handoffs</t>
        </is>
      </c>
      <c r="D137" s="11" t="n"/>
      <c r="E137" s="12" t="inlineStr">
        <is>
          <t>baixa</t>
        </is>
      </c>
    </row>
    <row r="138">
      <c r="A138" s="9" t="inlineStr">
        <is>
          <t>D01-DOC-MRE-001.DEPENDENCIES.DEPENDENCIAS</t>
        </is>
      </c>
      <c r="B138" s="10" t="inlineStr">
        <is>
          <t>dependencias</t>
        </is>
      </c>
      <c r="C138" s="10" t="inlineStr">
        <is>
          <t>Definir, validar e manter: Dependencias</t>
        </is>
      </c>
      <c r="D138" s="11" t="n"/>
      <c r="E138" s="12" t="inlineStr">
        <is>
          <t>baixa</t>
        </is>
      </c>
    </row>
    <row r="139">
      <c r="A139" s="9" t="inlineStr">
        <is>
          <t>D01-DOC-MRE-001.DEPENDENCIES.GARGALOS</t>
        </is>
      </c>
      <c r="B139" s="10" t="inlineStr">
        <is>
          <t>gargalos</t>
        </is>
      </c>
      <c r="C139" s="10" t="inlineStr">
        <is>
          <t>Definir, validar e manter: Gargalos</t>
        </is>
      </c>
      <c r="D139" s="11" t="n"/>
      <c r="E139" s="12" t="inlineStr">
        <is>
          <t>baixa</t>
        </is>
      </c>
    </row>
    <row r="140">
      <c r="A140" s="9" t="inlineStr">
        <is>
          <t>D01-DOC-MRE-001.LOOPS.CICLOS_DE_APRENDIZADO</t>
        </is>
      </c>
      <c r="B140" s="10" t="inlineStr">
        <is>
          <t>ciclos_de_aprendizado</t>
        </is>
      </c>
      <c r="C140" s="10" t="inlineStr">
        <is>
          <t>Definir, validar e manter: Ciclos De Aprendizado</t>
        </is>
      </c>
      <c r="D140" s="11" t="n"/>
      <c r="E140" s="12" t="inlineStr">
        <is>
          <t>baixa</t>
        </is>
      </c>
    </row>
    <row r="141">
      <c r="A141" s="9" t="inlineStr">
        <is>
          <t>D01-DOC-MRE-001.LOOPS.RETROALIMENTACAO</t>
        </is>
      </c>
      <c r="B141" s="10" t="inlineStr">
        <is>
          <t>retroalimentacao</t>
        </is>
      </c>
      <c r="C141" s="10" t="inlineStr">
        <is>
          <t>Definir, validar e manter: Retroalimentacao</t>
        </is>
      </c>
      <c r="D141" s="11" t="n"/>
      <c r="E141" s="12" t="inlineStr">
        <is>
          <t>baixa</t>
        </is>
      </c>
    </row>
    <row r="142">
      <c r="A142" s="9" t="inlineStr">
        <is>
          <t>D01-DOC-MRE-001.RISKS.FALHAS_DE_INTEGRACAO</t>
        </is>
      </c>
      <c r="B142" s="10" t="inlineStr">
        <is>
          <t>falhas_de_integracao</t>
        </is>
      </c>
      <c r="C142" s="10" t="inlineStr">
        <is>
          <t>Definir, validar e manter: Falhas De Integracao</t>
        </is>
      </c>
      <c r="D142" s="11" t="n"/>
      <c r="E142" s="12" t="inlineStr">
        <is>
          <t>baixa</t>
        </is>
      </c>
    </row>
    <row r="143">
      <c r="A143" s="9" t="inlineStr">
        <is>
          <t>D01-DOC-MRE-001.RISKS.PONTOS_UNICOS_DE_FALHA</t>
        </is>
      </c>
      <c r="B143" s="10" t="inlineStr">
        <is>
          <t>pontos_unicos_de_falha</t>
        </is>
      </c>
      <c r="C143" s="10" t="inlineStr">
        <is>
          <t>Definir, validar e manter: Pontos Unicos De Falha</t>
        </is>
      </c>
      <c r="D143" s="11" t="n"/>
      <c r="E143" s="12" t="inlineStr">
        <is>
          <t>baixa</t>
        </is>
      </c>
    </row>
    <row r="144">
      <c r="A144" s="8" t="inlineStr">
        <is>
          <t>Domínio D02 — Jurídico, Riscos e Conformidade</t>
        </is>
      </c>
      <c r="B144" s="6" t="n"/>
      <c r="C144" s="6" t="n"/>
      <c r="D144" s="6" t="n"/>
      <c r="E144" s="7" t="n"/>
    </row>
    <row r="145">
      <c r="A145" s="8" t="inlineStr">
        <is>
          <t>Artefato D02-DOC-DGRC-001 — Documento de Governança, Riscos e Conformidade</t>
        </is>
      </c>
      <c r="B145" s="6" t="n"/>
      <c r="C145" s="6" t="n"/>
      <c r="D145" s="6" t="n"/>
      <c r="E145" s="7" t="n"/>
    </row>
    <row r="146">
      <c r="A146" s="9" t="inlineStr">
        <is>
          <t>D02-DOC-DGRC-001.GOVERNANCE.ESTRUTURA_JURIDICA</t>
        </is>
      </c>
      <c r="B146" s="10" t="inlineStr">
        <is>
          <t>estrutura_juridica</t>
        </is>
      </c>
      <c r="C146" s="10" t="inlineStr">
        <is>
          <t>Definir, validar e manter: Estrutura Juridica</t>
        </is>
      </c>
      <c r="D146" s="11" t="n"/>
      <c r="E146" s="12" t="inlineStr">
        <is>
          <t>baixa</t>
        </is>
      </c>
    </row>
    <row r="147">
      <c r="A147" s="9" t="inlineStr">
        <is>
          <t>D02-DOC-DGRC-001.GOVERNANCE.PAPEIS</t>
        </is>
      </c>
      <c r="B147" s="10" t="inlineStr">
        <is>
          <t>papeis</t>
        </is>
      </c>
      <c r="C147" s="10" t="inlineStr">
        <is>
          <t>Definir, validar e manter: Papeis</t>
        </is>
      </c>
      <c r="D147" s="11" t="n"/>
      <c r="E147" s="12" t="inlineStr">
        <is>
          <t>baixa</t>
        </is>
      </c>
    </row>
    <row r="148">
      <c r="A148" s="9" t="inlineStr">
        <is>
          <t>D02-DOC-DGRC-001.GOVERNANCE.AUTORIDADES</t>
        </is>
      </c>
      <c r="B148" s="10" t="inlineStr">
        <is>
          <t>autoridades</t>
        </is>
      </c>
      <c r="C148" s="10" t="inlineStr">
        <is>
          <t>Definir, validar e manter: Autoridades</t>
        </is>
      </c>
      <c r="D148" s="11" t="n"/>
      <c r="E148" s="12" t="inlineStr">
        <is>
          <t>baixa</t>
        </is>
      </c>
    </row>
    <row r="149">
      <c r="A149" s="9" t="inlineStr">
        <is>
          <t>D02-DOC-DGRC-001.GOVERNANCE.POLITICAS</t>
        </is>
      </c>
      <c r="B149" s="10" t="inlineStr">
        <is>
          <t>politicas</t>
        </is>
      </c>
      <c r="C149" s="10" t="inlineStr">
        <is>
          <t>Definir, validar e manter: Politicas</t>
        </is>
      </c>
      <c r="D149" s="11" t="n"/>
      <c r="E149" s="12" t="inlineStr">
        <is>
          <t>baixa</t>
        </is>
      </c>
    </row>
    <row r="150">
      <c r="A150" s="9" t="inlineStr">
        <is>
          <t>D02-DOC-DGRC-001.OBLIGATIONS.LEIS_APLICAVEIS</t>
        </is>
      </c>
      <c r="B150" s="10" t="inlineStr">
        <is>
          <t>leis_aplicaveis</t>
        </is>
      </c>
      <c r="C150" s="10" t="inlineStr">
        <is>
          <t>Definir, validar e manter: Leis Aplicaveis</t>
        </is>
      </c>
      <c r="D150" s="11" t="n"/>
      <c r="E150" s="12" t="inlineStr">
        <is>
          <t>baixa</t>
        </is>
      </c>
    </row>
    <row r="151">
      <c r="A151" s="9" t="inlineStr">
        <is>
          <t>D02-DOC-DGRC-001.OBLIGATIONS.REGULAMENTOS</t>
        </is>
      </c>
      <c r="B151" s="10" t="inlineStr">
        <is>
          <t>regulamentos</t>
        </is>
      </c>
      <c r="C151" s="10" t="inlineStr">
        <is>
          <t>Definir, validar e manter: Regulamentos</t>
        </is>
      </c>
      <c r="D151" s="11" t="n"/>
      <c r="E151" s="12" t="inlineStr">
        <is>
          <t>baixa</t>
        </is>
      </c>
    </row>
    <row r="152">
      <c r="A152" s="9" t="inlineStr">
        <is>
          <t>D02-DOC-DGRC-001.OBLIGATIONS.OBRIGACOES</t>
        </is>
      </c>
      <c r="B152" s="10" t="inlineStr">
        <is>
          <t>obrigacoes</t>
        </is>
      </c>
      <c r="C152" s="10" t="inlineStr">
        <is>
          <t>Definir, validar e manter: Obrigacoes</t>
        </is>
      </c>
      <c r="D152" s="11" t="n"/>
      <c r="E152" s="12" t="inlineStr">
        <is>
          <t>baixa</t>
        </is>
      </c>
    </row>
    <row r="153">
      <c r="A153" s="9" t="inlineStr">
        <is>
          <t>D02-DOC-DGRC-001.OBLIGATIONS.LICENCAS</t>
        </is>
      </c>
      <c r="B153" s="10" t="inlineStr">
        <is>
          <t>licencas</t>
        </is>
      </c>
      <c r="C153" s="10" t="inlineStr">
        <is>
          <t>Definir, validar e manter: Licencas</t>
        </is>
      </c>
      <c r="D153" s="11" t="n"/>
      <c r="E153" s="12" t="inlineStr">
        <is>
          <t>baixa</t>
        </is>
      </c>
    </row>
    <row r="154">
      <c r="A154" s="9" t="inlineStr">
        <is>
          <t>D02-DOC-DGRC-001.CONTRACTS.CONTRATOS_EXISTENTES</t>
        </is>
      </c>
      <c r="B154" s="10" t="inlineStr">
        <is>
          <t>contratos_existentes</t>
        </is>
      </c>
      <c r="C154" s="10" t="inlineStr">
        <is>
          <t>Definir, validar e manter: Contratos Existentes</t>
        </is>
      </c>
      <c r="D154" s="11" t="n"/>
      <c r="E154" s="12" t="inlineStr">
        <is>
          <t>baixa</t>
        </is>
      </c>
    </row>
    <row r="155">
      <c r="A155" s="9" t="inlineStr">
        <is>
          <t>D02-DOC-DGRC-001.CONTRACTS.CONTRATOS_NECESSARIOS</t>
        </is>
      </c>
      <c r="B155" s="10" t="inlineStr">
        <is>
          <t>contratos_necessarios</t>
        </is>
      </c>
      <c r="C155" s="10" t="inlineStr">
        <is>
          <t>Definir, validar e manter: Contratos Necessarios</t>
        </is>
      </c>
      <c r="D155" s="11" t="n"/>
      <c r="E155" s="12" t="inlineStr">
        <is>
          <t>baixa</t>
        </is>
      </c>
    </row>
    <row r="156">
      <c r="A156" s="9" t="inlineStr">
        <is>
          <t>D02-DOC-DGRC-001.CONTRACTS.OBRIGACOES_CONTRATUAIS</t>
        </is>
      </c>
      <c r="B156" s="10" t="inlineStr">
        <is>
          <t>obrigacoes_contratuais</t>
        </is>
      </c>
      <c r="C156" s="10" t="inlineStr">
        <is>
          <t>Definir, validar e manter: Obrigacoes Contratuais</t>
        </is>
      </c>
      <c r="D156" s="11" t="n"/>
      <c r="E156" s="12" t="inlineStr">
        <is>
          <t>baixa</t>
        </is>
      </c>
    </row>
    <row r="157">
      <c r="A157" s="9" t="inlineStr">
        <is>
          <t>D02-DOC-DGRC-001.PRIVACY.DADOS_PESSOAIS</t>
        </is>
      </c>
      <c r="B157" s="10" t="inlineStr">
        <is>
          <t>dados_pessoais</t>
        </is>
      </c>
      <c r="C157" s="10" t="inlineStr">
        <is>
          <t>Definir, validar e manter: Dados Pessoais</t>
        </is>
      </c>
      <c r="D157" s="11" t="n"/>
      <c r="E157" s="12" t="inlineStr">
        <is>
          <t>media</t>
        </is>
      </c>
    </row>
    <row r="158">
      <c r="A158" s="9" t="inlineStr">
        <is>
          <t>D02-DOC-DGRC-001.PRIVACY.FINALIDADES</t>
        </is>
      </c>
      <c r="B158" s="10" t="inlineStr">
        <is>
          <t>finalidades</t>
        </is>
      </c>
      <c r="C158" s="10" t="inlineStr">
        <is>
          <t>Definir, validar e manter: Finalidades</t>
        </is>
      </c>
      <c r="D158" s="11" t="n"/>
      <c r="E158" s="12" t="inlineStr">
        <is>
          <t>baixa</t>
        </is>
      </c>
    </row>
    <row r="159">
      <c r="A159" s="9" t="inlineStr">
        <is>
          <t>D02-DOC-DGRC-001.PRIVACY.BASES_LEGAIS</t>
        </is>
      </c>
      <c r="B159" s="10" t="inlineStr">
        <is>
          <t>bases_legais</t>
        </is>
      </c>
      <c r="C159" s="10" t="inlineStr">
        <is>
          <t>Definir, validar e manter: Bases Legais</t>
        </is>
      </c>
      <c r="D159" s="11" t="n"/>
      <c r="E159" s="12" t="inlineStr">
        <is>
          <t>baixa</t>
        </is>
      </c>
    </row>
    <row r="160">
      <c r="A160" s="9" t="inlineStr">
        <is>
          <t>D02-DOC-DGRC-001.PRIVACY.DIREITOS</t>
        </is>
      </c>
      <c r="B160" s="10" t="inlineStr">
        <is>
          <t>direitos</t>
        </is>
      </c>
      <c r="C160" s="10" t="inlineStr">
        <is>
          <t>Definir, validar e manter: Direitos</t>
        </is>
      </c>
      <c r="D160" s="11" t="n"/>
      <c r="E160" s="12" t="inlineStr">
        <is>
          <t>baixa</t>
        </is>
      </c>
    </row>
    <row r="161">
      <c r="A161" s="9" t="inlineStr">
        <is>
          <t>D02-DOC-DGRC-001.PRIVACY.RETENCAO</t>
        </is>
      </c>
      <c r="B161" s="10" t="inlineStr">
        <is>
          <t>retencao</t>
        </is>
      </c>
      <c r="C161" s="10" t="inlineStr">
        <is>
          <t>Definir, validar e manter: Retencao</t>
        </is>
      </c>
      <c r="D161" s="11" t="n"/>
      <c r="E161" s="12" t="inlineStr">
        <is>
          <t>media</t>
        </is>
      </c>
    </row>
    <row r="162">
      <c r="A162" s="9" t="inlineStr">
        <is>
          <t>D02-DOC-DGRC-001.INTELLECTUAL_PROPERTY.MARCAS</t>
        </is>
      </c>
      <c r="B162" s="10" t="inlineStr">
        <is>
          <t>marcas</t>
        </is>
      </c>
      <c r="C162" s="10" t="inlineStr">
        <is>
          <t>Definir, validar e manter: Marcas</t>
        </is>
      </c>
      <c r="D162" s="11" t="n"/>
      <c r="E162" s="12" t="inlineStr">
        <is>
          <t>baixa</t>
        </is>
      </c>
    </row>
    <row r="163">
      <c r="A163" s="9" t="inlineStr">
        <is>
          <t>D02-DOC-DGRC-001.INTELLECTUAL_PROPERTY.DIREITOS_AUTORAIS</t>
        </is>
      </c>
      <c r="B163" s="10" t="inlineStr">
        <is>
          <t>direitos_autorais</t>
        </is>
      </c>
      <c r="C163" s="10" t="inlineStr">
        <is>
          <t>Definir, validar e manter: Direitos Autorais</t>
        </is>
      </c>
      <c r="D163" s="11" t="n"/>
      <c r="E163" s="12" t="inlineStr">
        <is>
          <t>baixa</t>
        </is>
      </c>
    </row>
    <row r="164">
      <c r="A164" s="9" t="inlineStr">
        <is>
          <t>D02-DOC-DGRC-001.INTELLECTUAL_PROPERTY.SOFTWARE</t>
        </is>
      </c>
      <c r="B164" s="10" t="inlineStr">
        <is>
          <t>software</t>
        </is>
      </c>
      <c r="C164" s="10" t="inlineStr">
        <is>
          <t>Definir, validar e manter: Software</t>
        </is>
      </c>
      <c r="D164" s="11" t="n"/>
      <c r="E164" s="12" t="inlineStr">
        <is>
          <t>baixa</t>
        </is>
      </c>
    </row>
    <row r="165">
      <c r="A165" s="9" t="inlineStr">
        <is>
          <t>D02-DOC-DGRC-001.INTELLECTUAL_PROPERTY.LICENCAS</t>
        </is>
      </c>
      <c r="B165" s="10" t="inlineStr">
        <is>
          <t>licencas</t>
        </is>
      </c>
      <c r="C165" s="10" t="inlineStr">
        <is>
          <t>Definir, validar e manter: Licencas</t>
        </is>
      </c>
      <c r="D165" s="11" t="n"/>
      <c r="E165" s="12" t="inlineStr">
        <is>
          <t>baixa</t>
        </is>
      </c>
    </row>
    <row r="166">
      <c r="A166" s="9" t="inlineStr">
        <is>
          <t>D02-DOC-DGRC-001.RISK_MANAGEMENT.RISCOS</t>
        </is>
      </c>
      <c r="B166" s="10" t="inlineStr">
        <is>
          <t>riscos</t>
        </is>
      </c>
      <c r="C166" s="10" t="inlineStr">
        <is>
          <t>Definir, validar e manter: Riscos</t>
        </is>
      </c>
      <c r="D166" s="11" t="n"/>
      <c r="E166" s="12" t="inlineStr">
        <is>
          <t>baixa</t>
        </is>
      </c>
    </row>
    <row r="167">
      <c r="A167" s="9" t="inlineStr">
        <is>
          <t>D02-DOC-DGRC-001.RISK_MANAGEMENT.CONTROLES</t>
        </is>
      </c>
      <c r="B167" s="10" t="inlineStr">
        <is>
          <t>controles</t>
        </is>
      </c>
      <c r="C167" s="10" t="inlineStr">
        <is>
          <t>Definir, validar e manter: Controles</t>
        </is>
      </c>
      <c r="D167" s="11" t="n"/>
      <c r="E167" s="12" t="inlineStr">
        <is>
          <t>baixa</t>
        </is>
      </c>
    </row>
    <row r="168">
      <c r="A168" s="9" t="inlineStr">
        <is>
          <t>D02-DOC-DGRC-001.RISK_MANAGEMENT.OWNERS</t>
        </is>
      </c>
      <c r="B168" s="10" t="inlineStr">
        <is>
          <t>owners</t>
        </is>
      </c>
      <c r="C168" s="10" t="inlineStr">
        <is>
          <t>Definir, validar e manter: Owners</t>
        </is>
      </c>
      <c r="D168" s="11" t="n"/>
      <c r="E168" s="12" t="inlineStr">
        <is>
          <t>baixa</t>
        </is>
      </c>
    </row>
    <row r="169">
      <c r="A169" s="9" t="inlineStr">
        <is>
          <t>D02-DOC-DGRC-001.RISK_MANAGEMENT.RESPOSTA</t>
        </is>
      </c>
      <c r="B169" s="10" t="inlineStr">
        <is>
          <t>resposta</t>
        </is>
      </c>
      <c r="C169" s="10" t="inlineStr">
        <is>
          <t>Definir, validar e manter: Resposta</t>
        </is>
      </c>
      <c r="D169" s="11" t="n"/>
      <c r="E169" s="12" t="inlineStr">
        <is>
          <t>baixa</t>
        </is>
      </c>
    </row>
    <row r="170">
      <c r="A170" s="9" t="inlineStr">
        <is>
          <t>D02-DOC-DGRC-001.COMPLIANCE.CONTROLES</t>
        </is>
      </c>
      <c r="B170" s="10" t="inlineStr">
        <is>
          <t>controles</t>
        </is>
      </c>
      <c r="C170" s="10" t="inlineStr">
        <is>
          <t>Definir, validar e manter: Controles</t>
        </is>
      </c>
      <c r="D170" s="11" t="n"/>
      <c r="E170" s="12" t="inlineStr">
        <is>
          <t>baixa</t>
        </is>
      </c>
    </row>
    <row r="171">
      <c r="A171" s="9" t="inlineStr">
        <is>
          <t>D02-DOC-DGRC-001.COMPLIANCE.AUDITORIAS</t>
        </is>
      </c>
      <c r="B171" s="10" t="inlineStr">
        <is>
          <t>auditorias</t>
        </is>
      </c>
      <c r="C171" s="10" t="inlineStr">
        <is>
          <t>Definir, validar e manter: Auditorias</t>
        </is>
      </c>
      <c r="D171" s="11" t="n"/>
      <c r="E171" s="12" t="inlineStr">
        <is>
          <t>baixa</t>
        </is>
      </c>
    </row>
    <row r="172">
      <c r="A172" s="9" t="inlineStr">
        <is>
          <t>D02-DOC-DGRC-001.COMPLIANCE.EVIDENCIAS</t>
        </is>
      </c>
      <c r="B172" s="10" t="inlineStr">
        <is>
          <t>evidencias</t>
        </is>
      </c>
      <c r="C172" s="10" t="inlineStr">
        <is>
          <t>Definir, validar e manter: Evidencias</t>
        </is>
      </c>
      <c r="D172" s="11" t="n"/>
      <c r="E172" s="12" t="inlineStr">
        <is>
          <t>baixa</t>
        </is>
      </c>
    </row>
    <row r="173">
      <c r="A173" s="9" t="inlineStr">
        <is>
          <t>D02-DOC-DGRC-001.COMPLIANCE.PERIODICIDADE</t>
        </is>
      </c>
      <c r="B173" s="10" t="inlineStr">
        <is>
          <t>periodicidade</t>
        </is>
      </c>
      <c r="C173" s="10" t="inlineStr">
        <is>
          <t>Definir, validar e manter: Periodicidade</t>
        </is>
      </c>
      <c r="D173" s="11" t="n"/>
      <c r="E173" s="12" t="inlineStr">
        <is>
          <t>baixa</t>
        </is>
      </c>
    </row>
    <row r="174">
      <c r="A174" s="9" t="inlineStr">
        <is>
          <t>D02-DOC-DGRC-001.INCIDENTS.EVENTOS_REPORTAVEIS</t>
        </is>
      </c>
      <c r="B174" s="10" t="inlineStr">
        <is>
          <t>eventos_reportaveis</t>
        </is>
      </c>
      <c r="C174" s="10" t="inlineStr">
        <is>
          <t>Definir, validar e manter: Eventos Reportaveis</t>
        </is>
      </c>
      <c r="D174" s="11" t="n"/>
      <c r="E174" s="12" t="inlineStr">
        <is>
          <t>baixa</t>
        </is>
      </c>
    </row>
    <row r="175">
      <c r="A175" s="9" t="inlineStr">
        <is>
          <t>D02-DOC-DGRC-001.INCIDENTS.RESPOSTA</t>
        </is>
      </c>
      <c r="B175" s="10" t="inlineStr">
        <is>
          <t>resposta</t>
        </is>
      </c>
      <c r="C175" s="10" t="inlineStr">
        <is>
          <t>Definir, validar e manter: Resposta</t>
        </is>
      </c>
      <c r="D175" s="11" t="n"/>
      <c r="E175" s="12" t="inlineStr">
        <is>
          <t>baixa</t>
        </is>
      </c>
    </row>
    <row r="176">
      <c r="A176" s="9" t="inlineStr">
        <is>
          <t>D02-DOC-DGRC-001.INCIDENTS.ESCALACAO</t>
        </is>
      </c>
      <c r="B176" s="10" t="inlineStr">
        <is>
          <t>escalacao</t>
        </is>
      </c>
      <c r="C176" s="10" t="inlineStr">
        <is>
          <t>Definir, validar e manter: Escalacao</t>
        </is>
      </c>
      <c r="D176" s="11" t="n"/>
      <c r="E176" s="12" t="inlineStr">
        <is>
          <t>media</t>
        </is>
      </c>
    </row>
    <row r="177">
      <c r="A177" s="9" t="inlineStr">
        <is>
          <t>D02-DOC-DGRC-001.APPROVALS.APROVADORES</t>
        </is>
      </c>
      <c r="B177" s="10" t="inlineStr">
        <is>
          <t>aprovadores</t>
        </is>
      </c>
      <c r="C177" s="10" t="inlineStr">
        <is>
          <t>Definir, validar e manter: Aprovadores</t>
        </is>
      </c>
      <c r="D177" s="11" t="n"/>
      <c r="E177" s="12" t="inlineStr">
        <is>
          <t>media</t>
        </is>
      </c>
    </row>
    <row r="178">
      <c r="A178" s="9" t="inlineStr">
        <is>
          <t>D02-DOC-DGRC-001.APPROVALS.GATES_JURIDICOS</t>
        </is>
      </c>
      <c r="B178" s="10" t="inlineStr">
        <is>
          <t>gates_juridicos</t>
        </is>
      </c>
      <c r="C178" s="10" t="inlineStr">
        <is>
          <t>Definir, validar e manter: Gates Juridicos</t>
        </is>
      </c>
      <c r="D178" s="11" t="n"/>
      <c r="E178" s="12" t="inlineStr">
        <is>
          <t>baixa</t>
        </is>
      </c>
    </row>
    <row r="179">
      <c r="A179" s="8" t="inlineStr">
        <is>
          <t>Artefato D02-DOC-MRC-001 — Matriz de Riscos e Controles</t>
        </is>
      </c>
      <c r="B179" s="6" t="n"/>
      <c r="C179" s="6" t="n"/>
      <c r="D179" s="6" t="n"/>
      <c r="E179" s="7" t="n"/>
    </row>
    <row r="180">
      <c r="A180" s="9" t="inlineStr">
        <is>
          <t>D02-DOC-MRC-001.SCHEMA.RISK_ID</t>
        </is>
      </c>
      <c r="B180" s="10" t="inlineStr">
        <is>
          <t>risk_id</t>
        </is>
      </c>
      <c r="C180" s="10" t="inlineStr">
        <is>
          <t>Definir, validar e manter: Risk ID</t>
        </is>
      </c>
      <c r="D180" s="11" t="n"/>
      <c r="E180" s="12" t="inlineStr">
        <is>
          <t>baixa</t>
        </is>
      </c>
    </row>
    <row r="181">
      <c r="A181" s="9" t="inlineStr">
        <is>
          <t>D02-DOC-MRC-001.SCHEMA.CATEGORIA</t>
        </is>
      </c>
      <c r="B181" s="10" t="inlineStr">
        <is>
          <t>categoria</t>
        </is>
      </c>
      <c r="C181" s="10" t="inlineStr">
        <is>
          <t>Definir, validar e manter: Categoria</t>
        </is>
      </c>
      <c r="D181" s="11" t="n"/>
      <c r="E181" s="12" t="inlineStr">
        <is>
          <t>baixa</t>
        </is>
      </c>
    </row>
    <row r="182">
      <c r="A182" s="9" t="inlineStr">
        <is>
          <t>D02-DOC-MRC-001.SCHEMA.ATIVO_PROCESSO_AFETADO</t>
        </is>
      </c>
      <c r="B182" s="10" t="inlineStr">
        <is>
          <t>ativo_processo_afetado</t>
        </is>
      </c>
      <c r="C182" s="10" t="inlineStr">
        <is>
          <t>Definir, validar e manter: Ativo Processo Afetado</t>
        </is>
      </c>
      <c r="D182" s="11" t="n"/>
      <c r="E182" s="12" t="inlineStr">
        <is>
          <t>baixa</t>
        </is>
      </c>
    </row>
    <row r="183">
      <c r="A183" s="9" t="inlineStr">
        <is>
          <t>D02-DOC-MRC-001.SCHEMA.EVENTO_DE_RISCO</t>
        </is>
      </c>
      <c r="B183" s="10" t="inlineStr">
        <is>
          <t>evento_de_risco</t>
        </is>
      </c>
      <c r="C183" s="10" t="inlineStr">
        <is>
          <t>Definir, validar e manter: Evento De Risco</t>
        </is>
      </c>
      <c r="D183" s="11" t="n"/>
      <c r="E183" s="12" t="inlineStr">
        <is>
          <t>baixa</t>
        </is>
      </c>
    </row>
    <row r="184">
      <c r="A184" s="9" t="inlineStr">
        <is>
          <t>D02-DOC-MRC-001.SCHEMA.CAUSA</t>
        </is>
      </c>
      <c r="B184" s="10" t="inlineStr">
        <is>
          <t>causa</t>
        </is>
      </c>
      <c r="C184" s="10" t="inlineStr">
        <is>
          <t>Definir, validar e manter: Causa</t>
        </is>
      </c>
      <c r="D184" s="11" t="n"/>
      <c r="E184" s="12" t="inlineStr">
        <is>
          <t>baixa</t>
        </is>
      </c>
    </row>
    <row r="185">
      <c r="A185" s="9" t="inlineStr">
        <is>
          <t>D02-DOC-MRC-001.SCHEMA.IMPACTO</t>
        </is>
      </c>
      <c r="B185" s="10" t="inlineStr">
        <is>
          <t>impacto</t>
        </is>
      </c>
      <c r="C185" s="10" t="inlineStr">
        <is>
          <t>Definir, validar e manter: Impacto</t>
        </is>
      </c>
      <c r="D185" s="11" t="n"/>
      <c r="E185" s="12" t="inlineStr">
        <is>
          <t>baixa</t>
        </is>
      </c>
    </row>
    <row r="186">
      <c r="A186" s="9" t="inlineStr">
        <is>
          <t>D02-DOC-MRC-001.SCHEMA.PROBABILIDADE</t>
        </is>
      </c>
      <c r="B186" s="10" t="inlineStr">
        <is>
          <t>probabilidade</t>
        </is>
      </c>
      <c r="C186" s="10" t="inlineStr">
        <is>
          <t>Definir, validar e manter: Probabilidade</t>
        </is>
      </c>
      <c r="D186" s="11" t="n"/>
      <c r="E186" s="12" t="inlineStr">
        <is>
          <t>baixa</t>
        </is>
      </c>
    </row>
    <row r="187">
      <c r="A187" s="9" t="inlineStr">
        <is>
          <t>D02-DOC-MRC-001.SCHEMA.SEVERIDADE</t>
        </is>
      </c>
      <c r="B187" s="10" t="inlineStr">
        <is>
          <t>severidade</t>
        </is>
      </c>
      <c r="C187" s="10" t="inlineStr">
        <is>
          <t>Definir, validar e manter: Severidade</t>
        </is>
      </c>
      <c r="D187" s="11" t="n"/>
      <c r="E187" s="12" t="inlineStr">
        <is>
          <t>baixa</t>
        </is>
      </c>
    </row>
    <row r="188">
      <c r="A188" s="9" t="inlineStr">
        <is>
          <t>D02-DOC-MRC-001.SCHEMA.RISCO_INERENTE</t>
        </is>
      </c>
      <c r="B188" s="10" t="inlineStr">
        <is>
          <t>risco_inerente</t>
        </is>
      </c>
      <c r="C188" s="10" t="inlineStr">
        <is>
          <t>Definir, validar e manter: Risco Inerente</t>
        </is>
      </c>
      <c r="D188" s="11" t="n"/>
      <c r="E188" s="12" t="inlineStr">
        <is>
          <t>baixa</t>
        </is>
      </c>
    </row>
    <row r="189">
      <c r="A189" s="9" t="inlineStr">
        <is>
          <t>D02-DOC-MRC-001.SCHEMA.CONTROLES_EXISTENTES</t>
        </is>
      </c>
      <c r="B189" s="10" t="inlineStr">
        <is>
          <t>controles_existentes</t>
        </is>
      </c>
      <c r="C189" s="10" t="inlineStr">
        <is>
          <t>Definir, validar e manter: Controles Existentes</t>
        </is>
      </c>
      <c r="D189" s="11" t="n"/>
      <c r="E189" s="12" t="inlineStr">
        <is>
          <t>baixa</t>
        </is>
      </c>
    </row>
    <row r="190">
      <c r="A190" s="9" t="inlineStr">
        <is>
          <t>D02-DOC-MRC-001.SCHEMA.EFETIVIDADE_CONTROLE</t>
        </is>
      </c>
      <c r="B190" s="10" t="inlineStr">
        <is>
          <t>efetividade_controle</t>
        </is>
      </c>
      <c r="C190" s="10" t="inlineStr">
        <is>
          <t>Definir, validar e manter: Efetividade Controle</t>
        </is>
      </c>
      <c r="D190" s="11" t="n"/>
      <c r="E190" s="12" t="inlineStr">
        <is>
          <t>baixa</t>
        </is>
      </c>
    </row>
    <row r="191">
      <c r="A191" s="9" t="inlineStr">
        <is>
          <t>D02-DOC-MRC-001.SCHEMA.RISCO_RESIDUAL</t>
        </is>
      </c>
      <c r="B191" s="10" t="inlineStr">
        <is>
          <t>risco_residual</t>
        </is>
      </c>
      <c r="C191" s="10" t="inlineStr">
        <is>
          <t>Definir, validar e manter: Risco Residual</t>
        </is>
      </c>
      <c r="D191" s="11" t="n"/>
      <c r="E191" s="12" t="inlineStr">
        <is>
          <t>baixa</t>
        </is>
      </c>
    </row>
    <row r="192">
      <c r="A192" s="9" t="inlineStr">
        <is>
          <t>D02-DOC-MRC-001.SCHEMA.RESPOSTA</t>
        </is>
      </c>
      <c r="B192" s="10" t="inlineStr">
        <is>
          <t>resposta</t>
        </is>
      </c>
      <c r="C192" s="10" t="inlineStr">
        <is>
          <t>Definir, validar e manter: Resposta</t>
        </is>
      </c>
      <c r="D192" s="11" t="n"/>
      <c r="E192" s="12" t="inlineStr">
        <is>
          <t>baixa</t>
        </is>
      </c>
    </row>
    <row r="193">
      <c r="A193" s="9" t="inlineStr">
        <is>
          <t>D02-DOC-MRC-001.SCHEMA.OWNER</t>
        </is>
      </c>
      <c r="B193" s="10" t="inlineStr">
        <is>
          <t>owner</t>
        </is>
      </c>
      <c r="C193" s="10" t="inlineStr">
        <is>
          <t>Definir, validar e manter: Owner</t>
        </is>
      </c>
      <c r="D193" s="11" t="n"/>
      <c r="E193" s="12" t="inlineStr">
        <is>
          <t>baixa</t>
        </is>
      </c>
    </row>
    <row r="194">
      <c r="A194" s="9" t="inlineStr">
        <is>
          <t>D02-DOC-MRC-001.SCHEMA.TRIGGER</t>
        </is>
      </c>
      <c r="B194" s="10" t="inlineStr">
        <is>
          <t>trigger</t>
        </is>
      </c>
      <c r="C194" s="10" t="inlineStr">
        <is>
          <t>Definir, validar e manter: Trigger</t>
        </is>
      </c>
      <c r="D194" s="11" t="n"/>
      <c r="E194" s="12" t="inlineStr">
        <is>
          <t>baixa</t>
        </is>
      </c>
    </row>
    <row r="195">
      <c r="A195" s="9" t="inlineStr">
        <is>
          <t>D02-DOC-MRC-001.SCHEMA.PRAZO</t>
        </is>
      </c>
      <c r="B195" s="10" t="inlineStr">
        <is>
          <t>prazo</t>
        </is>
      </c>
      <c r="C195" s="10" t="inlineStr">
        <is>
          <t>Definir, validar e manter: Prazo</t>
        </is>
      </c>
      <c r="D195" s="11" t="n"/>
      <c r="E195" s="12" t="inlineStr">
        <is>
          <t>baixa</t>
        </is>
      </c>
    </row>
    <row r="196">
      <c r="A196" s="9" t="inlineStr">
        <is>
          <t>D02-DOC-MRC-001.SCHEMA.EVIDENCIA</t>
        </is>
      </c>
      <c r="B196" s="10" t="inlineStr">
        <is>
          <t>evidencia</t>
        </is>
      </c>
      <c r="C196" s="10" t="inlineStr">
        <is>
          <t>Definir, validar e manter: Evidencia</t>
        </is>
      </c>
      <c r="D196" s="11" t="n"/>
      <c r="E196" s="12" t="inlineStr">
        <is>
          <t>baixa</t>
        </is>
      </c>
    </row>
    <row r="197">
      <c r="A197" s="9" t="inlineStr">
        <is>
          <t>D02-DOC-MRC-001.SCHEMA.STATUS</t>
        </is>
      </c>
      <c r="B197" s="10" t="inlineStr">
        <is>
          <t>status</t>
        </is>
      </c>
      <c r="C197" s="10" t="inlineStr">
        <is>
          <t>Definir, validar e manter: Status</t>
        </is>
      </c>
      <c r="D197" s="11" t="n"/>
      <c r="E197" s="12" t="inlineStr">
        <is>
          <t>baixa</t>
        </is>
      </c>
    </row>
    <row r="198">
      <c r="A198" s="8" t="inlineStr">
        <is>
          <t>Artefato D02-DOC-PPT-001 — Política de Privacidade e Termos</t>
        </is>
      </c>
      <c r="B198" s="6" t="n"/>
      <c r="C198" s="6" t="n"/>
      <c r="D198" s="6" t="n"/>
      <c r="E198" s="7" t="n"/>
    </row>
    <row r="199">
      <c r="A199" s="9" t="inlineStr">
        <is>
          <t>D02-DOC-PPT-001.ORGANIZATION.CONTROLADOR</t>
        </is>
      </c>
      <c r="B199" s="10" t="inlineStr">
        <is>
          <t>controlador</t>
        </is>
      </c>
      <c r="C199" s="10" t="inlineStr">
        <is>
          <t>Definir, validar e manter: Controlador</t>
        </is>
      </c>
      <c r="D199" s="11" t="n"/>
      <c r="E199" s="12" t="inlineStr">
        <is>
          <t>baixa</t>
        </is>
      </c>
    </row>
    <row r="200">
      <c r="A200" s="9" t="inlineStr">
        <is>
          <t>D02-DOC-PPT-001.ORGANIZATION.OPERADOR</t>
        </is>
      </c>
      <c r="B200" s="10" t="inlineStr">
        <is>
          <t>operador</t>
        </is>
      </c>
      <c r="C200" s="10" t="inlineStr">
        <is>
          <t>Definir, validar e manter: Operador</t>
        </is>
      </c>
      <c r="D200" s="11" t="n"/>
      <c r="E200" s="12" t="inlineStr">
        <is>
          <t>baixa</t>
        </is>
      </c>
    </row>
    <row r="201">
      <c r="A201" s="9" t="inlineStr">
        <is>
          <t>D02-DOC-PPT-001.ORGANIZATION.CONTATO</t>
        </is>
      </c>
      <c r="B201" s="10" t="inlineStr">
        <is>
          <t>contato</t>
        </is>
      </c>
      <c r="C201" s="10" t="inlineStr">
        <is>
          <t>Definir, validar e manter: Contato</t>
        </is>
      </c>
      <c r="D201" s="11" t="n"/>
      <c r="E201" s="12" t="inlineStr">
        <is>
          <t>baixa</t>
        </is>
      </c>
    </row>
    <row r="202">
      <c r="A202" s="9" t="inlineStr">
        <is>
          <t>D02-DOC-PPT-001.COLLECTED_DATA.CATEGORIAS_DE_DADOS</t>
        </is>
      </c>
      <c r="B202" s="10" t="inlineStr">
        <is>
          <t>categorias_de_dados</t>
        </is>
      </c>
      <c r="C202" s="10" t="inlineStr">
        <is>
          <t>Definir, validar e manter: Categorias De Dados</t>
        </is>
      </c>
      <c r="D202" s="11" t="n"/>
      <c r="E202" s="12" t="inlineStr">
        <is>
          <t>baixa</t>
        </is>
      </c>
    </row>
    <row r="203">
      <c r="A203" s="9" t="inlineStr">
        <is>
          <t>D02-DOC-PPT-001.COLLECTED_DATA.ORIGEM</t>
        </is>
      </c>
      <c r="B203" s="10" t="inlineStr">
        <is>
          <t>origem</t>
        </is>
      </c>
      <c r="C203" s="10" t="inlineStr">
        <is>
          <t>Definir, validar e manter: Origem</t>
        </is>
      </c>
      <c r="D203" s="11" t="n"/>
      <c r="E203" s="12" t="inlineStr">
        <is>
          <t>baixa</t>
        </is>
      </c>
    </row>
    <row r="204">
      <c r="A204" s="9" t="inlineStr">
        <is>
          <t>D02-DOC-PPT-001.PURPOSES.FINALIDADE</t>
        </is>
      </c>
      <c r="B204" s="10" t="inlineStr">
        <is>
          <t>finalidade</t>
        </is>
      </c>
      <c r="C204" s="10" t="inlineStr">
        <is>
          <t>Definir, validar e manter: Finalidade</t>
        </is>
      </c>
      <c r="D204" s="11" t="n"/>
      <c r="E204" s="12" t="inlineStr">
        <is>
          <t>baixa</t>
        </is>
      </c>
    </row>
    <row r="205">
      <c r="A205" s="9" t="inlineStr">
        <is>
          <t>D02-DOC-PPT-001.PURPOSES.BASE_LEGAL</t>
        </is>
      </c>
      <c r="B205" s="10" t="inlineStr">
        <is>
          <t>base_legal</t>
        </is>
      </c>
      <c r="C205" s="10" t="inlineStr">
        <is>
          <t>Definir, validar e manter: Base Legal</t>
        </is>
      </c>
      <c r="D205" s="11" t="n"/>
      <c r="E205" s="12" t="inlineStr">
        <is>
          <t>media</t>
        </is>
      </c>
    </row>
    <row r="206">
      <c r="A206" s="9" t="inlineStr">
        <is>
          <t>D02-DOC-PPT-001.SHARING.TERCEIROS</t>
        </is>
      </c>
      <c r="B206" s="10" t="inlineStr">
        <is>
          <t>terceiros</t>
        </is>
      </c>
      <c r="C206" s="10" t="inlineStr">
        <is>
          <t>Definir, validar e manter: Terceiros</t>
        </is>
      </c>
      <c r="D206" s="11" t="n"/>
      <c r="E206" s="12" t="inlineStr">
        <is>
          <t>baixa</t>
        </is>
      </c>
    </row>
    <row r="207">
      <c r="A207" s="9" t="inlineStr">
        <is>
          <t>D02-DOC-PPT-001.SHARING.OPERADORES</t>
        </is>
      </c>
      <c r="B207" s="10" t="inlineStr">
        <is>
          <t>operadores</t>
        </is>
      </c>
      <c r="C207" s="10" t="inlineStr">
        <is>
          <t>Definir, validar e manter: Operadores</t>
        </is>
      </c>
      <c r="D207" s="11" t="n"/>
      <c r="E207" s="12" t="inlineStr">
        <is>
          <t>baixa</t>
        </is>
      </c>
    </row>
    <row r="208">
      <c r="A208" s="9" t="inlineStr">
        <is>
          <t>D02-DOC-PPT-001.SHARING.TRANSFERENCIA</t>
        </is>
      </c>
      <c r="B208" s="10" t="inlineStr">
        <is>
          <t>transferencia</t>
        </is>
      </c>
      <c r="C208" s="10" t="inlineStr">
        <is>
          <t>Definir, validar e manter: Transferencia</t>
        </is>
      </c>
      <c r="D208" s="11" t="n"/>
      <c r="E208" s="12" t="inlineStr">
        <is>
          <t>baixa</t>
        </is>
      </c>
    </row>
    <row r="209">
      <c r="A209" s="9" t="inlineStr">
        <is>
          <t>D02-DOC-PPT-001.STORAGE.RETENCAO</t>
        </is>
      </c>
      <c r="B209" s="10" t="inlineStr">
        <is>
          <t>retencao</t>
        </is>
      </c>
      <c r="C209" s="10" t="inlineStr">
        <is>
          <t>Definir, validar e manter: Retencao</t>
        </is>
      </c>
      <c r="D209" s="11" t="n"/>
      <c r="E209" s="12" t="inlineStr">
        <is>
          <t>media</t>
        </is>
      </c>
    </row>
    <row r="210">
      <c r="A210" s="9" t="inlineStr">
        <is>
          <t>D02-DOC-PPT-001.STORAGE.EXCLUSAO</t>
        </is>
      </c>
      <c r="B210" s="10" t="inlineStr">
        <is>
          <t>exclusao</t>
        </is>
      </c>
      <c r="C210" s="10" t="inlineStr">
        <is>
          <t>Definir, validar e manter: Exclusao</t>
        </is>
      </c>
      <c r="D210" s="11" t="n"/>
      <c r="E210" s="12" t="inlineStr">
        <is>
          <t>baixa</t>
        </is>
      </c>
    </row>
    <row r="211">
      <c r="A211" s="9" t="inlineStr">
        <is>
          <t>D02-DOC-PPT-001.RIGHTS.DIREITOS_DO_TITULAR</t>
        </is>
      </c>
      <c r="B211" s="10" t="inlineStr">
        <is>
          <t>direitos_do_titular</t>
        </is>
      </c>
      <c r="C211" s="10" t="inlineStr">
        <is>
          <t>Definir, validar e manter: Direitos Do Titular</t>
        </is>
      </c>
      <c r="D211" s="11" t="n"/>
      <c r="E211" s="12" t="inlineStr">
        <is>
          <t>media</t>
        </is>
      </c>
    </row>
    <row r="212">
      <c r="A212" s="9" t="inlineStr">
        <is>
          <t>D02-DOC-PPT-001.RIGHTS.CANAL_DE_SOLICITACAO</t>
        </is>
      </c>
      <c r="B212" s="10" t="inlineStr">
        <is>
          <t>canal_de_solicitacao</t>
        </is>
      </c>
      <c r="C212" s="10" t="inlineStr">
        <is>
          <t>Definir, validar e manter: Canal De Solicitacao</t>
        </is>
      </c>
      <c r="D212" s="11" t="n"/>
      <c r="E212" s="12" t="inlineStr">
        <is>
          <t>baixa</t>
        </is>
      </c>
    </row>
    <row r="213">
      <c r="A213" s="9" t="inlineStr">
        <is>
          <t>D02-DOC-PPT-001.COOKIES.COOKIES</t>
        </is>
      </c>
      <c r="B213" s="10" t="inlineStr">
        <is>
          <t>cookies</t>
        </is>
      </c>
      <c r="C213" s="10" t="inlineStr">
        <is>
          <t>Definir, validar e manter: Cookies</t>
        </is>
      </c>
      <c r="D213" s="11" t="n"/>
      <c r="E213" s="12" t="inlineStr">
        <is>
          <t>media</t>
        </is>
      </c>
    </row>
    <row r="214">
      <c r="A214" s="9" t="inlineStr">
        <is>
          <t>D02-DOC-PPT-001.COOKIES.ANALYTICS</t>
        </is>
      </c>
      <c r="B214" s="10" t="inlineStr">
        <is>
          <t>analytics</t>
        </is>
      </c>
      <c r="C214" s="10" t="inlineStr">
        <is>
          <t>Definir, validar e manter: Analytics</t>
        </is>
      </c>
      <c r="D214" s="11" t="n"/>
      <c r="E214" s="12" t="inlineStr">
        <is>
          <t>baixa</t>
        </is>
      </c>
    </row>
    <row r="215">
      <c r="A215" s="9" t="inlineStr">
        <is>
          <t>D02-DOC-PPT-001.COOKIES.PREFERENCIAS</t>
        </is>
      </c>
      <c r="B215" s="10" t="inlineStr">
        <is>
          <t>preferencias</t>
        </is>
      </c>
      <c r="C215" s="10" t="inlineStr">
        <is>
          <t>Definir, validar e manter: Preferencias</t>
        </is>
      </c>
      <c r="D215" s="11" t="n"/>
      <c r="E215" s="12" t="inlineStr">
        <is>
          <t>baixa</t>
        </is>
      </c>
    </row>
    <row r="216">
      <c r="A216" s="9" t="inlineStr">
        <is>
          <t>D02-DOC-PPT-001.SECURITY.MEDIDAS_DE_SEGURANCA</t>
        </is>
      </c>
      <c r="B216" s="10" t="inlineStr">
        <is>
          <t>medidas_de_seguranca</t>
        </is>
      </c>
      <c r="C216" s="10" t="inlineStr">
        <is>
          <t>Definir, validar e manter: Medidas De Seguranca</t>
        </is>
      </c>
      <c r="D216" s="11" t="n"/>
      <c r="E216" s="12" t="inlineStr">
        <is>
          <t>baixa</t>
        </is>
      </c>
    </row>
    <row r="217">
      <c r="A217" s="9" t="inlineStr">
        <is>
          <t>D02-DOC-PPT-001.TERMS.ELEGIBILIDADE</t>
        </is>
      </c>
      <c r="B217" s="10" t="inlineStr">
        <is>
          <t>elegibilidade</t>
        </is>
      </c>
      <c r="C217" s="10" t="inlineStr">
        <is>
          <t>Definir, validar e manter: Elegibilidade</t>
        </is>
      </c>
      <c r="D217" s="11" t="n"/>
      <c r="E217" s="12" t="inlineStr">
        <is>
          <t>baixa</t>
        </is>
      </c>
    </row>
    <row r="218">
      <c r="A218" s="9" t="inlineStr">
        <is>
          <t>D02-DOC-PPT-001.TERMS.USO_PERMITIDO</t>
        </is>
      </c>
      <c r="B218" s="10" t="inlineStr">
        <is>
          <t>uso_permitido</t>
        </is>
      </c>
      <c r="C218" s="10" t="inlineStr">
        <is>
          <t>Definir, validar e manter: Uso Permitido</t>
        </is>
      </c>
      <c r="D218" s="11" t="n"/>
      <c r="E218" s="12" t="inlineStr">
        <is>
          <t>baixa</t>
        </is>
      </c>
    </row>
    <row r="219">
      <c r="A219" s="9" t="inlineStr">
        <is>
          <t>D02-DOC-PPT-001.TERMS.USO_PROIBIDO</t>
        </is>
      </c>
      <c r="B219" s="10" t="inlineStr">
        <is>
          <t>uso_proibido</t>
        </is>
      </c>
      <c r="C219" s="10" t="inlineStr">
        <is>
          <t>Definir, validar e manter: Uso Proibido</t>
        </is>
      </c>
      <c r="D219" s="11" t="n"/>
      <c r="E219" s="12" t="inlineStr">
        <is>
          <t>baixa</t>
        </is>
      </c>
    </row>
    <row r="220">
      <c r="A220" s="9" t="inlineStr">
        <is>
          <t>D02-DOC-PPT-001.LIABILITY.LIMITACOES</t>
        </is>
      </c>
      <c r="B220" s="10" t="inlineStr">
        <is>
          <t>limitacoes</t>
        </is>
      </c>
      <c r="C220" s="10" t="inlineStr">
        <is>
          <t>Definir, validar e manter: Limitacoes</t>
        </is>
      </c>
      <c r="D220" s="11" t="n"/>
      <c r="E220" s="12" t="inlineStr">
        <is>
          <t>baixa</t>
        </is>
      </c>
    </row>
    <row r="221">
      <c r="A221" s="9" t="inlineStr">
        <is>
          <t>D02-DOC-PPT-001.LIABILITY.RESPONSABILIDADES</t>
        </is>
      </c>
      <c r="B221" s="10" t="inlineStr">
        <is>
          <t>responsabilidades</t>
        </is>
      </c>
      <c r="C221" s="10" t="inlineStr">
        <is>
          <t>Definir, validar e manter: Responsabilidades</t>
        </is>
      </c>
      <c r="D221" s="11" t="n"/>
      <c r="E221" s="12" t="inlineStr">
        <is>
          <t>baixa</t>
        </is>
      </c>
    </row>
    <row r="222">
      <c r="A222" s="9" t="inlineStr">
        <is>
          <t>D02-DOC-PPT-001.IP.PROPRIEDADE_INTELECTUAL</t>
        </is>
      </c>
      <c r="B222" s="10" t="inlineStr">
        <is>
          <t>propriedade_intelectual</t>
        </is>
      </c>
      <c r="C222" s="10" t="inlineStr">
        <is>
          <t>Definir, validar e manter: Propriedade Intelectual</t>
        </is>
      </c>
      <c r="D222" s="11" t="n"/>
      <c r="E222" s="12" t="inlineStr">
        <is>
          <t>baixa</t>
        </is>
      </c>
    </row>
    <row r="223">
      <c r="A223" s="9" t="inlineStr">
        <is>
          <t>D02-DOC-PPT-001.TERMINATION.SUSPENSAO</t>
        </is>
      </c>
      <c r="B223" s="10" t="inlineStr">
        <is>
          <t>suspensao</t>
        </is>
      </c>
      <c r="C223" s="10" t="inlineStr">
        <is>
          <t>Definir, validar e manter: Suspensao</t>
        </is>
      </c>
      <c r="D223" s="11" t="n"/>
      <c r="E223" s="12" t="inlineStr">
        <is>
          <t>baixa</t>
        </is>
      </c>
    </row>
    <row r="224">
      <c r="A224" s="9" t="inlineStr">
        <is>
          <t>D02-DOC-PPT-001.TERMINATION.ENCERRAMENTO</t>
        </is>
      </c>
      <c r="B224" s="10" t="inlineStr">
        <is>
          <t>encerramento</t>
        </is>
      </c>
      <c r="C224" s="10" t="inlineStr">
        <is>
          <t>Definir, validar e manter: Encerramento</t>
        </is>
      </c>
      <c r="D224" s="11" t="n"/>
      <c r="E224" s="12" t="inlineStr">
        <is>
          <t>baixa</t>
        </is>
      </c>
    </row>
    <row r="225">
      <c r="A225" s="9" t="inlineStr">
        <is>
          <t>D02-DOC-PPT-001.UPDATES.ALTERACOES_DA_POLITICA</t>
        </is>
      </c>
      <c r="B225" s="10" t="inlineStr">
        <is>
          <t>alteracoes_da_politica</t>
        </is>
      </c>
      <c r="C225" s="10" t="inlineStr">
        <is>
          <t>Definir, validar e manter: Alteracoes Da Politica</t>
        </is>
      </c>
      <c r="D225" s="11" t="n"/>
      <c r="E225" s="12" t="inlineStr">
        <is>
          <t>baixa</t>
        </is>
      </c>
    </row>
    <row r="226">
      <c r="A226" s="8" t="inlineStr">
        <is>
          <t>Domínio D03 — Finanças</t>
        </is>
      </c>
      <c r="B226" s="6" t="n"/>
      <c r="C226" s="6" t="n"/>
      <c r="D226" s="6" t="n"/>
      <c r="E226" s="7" t="n"/>
    </row>
    <row r="227">
      <c r="A227" s="8" t="inlineStr">
        <is>
          <t>Artefato D03-DOC-PFO-001 — Plano Financeiro e Orçamentário</t>
        </is>
      </c>
      <c r="B227" s="6" t="n"/>
      <c r="C227" s="6" t="n"/>
      <c r="D227" s="6" t="n"/>
      <c r="E227" s="7" t="n"/>
    </row>
    <row r="228">
      <c r="A228" s="9" t="inlineStr">
        <is>
          <t>D03-DOC-PFO-001.ASSUMPTIONS.PREMISSAS_FINANCEIRAS</t>
        </is>
      </c>
      <c r="B228" s="10" t="inlineStr">
        <is>
          <t>premissas_financeiras</t>
        </is>
      </c>
      <c r="C228" s="10" t="inlineStr">
        <is>
          <t>Definir, validar e manter: Premissas Financeiras</t>
        </is>
      </c>
      <c r="D228" s="11" t="n"/>
      <c r="E228" s="12" t="inlineStr">
        <is>
          <t>baixa</t>
        </is>
      </c>
    </row>
    <row r="229">
      <c r="A229" s="9" t="inlineStr">
        <is>
          <t>D03-DOC-PFO-001.ASSUMPTIONS.PERIODO</t>
        </is>
      </c>
      <c r="B229" s="10" t="inlineStr">
        <is>
          <t>periodo</t>
        </is>
      </c>
      <c r="C229" s="10" t="inlineStr">
        <is>
          <t>Definir, validar e manter: Periodo</t>
        </is>
      </c>
      <c r="D229" s="11" t="n"/>
      <c r="E229" s="12" t="inlineStr">
        <is>
          <t>baixa</t>
        </is>
      </c>
    </row>
    <row r="230">
      <c r="A230" s="9" t="inlineStr">
        <is>
          <t>D03-DOC-PFO-001.ASSUMPTIONS.MOEDA</t>
        </is>
      </c>
      <c r="B230" s="10" t="inlineStr">
        <is>
          <t>moeda</t>
        </is>
      </c>
      <c r="C230" s="10" t="inlineStr">
        <is>
          <t>Definir, validar e manter: Moeda</t>
        </is>
      </c>
      <c r="D230" s="11" t="n"/>
      <c r="E230" s="12" t="inlineStr">
        <is>
          <t>baixa</t>
        </is>
      </c>
    </row>
    <row r="231">
      <c r="A231" s="9" t="inlineStr">
        <is>
          <t>D03-DOC-PFO-001.REVENUE.FONTES</t>
        </is>
      </c>
      <c r="B231" s="10" t="inlineStr">
        <is>
          <t>fontes</t>
        </is>
      </c>
      <c r="C231" s="10" t="inlineStr">
        <is>
          <t>Definir, validar e manter: Fontes</t>
        </is>
      </c>
      <c r="D231" s="11" t="n"/>
      <c r="E231" s="12" t="inlineStr">
        <is>
          <t>baixa</t>
        </is>
      </c>
    </row>
    <row r="232">
      <c r="A232" s="9" t="inlineStr">
        <is>
          <t>D03-DOC-PFO-001.REVENUE.PREVISOES</t>
        </is>
      </c>
      <c r="B232" s="10" t="inlineStr">
        <is>
          <t>previsoes</t>
        </is>
      </c>
      <c r="C232" s="10" t="inlineStr">
        <is>
          <t>Definir, validar e manter: Previsoes</t>
        </is>
      </c>
      <c r="D232" s="11" t="n"/>
      <c r="E232" s="12" t="inlineStr">
        <is>
          <t>baixa</t>
        </is>
      </c>
    </row>
    <row r="233">
      <c r="A233" s="9" t="inlineStr">
        <is>
          <t>D03-DOC-PFO-001.REVENUE.RECORRENCIA</t>
        </is>
      </c>
      <c r="B233" s="10" t="inlineStr">
        <is>
          <t>recorrencia</t>
        </is>
      </c>
      <c r="C233" s="10" t="inlineStr">
        <is>
          <t>Definir, validar e manter: Recorrencia</t>
        </is>
      </c>
      <c r="D233" s="11" t="n"/>
      <c r="E233" s="12" t="inlineStr">
        <is>
          <t>media</t>
        </is>
      </c>
    </row>
    <row r="234">
      <c r="A234" s="9" t="inlineStr">
        <is>
          <t>D03-DOC-PFO-001.CAPEX.ITEM</t>
        </is>
      </c>
      <c r="B234" s="10" t="inlineStr">
        <is>
          <t>item</t>
        </is>
      </c>
      <c r="C234" s="10" t="inlineStr">
        <is>
          <t>Definir, validar e manter: Item</t>
        </is>
      </c>
      <c r="D234" s="11" t="n"/>
      <c r="E234" s="12" t="inlineStr">
        <is>
          <t>media</t>
        </is>
      </c>
    </row>
    <row r="235">
      <c r="A235" s="9" t="inlineStr">
        <is>
          <t>D03-DOC-PFO-001.CAPEX.VALOR</t>
        </is>
      </c>
      <c r="B235" s="10" t="inlineStr">
        <is>
          <t>valor</t>
        </is>
      </c>
      <c r="C235" s="10" t="inlineStr">
        <is>
          <t>Definir, validar e manter: Valor</t>
        </is>
      </c>
      <c r="D235" s="11" t="n"/>
      <c r="E235" s="12" t="inlineStr">
        <is>
          <t>baixa</t>
        </is>
      </c>
    </row>
    <row r="236">
      <c r="A236" s="9" t="inlineStr">
        <is>
          <t>D03-DOC-PFO-001.CAPEX.PERIODO</t>
        </is>
      </c>
      <c r="B236" s="10" t="inlineStr">
        <is>
          <t>periodo</t>
        </is>
      </c>
      <c r="C236" s="10" t="inlineStr">
        <is>
          <t>Definir, validar e manter: Periodo</t>
        </is>
      </c>
      <c r="D236" s="11" t="n"/>
      <c r="E236" s="12" t="inlineStr">
        <is>
          <t>baixa</t>
        </is>
      </c>
    </row>
    <row r="237">
      <c r="A237" s="9" t="inlineStr">
        <is>
          <t>D03-DOC-PFO-001.CAPEX.JUSTIFICATIVA</t>
        </is>
      </c>
      <c r="B237" s="10" t="inlineStr">
        <is>
          <t>justificativa</t>
        </is>
      </c>
      <c r="C237" s="10" t="inlineStr">
        <is>
          <t>Definir, validar e manter: Justificativa</t>
        </is>
      </c>
      <c r="D237" s="11" t="n"/>
      <c r="E237" s="12" t="inlineStr">
        <is>
          <t>baixa</t>
        </is>
      </c>
    </row>
    <row r="238">
      <c r="A238" s="9" t="inlineStr">
        <is>
          <t>D03-DOC-PFO-001.OPEX.CATEGORIA</t>
        </is>
      </c>
      <c r="B238" s="10" t="inlineStr">
        <is>
          <t>categoria</t>
        </is>
      </c>
      <c r="C238" s="10" t="inlineStr">
        <is>
          <t>Definir, validar e manter: Categoria</t>
        </is>
      </c>
      <c r="D238" s="11" t="n"/>
      <c r="E238" s="12" t="inlineStr">
        <is>
          <t>media</t>
        </is>
      </c>
    </row>
    <row r="239">
      <c r="A239" s="9" t="inlineStr">
        <is>
          <t>D03-DOC-PFO-001.OPEX.VALOR</t>
        </is>
      </c>
      <c r="B239" s="10" t="inlineStr">
        <is>
          <t>valor</t>
        </is>
      </c>
      <c r="C239" s="10" t="inlineStr">
        <is>
          <t>Definir, validar e manter: Valor</t>
        </is>
      </c>
      <c r="D239" s="11" t="n"/>
      <c r="E239" s="12" t="inlineStr">
        <is>
          <t>baixa</t>
        </is>
      </c>
    </row>
    <row r="240">
      <c r="A240" s="9" t="inlineStr">
        <is>
          <t>D03-DOC-PFO-001.OPEX.PERIODICIDADE</t>
        </is>
      </c>
      <c r="B240" s="10" t="inlineStr">
        <is>
          <t>periodicidade</t>
        </is>
      </c>
      <c r="C240" s="10" t="inlineStr">
        <is>
          <t>Definir, validar e manter: Periodicidade</t>
        </is>
      </c>
      <c r="D240" s="11" t="n"/>
      <c r="E240" s="12" t="inlineStr">
        <is>
          <t>baixa</t>
        </is>
      </c>
    </row>
    <row r="241">
      <c r="A241" s="9" t="inlineStr">
        <is>
          <t>D03-DOC-PFO-001.BUDGET.ORCAMENTO_POR_AREA</t>
        </is>
      </c>
      <c r="B241" s="10" t="inlineStr">
        <is>
          <t>orcamento_por_area</t>
        </is>
      </c>
      <c r="C241" s="10" t="inlineStr">
        <is>
          <t>Definir, validar e manter: Orcamento Por Area</t>
        </is>
      </c>
      <c r="D241" s="11" t="n"/>
      <c r="E241" s="12" t="inlineStr">
        <is>
          <t>baixa</t>
        </is>
      </c>
    </row>
    <row r="242">
      <c r="A242" s="9" t="inlineStr">
        <is>
          <t>D03-DOC-PFO-001.BUDGET.LIMITE</t>
        </is>
      </c>
      <c r="B242" s="10" t="inlineStr">
        <is>
          <t>limite</t>
        </is>
      </c>
      <c r="C242" s="10" t="inlineStr">
        <is>
          <t>Definir, validar e manter: Limite</t>
        </is>
      </c>
      <c r="D242" s="11" t="n"/>
      <c r="E242" s="12" t="inlineStr">
        <is>
          <t>baixa</t>
        </is>
      </c>
    </row>
    <row r="243">
      <c r="A243" s="9" t="inlineStr">
        <is>
          <t>D03-DOC-PFO-001.BUDGET.REALIZADO</t>
        </is>
      </c>
      <c r="B243" s="10" t="inlineStr">
        <is>
          <t>realizado</t>
        </is>
      </c>
      <c r="C243" s="10" t="inlineStr">
        <is>
          <t>Definir, validar e manter: Realizado</t>
        </is>
      </c>
      <c r="D243" s="11" t="n"/>
      <c r="E243" s="12" t="inlineStr">
        <is>
          <t>baixa</t>
        </is>
      </c>
    </row>
    <row r="244">
      <c r="A244" s="9" t="inlineStr">
        <is>
          <t>D03-DOC-PFO-001.CASHFLOW.ENTRADAS</t>
        </is>
      </c>
      <c r="B244" s="10" t="inlineStr">
        <is>
          <t>entradas</t>
        </is>
      </c>
      <c r="C244" s="10" t="inlineStr">
        <is>
          <t>Definir, validar e manter: Entradas</t>
        </is>
      </c>
      <c r="D244" s="11" t="n"/>
      <c r="E244" s="12" t="inlineStr">
        <is>
          <t>baixa</t>
        </is>
      </c>
    </row>
    <row r="245">
      <c r="A245" s="9" t="inlineStr">
        <is>
          <t>D03-DOC-PFO-001.CASHFLOW.SAIDAS</t>
        </is>
      </c>
      <c r="B245" s="10" t="inlineStr">
        <is>
          <t>saidas</t>
        </is>
      </c>
      <c r="C245" s="10" t="inlineStr">
        <is>
          <t>Definir, validar e manter: Saidas</t>
        </is>
      </c>
      <c r="D245" s="11" t="n"/>
      <c r="E245" s="12" t="inlineStr">
        <is>
          <t>baixa</t>
        </is>
      </c>
    </row>
    <row r="246">
      <c r="A246" s="9" t="inlineStr">
        <is>
          <t>D03-DOC-PFO-001.CASHFLOW.SALDO</t>
        </is>
      </c>
      <c r="B246" s="10" t="inlineStr">
        <is>
          <t>saldo</t>
        </is>
      </c>
      <c r="C246" s="10" t="inlineStr">
        <is>
          <t>Definir, validar e manter: Saldo</t>
        </is>
      </c>
      <c r="D246" s="11" t="n"/>
      <c r="E246" s="12" t="inlineStr">
        <is>
          <t>baixa</t>
        </is>
      </c>
    </row>
    <row r="247">
      <c r="A247" s="9" t="inlineStr">
        <is>
          <t>D03-DOC-PFO-001.RUNWAY.CAIXA_DISPONIVEL</t>
        </is>
      </c>
      <c r="B247" s="10" t="inlineStr">
        <is>
          <t>caixa_disponivel</t>
        </is>
      </c>
      <c r="C247" s="10" t="inlineStr">
        <is>
          <t>Definir, validar e manter: Caixa Disponivel</t>
        </is>
      </c>
      <c r="D247" s="11" t="n"/>
      <c r="E247" s="12" t="inlineStr">
        <is>
          <t>baixa</t>
        </is>
      </c>
    </row>
    <row r="248">
      <c r="A248" s="9" t="inlineStr">
        <is>
          <t>D03-DOC-PFO-001.RUNWAY.BURN_RATE</t>
        </is>
      </c>
      <c r="B248" s="10" t="inlineStr">
        <is>
          <t>burn_rate</t>
        </is>
      </c>
      <c r="C248" s="10" t="inlineStr">
        <is>
          <t>Definir, validar e manter: Burn Rate</t>
        </is>
      </c>
      <c r="D248" s="11" t="n"/>
      <c r="E248" s="12" t="inlineStr">
        <is>
          <t>baixa</t>
        </is>
      </c>
    </row>
    <row r="249">
      <c r="A249" s="9" t="inlineStr">
        <is>
          <t>D03-DOC-PFO-001.RUNWAY.MESES</t>
        </is>
      </c>
      <c r="B249" s="10" t="inlineStr">
        <is>
          <t>meses</t>
        </is>
      </c>
      <c r="C249" s="10" t="inlineStr">
        <is>
          <t>Definir, validar e manter: Meses</t>
        </is>
      </c>
      <c r="D249" s="11" t="n"/>
      <c r="E249" s="12" t="inlineStr">
        <is>
          <t>baixa</t>
        </is>
      </c>
    </row>
    <row r="250">
      <c r="A250" s="9" t="inlineStr">
        <is>
          <t>D03-DOC-PFO-001.FINANCING.CAPITAL_PROPRIO</t>
        </is>
      </c>
      <c r="B250" s="10" t="inlineStr">
        <is>
          <t>capital_proprio</t>
        </is>
      </c>
      <c r="C250" s="10" t="inlineStr">
        <is>
          <t>Definir, validar e manter: Capital Proprio</t>
        </is>
      </c>
      <c r="D250" s="11" t="n"/>
      <c r="E250" s="12" t="inlineStr">
        <is>
          <t>baixa</t>
        </is>
      </c>
    </row>
    <row r="251">
      <c r="A251" s="9" t="inlineStr">
        <is>
          <t>D03-DOC-PFO-001.FINANCING.DIVIDA</t>
        </is>
      </c>
      <c r="B251" s="10" t="inlineStr">
        <is>
          <t>divida</t>
        </is>
      </c>
      <c r="C251" s="10" t="inlineStr">
        <is>
          <t>Definir, validar e manter: Divida</t>
        </is>
      </c>
      <c r="D251" s="11" t="n"/>
      <c r="E251" s="12" t="inlineStr">
        <is>
          <t>baixa</t>
        </is>
      </c>
    </row>
    <row r="252">
      <c r="A252" s="9" t="inlineStr">
        <is>
          <t>D03-DOC-PFO-001.FINANCING.INVESTIMENTO</t>
        </is>
      </c>
      <c r="B252" s="10" t="inlineStr">
        <is>
          <t>investimento</t>
        </is>
      </c>
      <c r="C252" s="10" t="inlineStr">
        <is>
          <t>Definir, validar e manter: Investimento</t>
        </is>
      </c>
      <c r="D252" s="11" t="n"/>
      <c r="E252" s="12" t="inlineStr">
        <is>
          <t>baixa</t>
        </is>
      </c>
    </row>
    <row r="253">
      <c r="A253" s="9" t="inlineStr">
        <is>
          <t>D03-DOC-PFO-001.PRICING.PRECOS</t>
        </is>
      </c>
      <c r="B253" s="10" t="inlineStr">
        <is>
          <t>precos</t>
        </is>
      </c>
      <c r="C253" s="10" t="inlineStr">
        <is>
          <t>Definir, validar e manter: Precos</t>
        </is>
      </c>
      <c r="D253" s="11" t="n"/>
      <c r="E253" s="12" t="inlineStr">
        <is>
          <t>baixa</t>
        </is>
      </c>
    </row>
    <row r="254">
      <c r="A254" s="9" t="inlineStr">
        <is>
          <t>D03-DOC-PFO-001.PRICING.DESCONTOS</t>
        </is>
      </c>
      <c r="B254" s="10" t="inlineStr">
        <is>
          <t>descontos</t>
        </is>
      </c>
      <c r="C254" s="10" t="inlineStr">
        <is>
          <t>Definir, validar e manter: Descontos</t>
        </is>
      </c>
      <c r="D254" s="11" t="n"/>
      <c r="E254" s="12" t="inlineStr">
        <is>
          <t>baixa</t>
        </is>
      </c>
    </row>
    <row r="255">
      <c r="A255" s="9" t="inlineStr">
        <is>
          <t>D03-DOC-PFO-001.PRICING.IMPOSTOS</t>
        </is>
      </c>
      <c r="B255" s="10" t="inlineStr">
        <is>
          <t>impostos</t>
        </is>
      </c>
      <c r="C255" s="10" t="inlineStr">
        <is>
          <t>Definir, validar e manter: Impostos</t>
        </is>
      </c>
      <c r="D255" s="11" t="n"/>
      <c r="E255" s="12" t="inlineStr">
        <is>
          <t>baixa</t>
        </is>
      </c>
    </row>
    <row r="256">
      <c r="A256" s="9" t="inlineStr">
        <is>
          <t>D03-DOC-PFO-001.SCENARIOS.BASE</t>
        </is>
      </c>
      <c r="B256" s="10" t="inlineStr">
        <is>
          <t>base</t>
        </is>
      </c>
      <c r="C256" s="10" t="inlineStr">
        <is>
          <t>Definir, validar e manter: Base</t>
        </is>
      </c>
      <c r="D256" s="11" t="n"/>
      <c r="E256" s="12" t="inlineStr">
        <is>
          <t>baixa</t>
        </is>
      </c>
    </row>
    <row r="257">
      <c r="A257" s="9" t="inlineStr">
        <is>
          <t>D03-DOC-PFO-001.SCENARIOS.OTIMISTA</t>
        </is>
      </c>
      <c r="B257" s="10" t="inlineStr">
        <is>
          <t>otimista</t>
        </is>
      </c>
      <c r="C257" s="10" t="inlineStr">
        <is>
          <t>Definir, validar e manter: Otimista</t>
        </is>
      </c>
      <c r="D257" s="11" t="n"/>
      <c r="E257" s="12" t="inlineStr">
        <is>
          <t>baixa</t>
        </is>
      </c>
    </row>
    <row r="258">
      <c r="A258" s="9" t="inlineStr">
        <is>
          <t>D03-DOC-PFO-001.SCENARIOS.CONSERVADOR</t>
        </is>
      </c>
      <c r="B258" s="10" t="inlineStr">
        <is>
          <t>conservador</t>
        </is>
      </c>
      <c r="C258" s="10" t="inlineStr">
        <is>
          <t>Definir, validar e manter: Conservador</t>
        </is>
      </c>
      <c r="D258" s="11" t="n"/>
      <c r="E258" s="12" t="inlineStr">
        <is>
          <t>baixa</t>
        </is>
      </c>
    </row>
    <row r="259">
      <c r="A259" s="9" t="inlineStr">
        <is>
          <t>D03-DOC-PFO-001.CONTROLS.APROVACAO_DE_GASTOS</t>
        </is>
      </c>
      <c r="B259" s="10" t="inlineStr">
        <is>
          <t>aprovacao_de_gastos</t>
        </is>
      </c>
      <c r="C259" s="10" t="inlineStr">
        <is>
          <t>Definir, validar e manter: Aprovacao De Gastos</t>
        </is>
      </c>
      <c r="D259" s="11" t="n"/>
      <c r="E259" s="12" t="inlineStr">
        <is>
          <t>baixa</t>
        </is>
      </c>
    </row>
    <row r="260">
      <c r="A260" s="9" t="inlineStr">
        <is>
          <t>D03-DOC-PFO-001.CONTROLS.CONCILIACAO</t>
        </is>
      </c>
      <c r="B260" s="10" t="inlineStr">
        <is>
          <t>conciliacao</t>
        </is>
      </c>
      <c r="C260" s="10" t="inlineStr">
        <is>
          <t>Definir, validar e manter: Conciliacao</t>
        </is>
      </c>
      <c r="D260" s="11" t="n"/>
      <c r="E260" s="12" t="inlineStr">
        <is>
          <t>baixa</t>
        </is>
      </c>
    </row>
    <row r="261">
      <c r="A261" s="9" t="inlineStr">
        <is>
          <t>D03-DOC-PFO-001.INDICATORS.RECEITA</t>
        </is>
      </c>
      <c r="B261" s="10" t="inlineStr">
        <is>
          <t>receita</t>
        </is>
      </c>
      <c r="C261" s="10" t="inlineStr">
        <is>
          <t>Definir, validar e manter: Receita</t>
        </is>
      </c>
      <c r="D261" s="11" t="n"/>
      <c r="E261" s="12" t="inlineStr">
        <is>
          <t>baixa</t>
        </is>
      </c>
    </row>
    <row r="262">
      <c r="A262" s="9" t="inlineStr">
        <is>
          <t>D03-DOC-PFO-001.INDICATORS.MARGEM</t>
        </is>
      </c>
      <c r="B262" s="10" t="inlineStr">
        <is>
          <t>margem</t>
        </is>
      </c>
      <c r="C262" s="10" t="inlineStr">
        <is>
          <t>Definir, validar e manter: Margem</t>
        </is>
      </c>
      <c r="D262" s="11" t="n"/>
      <c r="E262" s="12" t="inlineStr">
        <is>
          <t>media</t>
        </is>
      </c>
    </row>
    <row r="263">
      <c r="A263" s="9" t="inlineStr">
        <is>
          <t>D03-DOC-PFO-001.INDICATORS.BURN</t>
        </is>
      </c>
      <c r="B263" s="10" t="inlineStr">
        <is>
          <t>burn</t>
        </is>
      </c>
      <c r="C263" s="10" t="inlineStr">
        <is>
          <t>Definir, validar e manter: Burn</t>
        </is>
      </c>
      <c r="D263" s="11" t="n"/>
      <c r="E263" s="12" t="inlineStr">
        <is>
          <t>baixa</t>
        </is>
      </c>
    </row>
    <row r="264">
      <c r="A264" s="9" t="inlineStr">
        <is>
          <t>D03-DOC-PFO-001.INDICATORS.RUNWAY</t>
        </is>
      </c>
      <c r="B264" s="10" t="inlineStr">
        <is>
          <t>runway</t>
        </is>
      </c>
      <c r="C264" s="10" t="inlineStr">
        <is>
          <t>Definir, validar e manter: Runway</t>
        </is>
      </c>
      <c r="D264" s="11" t="n"/>
      <c r="E264" s="12" t="inlineStr">
        <is>
          <t>baixa</t>
        </is>
      </c>
    </row>
    <row r="265">
      <c r="A265" s="9" t="inlineStr">
        <is>
          <t>D03-DOC-PFO-001.INDICATORS.RESULTADO</t>
        </is>
      </c>
      <c r="B265" s="10" t="inlineStr">
        <is>
          <t>resultado</t>
        </is>
      </c>
      <c r="C265" s="10" t="inlineStr">
        <is>
          <t>Definir, validar e manter: Resultado</t>
        </is>
      </c>
      <c r="D265" s="11" t="n"/>
      <c r="E265" s="12" t="inlineStr">
        <is>
          <t>baixa</t>
        </is>
      </c>
    </row>
    <row r="266">
      <c r="A266" s="8" t="inlineStr">
        <is>
          <t>Artefato D03-DOC-MFO-001 — Modelo Financeiro do Ecossistema</t>
        </is>
      </c>
      <c r="B266" s="6" t="n"/>
      <c r="C266" s="6" t="n"/>
      <c r="D266" s="6" t="n"/>
      <c r="E266" s="7" t="n"/>
    </row>
    <row r="267">
      <c r="A267" s="9" t="inlineStr">
        <is>
          <t>D03-DOC-MFO-001.MODEL_INPUTS.PREMISSAS</t>
        </is>
      </c>
      <c r="B267" s="10" t="inlineStr">
        <is>
          <t>premissas</t>
        </is>
      </c>
      <c r="C267" s="10" t="inlineStr">
        <is>
          <t>Definir, validar e manter: Premissas</t>
        </is>
      </c>
      <c r="D267" s="11" t="n"/>
      <c r="E267" s="12" t="inlineStr">
        <is>
          <t>baixa</t>
        </is>
      </c>
    </row>
    <row r="268">
      <c r="A268" s="9" t="inlineStr">
        <is>
          <t>D03-DOC-MFO-001.MODEL_INPUTS.DRIVERS</t>
        </is>
      </c>
      <c r="B268" s="10" t="inlineStr">
        <is>
          <t>drivers</t>
        </is>
      </c>
      <c r="C268" s="10" t="inlineStr">
        <is>
          <t>Definir, validar e manter: Drivers</t>
        </is>
      </c>
      <c r="D268" s="11" t="n"/>
      <c r="E268" s="12" t="inlineStr">
        <is>
          <t>baixa</t>
        </is>
      </c>
    </row>
    <row r="269">
      <c r="A269" s="9" t="inlineStr">
        <is>
          <t>D03-DOC-MFO-001.REVENUE_MODEL.PRODUTO</t>
        </is>
      </c>
      <c r="B269" s="10" t="inlineStr">
        <is>
          <t>produto</t>
        </is>
      </c>
      <c r="C269" s="10" t="inlineStr">
        <is>
          <t>Definir, validar e manter: Produto</t>
        </is>
      </c>
      <c r="D269" s="11" t="n"/>
      <c r="E269" s="12" t="inlineStr">
        <is>
          <t>baixa</t>
        </is>
      </c>
    </row>
    <row r="270">
      <c r="A270" s="9" t="inlineStr">
        <is>
          <t>D03-DOC-MFO-001.REVENUE_MODEL.UNIDADE</t>
        </is>
      </c>
      <c r="B270" s="10" t="inlineStr">
        <is>
          <t>unidade</t>
        </is>
      </c>
      <c r="C270" s="10" t="inlineStr">
        <is>
          <t>Definir, validar e manter: Unidade</t>
        </is>
      </c>
      <c r="D270" s="11" t="n"/>
      <c r="E270" s="12" t="inlineStr">
        <is>
          <t>baixa</t>
        </is>
      </c>
    </row>
    <row r="271">
      <c r="A271" s="9" t="inlineStr">
        <is>
          <t>D03-DOC-MFO-001.REVENUE_MODEL.VOLUME</t>
        </is>
      </c>
      <c r="B271" s="10" t="inlineStr">
        <is>
          <t>volume</t>
        </is>
      </c>
      <c r="C271" s="10" t="inlineStr">
        <is>
          <t>Definir, validar e manter: Volume</t>
        </is>
      </c>
      <c r="D271" s="11" t="n"/>
      <c r="E271" s="12" t="inlineStr">
        <is>
          <t>baixa</t>
        </is>
      </c>
    </row>
    <row r="272">
      <c r="A272" s="9" t="inlineStr">
        <is>
          <t>D03-DOC-MFO-001.REVENUE_MODEL.PRECO</t>
        </is>
      </c>
      <c r="B272" s="10" t="inlineStr">
        <is>
          <t>preco</t>
        </is>
      </c>
      <c r="C272" s="10" t="inlineStr">
        <is>
          <t>Definir, validar e manter: Preco</t>
        </is>
      </c>
      <c r="D272" s="11" t="n"/>
      <c r="E272" s="12" t="inlineStr">
        <is>
          <t>baixa</t>
        </is>
      </c>
    </row>
    <row r="273">
      <c r="A273" s="9" t="inlineStr">
        <is>
          <t>D03-DOC-MFO-001.COST_MODEL.FIXOS</t>
        </is>
      </c>
      <c r="B273" s="10" t="inlineStr">
        <is>
          <t>fixos</t>
        </is>
      </c>
      <c r="C273" s="10" t="inlineStr">
        <is>
          <t>Definir, validar e manter: Fixos</t>
        </is>
      </c>
      <c r="D273" s="11" t="n"/>
      <c r="E273" s="12" t="inlineStr">
        <is>
          <t>baixa</t>
        </is>
      </c>
    </row>
    <row r="274">
      <c r="A274" s="9" t="inlineStr">
        <is>
          <t>D03-DOC-MFO-001.COST_MODEL.VARIAVEIS</t>
        </is>
      </c>
      <c r="B274" s="10" t="inlineStr">
        <is>
          <t>variaveis</t>
        </is>
      </c>
      <c r="C274" s="10" t="inlineStr">
        <is>
          <t>Definir, validar e manter: Variaveis</t>
        </is>
      </c>
      <c r="D274" s="11" t="n"/>
      <c r="E274" s="12" t="inlineStr">
        <is>
          <t>baixa</t>
        </is>
      </c>
    </row>
    <row r="275">
      <c r="A275" s="9" t="inlineStr">
        <is>
          <t>D03-DOC-MFO-001.PNL.RECEITA</t>
        </is>
      </c>
      <c r="B275" s="10" t="inlineStr">
        <is>
          <t>receita</t>
        </is>
      </c>
      <c r="C275" s="10" t="inlineStr">
        <is>
          <t>Definir, validar e manter: Receita</t>
        </is>
      </c>
      <c r="D275" s="11" t="n"/>
      <c r="E275" s="12" t="inlineStr">
        <is>
          <t>baixa</t>
        </is>
      </c>
    </row>
    <row r="276">
      <c r="A276" s="9" t="inlineStr">
        <is>
          <t>D03-DOC-MFO-001.PNL.CUSTOS</t>
        </is>
      </c>
      <c r="B276" s="10" t="inlineStr">
        <is>
          <t>custos</t>
        </is>
      </c>
      <c r="C276" s="10" t="inlineStr">
        <is>
          <t>Definir, validar e manter: Custos</t>
        </is>
      </c>
      <c r="D276" s="11" t="n"/>
      <c r="E276" s="12" t="inlineStr">
        <is>
          <t>baixa</t>
        </is>
      </c>
    </row>
    <row r="277">
      <c r="A277" s="9" t="inlineStr">
        <is>
          <t>D03-DOC-MFO-001.PNL.MARGEM</t>
        </is>
      </c>
      <c r="B277" s="10" t="inlineStr">
        <is>
          <t>margem</t>
        </is>
      </c>
      <c r="C277" s="10" t="inlineStr">
        <is>
          <t>Definir, validar e manter: Margem</t>
        </is>
      </c>
      <c r="D277" s="11" t="n"/>
      <c r="E277" s="12" t="inlineStr">
        <is>
          <t>media</t>
        </is>
      </c>
    </row>
    <row r="278">
      <c r="A278" s="9" t="inlineStr">
        <is>
          <t>D03-DOC-MFO-001.PNL.DESPESAS</t>
        </is>
      </c>
      <c r="B278" s="10" t="inlineStr">
        <is>
          <t>despesas</t>
        </is>
      </c>
      <c r="C278" s="10" t="inlineStr">
        <is>
          <t>Definir, validar e manter: Despesas</t>
        </is>
      </c>
      <c r="D278" s="11" t="n"/>
      <c r="E278" s="12" t="inlineStr">
        <is>
          <t>baixa</t>
        </is>
      </c>
    </row>
    <row r="279">
      <c r="A279" s="9" t="inlineStr">
        <is>
          <t>D03-DOC-MFO-001.PNL.RESULTADO</t>
        </is>
      </c>
      <c r="B279" s="10" t="inlineStr">
        <is>
          <t>resultado</t>
        </is>
      </c>
      <c r="C279" s="10" t="inlineStr">
        <is>
          <t>Definir, validar e manter: Resultado</t>
        </is>
      </c>
      <c r="D279" s="11" t="n"/>
      <c r="E279" s="12" t="inlineStr">
        <is>
          <t>baixa</t>
        </is>
      </c>
    </row>
    <row r="280">
      <c r="A280" s="9" t="inlineStr">
        <is>
          <t>D03-DOC-MFO-001.CASHFLOW.OPERACIONAL</t>
        </is>
      </c>
      <c r="B280" s="10" t="inlineStr">
        <is>
          <t>operacional</t>
        </is>
      </c>
      <c r="C280" s="10" t="inlineStr">
        <is>
          <t>Definir, validar e manter: Operacional</t>
        </is>
      </c>
      <c r="D280" s="11" t="n"/>
      <c r="E280" s="12" t="inlineStr">
        <is>
          <t>media</t>
        </is>
      </c>
    </row>
    <row r="281">
      <c r="A281" s="9" t="inlineStr">
        <is>
          <t>D03-DOC-MFO-001.CASHFLOW.INVESTIMENTO</t>
        </is>
      </c>
      <c r="B281" s="10" t="inlineStr">
        <is>
          <t>investimento</t>
        </is>
      </c>
      <c r="C281" s="10" t="inlineStr">
        <is>
          <t>Definir, validar e manter: Investimento</t>
        </is>
      </c>
      <c r="D281" s="11" t="n"/>
      <c r="E281" s="12" t="inlineStr">
        <is>
          <t>baixa</t>
        </is>
      </c>
    </row>
    <row r="282">
      <c r="A282" s="9" t="inlineStr">
        <is>
          <t>D03-DOC-MFO-001.CASHFLOW.FINANCIAMENTO</t>
        </is>
      </c>
      <c r="B282" s="10" t="inlineStr">
        <is>
          <t>financiamento</t>
        </is>
      </c>
      <c r="C282" s="10" t="inlineStr">
        <is>
          <t>Definir, validar e manter: Financiamento</t>
        </is>
      </c>
      <c r="D282" s="11" t="n"/>
      <c r="E282" s="12" t="inlineStr">
        <is>
          <t>baixa</t>
        </is>
      </c>
    </row>
    <row r="283">
      <c r="A283" s="9" t="inlineStr">
        <is>
          <t>D03-DOC-MFO-001.UNIT_ECONOMICS.CAC</t>
        </is>
      </c>
      <c r="B283" s="10" t="inlineStr">
        <is>
          <t>cac</t>
        </is>
      </c>
      <c r="C283" s="10" t="inlineStr">
        <is>
          <t>Definir, validar e manter: Cac</t>
        </is>
      </c>
      <c r="D283" s="11" t="n"/>
      <c r="E283" s="12" t="inlineStr">
        <is>
          <t>media</t>
        </is>
      </c>
    </row>
    <row r="284">
      <c r="A284" s="9" t="inlineStr">
        <is>
          <t>D03-DOC-MFO-001.UNIT_ECONOMICS.LTV</t>
        </is>
      </c>
      <c r="B284" s="10" t="inlineStr">
        <is>
          <t>ltv</t>
        </is>
      </c>
      <c r="C284" s="10" t="inlineStr">
        <is>
          <t>Definir, validar e manter: Ltv</t>
        </is>
      </c>
      <c r="D284" s="11" t="n"/>
      <c r="E284" s="12" t="inlineStr">
        <is>
          <t>media</t>
        </is>
      </c>
    </row>
    <row r="285">
      <c r="A285" s="9" t="inlineStr">
        <is>
          <t>D03-DOC-MFO-001.UNIT_ECONOMICS.ARPU</t>
        </is>
      </c>
      <c r="B285" s="10" t="inlineStr">
        <is>
          <t>arpu</t>
        </is>
      </c>
      <c r="C285" s="10" t="inlineStr">
        <is>
          <t>Definir, validar e manter: Arpu</t>
        </is>
      </c>
      <c r="D285" s="11" t="n"/>
      <c r="E285" s="12" t="inlineStr">
        <is>
          <t>media</t>
        </is>
      </c>
    </row>
    <row r="286">
      <c r="A286" s="9" t="inlineStr">
        <is>
          <t>D03-DOC-MFO-001.UNIT_ECONOMICS.CHURN</t>
        </is>
      </c>
      <c r="B286" s="10" t="inlineStr">
        <is>
          <t>churn</t>
        </is>
      </c>
      <c r="C286" s="10" t="inlineStr">
        <is>
          <t>Definir, validar e manter: Churn</t>
        </is>
      </c>
      <c r="D286" s="11" t="n"/>
      <c r="E286" s="12" t="inlineStr">
        <is>
          <t>media</t>
        </is>
      </c>
    </row>
    <row r="287">
      <c r="A287" s="9" t="inlineStr">
        <is>
          <t>D03-DOC-MFO-001.UNIT_ECONOMICS.MARGEM</t>
        </is>
      </c>
      <c r="B287" s="10" t="inlineStr">
        <is>
          <t>margem</t>
        </is>
      </c>
      <c r="C287" s="10" t="inlineStr">
        <is>
          <t>Definir, validar e manter: Margem</t>
        </is>
      </c>
      <c r="D287" s="11" t="n"/>
      <c r="E287" s="12" t="inlineStr">
        <is>
          <t>media</t>
        </is>
      </c>
    </row>
    <row r="288">
      <c r="A288" s="9" t="inlineStr">
        <is>
          <t>D03-DOC-MFO-001.BREAK_EVEN.PONTO_DE_EQUILIBRIO</t>
        </is>
      </c>
      <c r="B288" s="10" t="inlineStr">
        <is>
          <t>ponto_de_equilibrio</t>
        </is>
      </c>
      <c r="C288" s="10" t="inlineStr">
        <is>
          <t>Definir, validar e manter: Ponto De Equilibrio</t>
        </is>
      </c>
      <c r="D288" s="11" t="n"/>
      <c r="E288" s="12" t="inlineStr">
        <is>
          <t>baixa</t>
        </is>
      </c>
    </row>
    <row r="289">
      <c r="A289" s="9" t="inlineStr">
        <is>
          <t>D03-DOC-MFO-001.SENSITIVITY.VARIAVEIS_CRITICAS</t>
        </is>
      </c>
      <c r="B289" s="10" t="inlineStr">
        <is>
          <t>variaveis_criticas</t>
        </is>
      </c>
      <c r="C289" s="10" t="inlineStr">
        <is>
          <t>Definir, validar e manter: Variaveis Criticas</t>
        </is>
      </c>
      <c r="D289" s="11" t="n"/>
      <c r="E289" s="12" t="inlineStr">
        <is>
          <t>baixa</t>
        </is>
      </c>
    </row>
    <row r="290">
      <c r="A290" s="9" t="inlineStr">
        <is>
          <t>D03-DOC-MFO-001.SENSITIVITY.IMPACTO</t>
        </is>
      </c>
      <c r="B290" s="10" t="inlineStr">
        <is>
          <t>impacto</t>
        </is>
      </c>
      <c r="C290" s="10" t="inlineStr">
        <is>
          <t>Definir, validar e manter: Impacto</t>
        </is>
      </c>
      <c r="D290" s="11" t="n"/>
      <c r="E290" s="12" t="inlineStr">
        <is>
          <t>baixa</t>
        </is>
      </c>
    </row>
    <row r="291">
      <c r="A291" s="9" t="inlineStr">
        <is>
          <t>D03-DOC-MFO-001.SCENARIOS.CENARIO</t>
        </is>
      </c>
      <c r="B291" s="10" t="inlineStr">
        <is>
          <t>cenario</t>
        </is>
      </c>
      <c r="C291" s="10" t="inlineStr">
        <is>
          <t>Definir, validar e manter: Cenario</t>
        </is>
      </c>
      <c r="D291" s="11" t="n"/>
      <c r="E291" s="12" t="inlineStr">
        <is>
          <t>baixa</t>
        </is>
      </c>
    </row>
    <row r="292">
      <c r="A292" s="9" t="inlineStr">
        <is>
          <t>D03-DOC-MFO-001.SCENARIOS.PREMISSAS</t>
        </is>
      </c>
      <c r="B292" s="10" t="inlineStr">
        <is>
          <t>premissas</t>
        </is>
      </c>
      <c r="C292" s="10" t="inlineStr">
        <is>
          <t>Definir, validar e manter: Premissas</t>
        </is>
      </c>
      <c r="D292" s="11" t="n"/>
      <c r="E292" s="12" t="inlineStr">
        <is>
          <t>baixa</t>
        </is>
      </c>
    </row>
    <row r="293">
      <c r="A293" s="9" t="inlineStr">
        <is>
          <t>D03-DOC-MFO-001.SCENARIOS.RESULTADO</t>
        </is>
      </c>
      <c r="B293" s="10" t="inlineStr">
        <is>
          <t>resultado</t>
        </is>
      </c>
      <c r="C293" s="10" t="inlineStr">
        <is>
          <t>Definir, validar e manter: Resultado</t>
        </is>
      </c>
      <c r="D293" s="11" t="n"/>
      <c r="E293" s="12" t="inlineStr">
        <is>
          <t>baixa</t>
        </is>
      </c>
    </row>
    <row r="294">
      <c r="A294" s="8" t="inlineStr">
        <is>
          <t>Domínio D18 — Contratos e Esquemas (alias: Contratos e Schemas)</t>
        </is>
      </c>
      <c r="B294" s="6" t="n"/>
      <c r="C294" s="6" t="n"/>
      <c r="D294" s="6" t="n"/>
      <c r="E294" s="7" t="n"/>
    </row>
    <row r="295">
      <c r="A295" s="8" t="inlineStr">
        <is>
          <t>Artefato D18-DOC-PCE-001 — Plano de Contratos e Esquemas</t>
        </is>
      </c>
      <c r="B295" s="6" t="n"/>
      <c r="C295" s="6" t="n"/>
      <c r="D295" s="6" t="n"/>
      <c r="E295" s="7" t="n"/>
    </row>
    <row r="296">
      <c r="A296" s="9" t="inlineStr">
        <is>
          <t>D18-DOC-PCE-001.CONTRACT_INVENTORY.CONTRATO</t>
        </is>
      </c>
      <c r="B296" s="10" t="inlineStr">
        <is>
          <t>contrato</t>
        </is>
      </c>
      <c r="C296" s="10" t="inlineStr">
        <is>
          <t>Definir, validar e manter: Contrato</t>
        </is>
      </c>
      <c r="D296" s="11" t="n"/>
      <c r="E296" s="12" t="inlineStr">
        <is>
          <t>baixa</t>
        </is>
      </c>
    </row>
    <row r="297">
      <c r="A297" s="9" t="inlineStr">
        <is>
          <t>D18-DOC-PCE-001.CONTRACT_INVENTORY.TIPO</t>
        </is>
      </c>
      <c r="B297" s="10" t="inlineStr">
        <is>
          <t>tipo</t>
        </is>
      </c>
      <c r="C297" s="10" t="inlineStr">
        <is>
          <t>Definir, validar e manter: Tipo</t>
        </is>
      </c>
      <c r="D297" s="11" t="n"/>
      <c r="E297" s="12" t="inlineStr">
        <is>
          <t>baixa</t>
        </is>
      </c>
    </row>
    <row r="298">
      <c r="A298" s="9" t="inlineStr">
        <is>
          <t>D18-DOC-PCE-001.CONTRACT_INVENTORY.OWNER</t>
        </is>
      </c>
      <c r="B298" s="10" t="inlineStr">
        <is>
          <t>owner</t>
        </is>
      </c>
      <c r="C298" s="10" t="inlineStr">
        <is>
          <t>Definir, validar e manter: Owner</t>
        </is>
      </c>
      <c r="D298" s="11" t="n"/>
      <c r="E298" s="12" t="inlineStr">
        <is>
          <t>baixa</t>
        </is>
      </c>
    </row>
    <row r="299">
      <c r="A299" s="9" t="inlineStr">
        <is>
          <t>D18-DOC-PCE-001.DOCUMENT_SCHEMAS.DOCUMENTO</t>
        </is>
      </c>
      <c r="B299" s="10" t="inlineStr">
        <is>
          <t>documento</t>
        </is>
      </c>
      <c r="C299" s="10" t="inlineStr">
        <is>
          <t>Definir, validar e manter: Documento</t>
        </is>
      </c>
      <c r="D299" s="11" t="n"/>
      <c r="E299" s="12" t="inlineStr">
        <is>
          <t>baixa</t>
        </is>
      </c>
    </row>
    <row r="300">
      <c r="A300" s="9" t="inlineStr">
        <is>
          <t>D18-DOC-PCE-001.DOCUMENT_SCHEMAS.SCHEMA</t>
        </is>
      </c>
      <c r="B300" s="10" t="inlineStr">
        <is>
          <t>schema</t>
        </is>
      </c>
      <c r="C300" s="10" t="inlineStr">
        <is>
          <t>Definir, validar e manter: Schema</t>
        </is>
      </c>
      <c r="D300" s="11" t="n"/>
      <c r="E300" s="12" t="inlineStr">
        <is>
          <t>alta</t>
        </is>
      </c>
    </row>
    <row r="301">
      <c r="A301" s="9" t="inlineStr">
        <is>
          <t>D18-DOC-PCE-001.DATA_CONTRACTS.PRODUCER</t>
        </is>
      </c>
      <c r="B301" s="10" t="inlineStr">
        <is>
          <t>producer</t>
        </is>
      </c>
      <c r="C301" s="10" t="inlineStr">
        <is>
          <t>Definir, validar e manter: Producer</t>
        </is>
      </c>
      <c r="D301" s="11" t="n"/>
      <c r="E301" s="12" t="inlineStr">
        <is>
          <t>baixa</t>
        </is>
      </c>
    </row>
    <row r="302">
      <c r="A302" s="9" t="inlineStr">
        <is>
          <t>D18-DOC-PCE-001.DATA_CONTRACTS.CONSUMER</t>
        </is>
      </c>
      <c r="B302" s="10" t="inlineStr">
        <is>
          <t>consumer</t>
        </is>
      </c>
      <c r="C302" s="10" t="inlineStr">
        <is>
          <t>Definir, validar e manter: Consumer</t>
        </is>
      </c>
      <c r="D302" s="11" t="n"/>
      <c r="E302" s="12" t="inlineStr">
        <is>
          <t>baixa</t>
        </is>
      </c>
    </row>
    <row r="303">
      <c r="A303" s="9" t="inlineStr">
        <is>
          <t>D18-DOC-PCE-001.DATA_CONTRACTS.PAYLOAD</t>
        </is>
      </c>
      <c r="B303" s="10" t="inlineStr">
        <is>
          <t>payload</t>
        </is>
      </c>
      <c r="C303" s="10" t="inlineStr">
        <is>
          <t>Definir, validar e manter: Payload</t>
        </is>
      </c>
      <c r="D303" s="11" t="n"/>
      <c r="E303" s="12" t="inlineStr">
        <is>
          <t>baixa</t>
        </is>
      </c>
    </row>
    <row r="304">
      <c r="A304" s="9" t="inlineStr">
        <is>
          <t>D18-DOC-PCE-001.API_CONTRACTS.ENDPOINT</t>
        </is>
      </c>
      <c r="B304" s="10" t="inlineStr">
        <is>
          <t>endpoint</t>
        </is>
      </c>
      <c r="C304" s="10" t="inlineStr">
        <is>
          <t>Definir, validar e manter: Endpoint</t>
        </is>
      </c>
      <c r="D304" s="11" t="n"/>
      <c r="E304" s="12" t="inlineStr">
        <is>
          <t>baixa</t>
        </is>
      </c>
    </row>
    <row r="305">
      <c r="A305" s="9" t="inlineStr">
        <is>
          <t>D18-DOC-PCE-001.API_CONTRACTS.REQUEST</t>
        </is>
      </c>
      <c r="B305" s="10" t="inlineStr">
        <is>
          <t>request</t>
        </is>
      </c>
      <c r="C305" s="10" t="inlineStr">
        <is>
          <t>Definir, validar e manter: Request</t>
        </is>
      </c>
      <c r="D305" s="11" t="n"/>
      <c r="E305" s="12" t="inlineStr">
        <is>
          <t>baixa</t>
        </is>
      </c>
    </row>
    <row r="306">
      <c r="A306" s="9" t="inlineStr">
        <is>
          <t>D18-DOC-PCE-001.API_CONTRACTS.RESPONSE</t>
        </is>
      </c>
      <c r="B306" s="10" t="inlineStr">
        <is>
          <t>response</t>
        </is>
      </c>
      <c r="C306" s="10" t="inlineStr">
        <is>
          <t>Definir, validar e manter: Response</t>
        </is>
      </c>
      <c r="D306" s="11" t="n"/>
      <c r="E306" s="12" t="inlineStr">
        <is>
          <t>baixa</t>
        </is>
      </c>
    </row>
    <row r="307">
      <c r="A307" s="9" t="inlineStr">
        <is>
          <t>D18-DOC-PCE-001.EVENT_CONTRACTS.EVENTO</t>
        </is>
      </c>
      <c r="B307" s="10" t="inlineStr">
        <is>
          <t>evento</t>
        </is>
      </c>
      <c r="C307" s="10" t="inlineStr">
        <is>
          <t>Definir, validar e manter: Evento</t>
        </is>
      </c>
      <c r="D307" s="11" t="n"/>
      <c r="E307" s="12" t="inlineStr">
        <is>
          <t>baixa</t>
        </is>
      </c>
    </row>
    <row r="308">
      <c r="A308" s="9" t="inlineStr">
        <is>
          <t>D18-DOC-PCE-001.EVENT_CONTRACTS.PROPRIEDADES</t>
        </is>
      </c>
      <c r="B308" s="10" t="inlineStr">
        <is>
          <t>propriedades</t>
        </is>
      </c>
      <c r="C308" s="10" t="inlineStr">
        <is>
          <t>Definir, validar e manter: Propriedades</t>
        </is>
      </c>
      <c r="D308" s="11" t="n"/>
      <c r="E308" s="12" t="inlineStr">
        <is>
          <t>baixa</t>
        </is>
      </c>
    </row>
    <row r="309">
      <c r="A309" s="9" t="inlineStr">
        <is>
          <t>D18-DOC-PCE-001.WORKFLOW_CONTRACTS.ENTRADA</t>
        </is>
      </c>
      <c r="B309" s="10" t="inlineStr">
        <is>
          <t>entrada</t>
        </is>
      </c>
      <c r="C309" s="10" t="inlineStr">
        <is>
          <t>Definir, validar e manter: Entrada</t>
        </is>
      </c>
      <c r="D309" s="11" t="n"/>
      <c r="E309" s="12" t="inlineStr">
        <is>
          <t>baixa</t>
        </is>
      </c>
    </row>
    <row r="310">
      <c r="A310" s="9" t="inlineStr">
        <is>
          <t>D18-DOC-PCE-001.WORKFLOW_CONTRACTS.SAIDA</t>
        </is>
      </c>
      <c r="B310" s="10" t="inlineStr">
        <is>
          <t>saida</t>
        </is>
      </c>
      <c r="C310" s="10" t="inlineStr">
        <is>
          <t>Definir, validar e manter: Saida</t>
        </is>
      </c>
      <c r="D310" s="11" t="n"/>
      <c r="E310" s="12" t="inlineStr">
        <is>
          <t>baixa</t>
        </is>
      </c>
    </row>
    <row r="311">
      <c r="A311" s="9" t="inlineStr">
        <is>
          <t>D18-DOC-PCE-001.WORKFLOW_CONTRACTS.GATE</t>
        </is>
      </c>
      <c r="B311" s="10" t="inlineStr">
        <is>
          <t>gate</t>
        </is>
      </c>
      <c r="C311" s="10" t="inlineStr">
        <is>
          <t>Definir, validar e manter: Gate</t>
        </is>
      </c>
      <c r="D311" s="11" t="n"/>
      <c r="E311" s="12" t="inlineStr">
        <is>
          <t>baixa</t>
        </is>
      </c>
    </row>
    <row r="312">
      <c r="A312" s="9" t="inlineStr">
        <is>
          <t>D18-DOC-PCE-001.HANDOFF_CONTRACTS.ORIGEM</t>
        </is>
      </c>
      <c r="B312" s="10" t="inlineStr">
        <is>
          <t>origem</t>
        </is>
      </c>
      <c r="C312" s="10" t="inlineStr">
        <is>
          <t>Definir, validar e manter: Origem</t>
        </is>
      </c>
      <c r="D312" s="11" t="n"/>
      <c r="E312" s="12" t="inlineStr">
        <is>
          <t>baixa</t>
        </is>
      </c>
    </row>
    <row r="313">
      <c r="A313" s="9" t="inlineStr">
        <is>
          <t>D18-DOC-PCE-001.HANDOFF_CONTRACTS.DESTINO</t>
        </is>
      </c>
      <c r="B313" s="10" t="inlineStr">
        <is>
          <t>destino</t>
        </is>
      </c>
      <c r="C313" s="10" t="inlineStr">
        <is>
          <t>Definir, validar e manter: Destino</t>
        </is>
      </c>
      <c r="D313" s="11" t="n"/>
      <c r="E313" s="12" t="inlineStr">
        <is>
          <t>baixa</t>
        </is>
      </c>
    </row>
    <row r="314">
      <c r="A314" s="9" t="inlineStr">
        <is>
          <t>D18-DOC-PCE-001.HANDOFF_CONTRACTS.REQUISITOS</t>
        </is>
      </c>
      <c r="B314" s="10" t="inlineStr">
        <is>
          <t>requisitos</t>
        </is>
      </c>
      <c r="C314" s="10" t="inlineStr">
        <is>
          <t>Definir, validar e manter: Requisitos</t>
        </is>
      </c>
      <c r="D314" s="11" t="n"/>
      <c r="E314" s="12" t="inlineStr">
        <is>
          <t>baixa</t>
        </is>
      </c>
    </row>
    <row r="315">
      <c r="A315" s="9" t="inlineStr">
        <is>
          <t>D18-DOC-PCE-001.VALIDATION.SCHEMA_VALIDATOR</t>
        </is>
      </c>
      <c r="B315" s="10" t="inlineStr">
        <is>
          <t>schema_validator</t>
        </is>
      </c>
      <c r="C315" s="10" t="inlineStr">
        <is>
          <t>Definir, validar e manter: Schema Validator</t>
        </is>
      </c>
      <c r="D315" s="11" t="n"/>
      <c r="E315" s="12" t="inlineStr">
        <is>
          <t>baixa</t>
        </is>
      </c>
    </row>
    <row r="316">
      <c r="A316" s="9" t="inlineStr">
        <is>
          <t>D18-DOC-PCE-001.VALIDATION.REGRA</t>
        </is>
      </c>
      <c r="B316" s="10" t="inlineStr">
        <is>
          <t>regra</t>
        </is>
      </c>
      <c r="C316" s="10" t="inlineStr">
        <is>
          <t>Definir, validar e manter: Regra</t>
        </is>
      </c>
      <c r="D316" s="11" t="n"/>
      <c r="E316" s="12" t="inlineStr">
        <is>
          <t>baixa</t>
        </is>
      </c>
    </row>
    <row r="317">
      <c r="A317" s="9" t="inlineStr">
        <is>
          <t>D18-DOC-PCE-001.VERSIONING.VERSAO</t>
        </is>
      </c>
      <c r="B317" s="10" t="inlineStr">
        <is>
          <t>versao</t>
        </is>
      </c>
      <c r="C317" s="10" t="inlineStr">
        <is>
          <t>Definir, validar e manter: Versao</t>
        </is>
      </c>
      <c r="D317" s="11" t="n"/>
      <c r="E317" s="12" t="inlineStr">
        <is>
          <t>baixa</t>
        </is>
      </c>
    </row>
    <row r="318">
      <c r="A318" s="9" t="inlineStr">
        <is>
          <t>D18-DOC-PCE-001.VERSIONING.COMPATIBILIDADE</t>
        </is>
      </c>
      <c r="B318" s="10" t="inlineStr">
        <is>
          <t>compatibilidade</t>
        </is>
      </c>
      <c r="C318" s="10" t="inlineStr">
        <is>
          <t>Definir, validar e manter: Compatibilidade</t>
        </is>
      </c>
      <c r="D318" s="11" t="n"/>
      <c r="E318" s="12" t="inlineStr">
        <is>
          <t>baixa</t>
        </is>
      </c>
    </row>
    <row r="319">
      <c r="A319" s="9" t="inlineStr">
        <is>
          <t>D18-DOC-PCE-001.CHANGE_CONTROL.MUDANCA</t>
        </is>
      </c>
      <c r="B319" s="10" t="inlineStr">
        <is>
          <t>mudanca</t>
        </is>
      </c>
      <c r="C319" s="10" t="inlineStr">
        <is>
          <t>Definir, validar e manter: Mudanca</t>
        </is>
      </c>
      <c r="D319" s="11" t="n"/>
      <c r="E319" s="12" t="inlineStr">
        <is>
          <t>baixa</t>
        </is>
      </c>
    </row>
    <row r="320">
      <c r="A320" s="9" t="inlineStr">
        <is>
          <t>D18-DOC-PCE-001.CHANGE_CONTROL.APROVACAO</t>
        </is>
      </c>
      <c r="B320" s="10" t="inlineStr">
        <is>
          <t>aprovacao</t>
        </is>
      </c>
      <c r="C320" s="10" t="inlineStr">
        <is>
          <t>Definir, validar e manter: Aprovacao</t>
        </is>
      </c>
      <c r="D320" s="11" t="n"/>
      <c r="E320" s="12" t="inlineStr">
        <is>
          <t>baixa</t>
        </is>
      </c>
    </row>
    <row r="321">
      <c r="A321" s="9" t="inlineStr">
        <is>
          <t>D18-DOC-PCE-001.REGISTRY.ID</t>
        </is>
      </c>
      <c r="B321" s="10" t="inlineStr">
        <is>
          <t>id</t>
        </is>
      </c>
      <c r="C321" s="10" t="inlineStr">
        <is>
          <t>Definir, validar e manter: ID</t>
        </is>
      </c>
      <c r="D321" s="11" t="n"/>
      <c r="E321" s="12" t="inlineStr">
        <is>
          <t>baixa</t>
        </is>
      </c>
    </row>
    <row r="322">
      <c r="A322" s="9" t="inlineStr">
        <is>
          <t>D18-DOC-PCE-001.REGISTRY.LOCALIZACAO</t>
        </is>
      </c>
      <c r="B322" s="10" t="inlineStr">
        <is>
          <t>localizacao</t>
        </is>
      </c>
      <c r="C322" s="10" t="inlineStr">
        <is>
          <t>Definir, validar e manter: Localizacao</t>
        </is>
      </c>
      <c r="D322" s="11" t="n"/>
      <c r="E322" s="12" t="inlineStr">
        <is>
          <t>baixa</t>
        </is>
      </c>
    </row>
    <row r="323">
      <c r="A323" s="9" t="inlineStr">
        <is>
          <t>D18-DOC-PCE-001.TESTING.CONTRACT_TEST</t>
        </is>
      </c>
      <c r="B323" s="10" t="inlineStr">
        <is>
          <t>contract_test</t>
        </is>
      </c>
      <c r="C323" s="10" t="inlineStr">
        <is>
          <t>Definir, validar e manter: Contract Test</t>
        </is>
      </c>
      <c r="D323" s="11" t="n"/>
      <c r="E323" s="12" t="inlineStr">
        <is>
          <t>baixa</t>
        </is>
      </c>
    </row>
    <row r="324">
      <c r="A324" s="9" t="inlineStr">
        <is>
          <t>D18-DOC-PCE-001.TESTING.RESULTADO</t>
        </is>
      </c>
      <c r="B324" s="10" t="inlineStr">
        <is>
          <t>resultado</t>
        </is>
      </c>
      <c r="C324" s="10" t="inlineStr">
        <is>
          <t>Definir, validar e manter: Resultado</t>
        </is>
      </c>
      <c r="D324" s="11" t="n"/>
      <c r="E324" s="12" t="inlineStr">
        <is>
          <t>baixa</t>
        </is>
      </c>
    </row>
    <row r="325">
      <c r="A325" s="9" t="inlineStr">
        <is>
          <t>D18-DOC-PCE-001.DEPRECATION.OBJETO</t>
        </is>
      </c>
      <c r="B325" s="10" t="inlineStr">
        <is>
          <t>objeto</t>
        </is>
      </c>
      <c r="C325" s="10" t="inlineStr">
        <is>
          <t>Definir, validar e manter: Objeto</t>
        </is>
      </c>
      <c r="D325" s="11" t="n"/>
      <c r="E325" s="12" t="inlineStr">
        <is>
          <t>baixa</t>
        </is>
      </c>
    </row>
    <row r="326">
      <c r="A326" s="9" t="inlineStr">
        <is>
          <t>D18-DOC-PCE-001.DEPRECATION.PRAZO</t>
        </is>
      </c>
      <c r="B326" s="10" t="inlineStr">
        <is>
          <t>prazo</t>
        </is>
      </c>
      <c r="C326" s="10" t="inlineStr">
        <is>
          <t>Definir, validar e manter: Prazo</t>
        </is>
      </c>
      <c r="D326" s="11" t="n"/>
      <c r="E326" s="12" t="inlineStr">
        <is>
          <t>baixa</t>
        </is>
      </c>
    </row>
    <row r="327">
      <c r="A327" s="9" t="inlineStr">
        <is>
          <t>D18-DOC-PCE-001.DEPRECATION.SUBSTITUTO</t>
        </is>
      </c>
      <c r="B327" s="10" t="inlineStr">
        <is>
          <t>substituto</t>
        </is>
      </c>
      <c r="C327" s="10" t="inlineStr">
        <is>
          <t>Definir, validar e manter: Substituto</t>
        </is>
      </c>
      <c r="D327" s="11" t="n"/>
      <c r="E327" s="12" t="inlineStr">
        <is>
          <t>baixa</t>
        </is>
      </c>
    </row>
  </sheetData>
  <mergeCells count="16">
    <mergeCell ref="A53:E53"/>
    <mergeCell ref="A83:E83"/>
    <mergeCell ref="A144:E144"/>
    <mergeCell ref="A4:E4"/>
    <mergeCell ref="A198:E198"/>
    <mergeCell ref="A227:E227"/>
    <mergeCell ref="A226:E226"/>
    <mergeCell ref="A294:E294"/>
    <mergeCell ref="A266:E266"/>
    <mergeCell ref="A179:E179"/>
    <mergeCell ref="A7:E7"/>
    <mergeCell ref="A8:E8"/>
    <mergeCell ref="A295:E295"/>
    <mergeCell ref="A6:E6"/>
    <mergeCell ref="A145:E145"/>
    <mergeCell ref="A120:E1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142"/>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COUNTA(D7:D143)&amp;" / 130"</f>
        <v/>
      </c>
    </row>
    <row r="4">
      <c r="A4" s="5" t="inlineStr">
        <is>
          <t>A01 — Negócio e Go-to-Market</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D13 — Mercado e Geração de Demanda</t>
        </is>
      </c>
      <c r="B6" s="6" t="n"/>
      <c r="C6" s="6" t="n"/>
      <c r="D6" s="6" t="n"/>
      <c r="E6" s="7" t="n"/>
    </row>
    <row r="7">
      <c r="A7" s="8" t="inlineStr">
        <is>
          <t>Artefato D13-DOC-DRM-001 — Documento de Requisitos de Mercado</t>
        </is>
      </c>
      <c r="B7" s="6" t="n"/>
      <c r="C7" s="6" t="n"/>
      <c r="D7" s="6" t="n"/>
      <c r="E7" s="7" t="n"/>
    </row>
    <row r="8">
      <c r="A8" s="9" t="inlineStr">
        <is>
          <t>D13-DOC-DRM-001.MARKET.DEFINICAO</t>
        </is>
      </c>
      <c r="B8" s="10" t="inlineStr">
        <is>
          <t>definicao</t>
        </is>
      </c>
      <c r="C8" s="10" t="inlineStr">
        <is>
          <t>Definir, validar e manter: Definicao</t>
        </is>
      </c>
      <c r="D8" s="11" t="n"/>
      <c r="E8" s="12" t="inlineStr">
        <is>
          <t>baixa</t>
        </is>
      </c>
    </row>
    <row r="9">
      <c r="A9" s="9" t="inlineStr">
        <is>
          <t>D13-DOC-DRM-001.MARKET.TAMANHO</t>
        </is>
      </c>
      <c r="B9" s="10" t="inlineStr">
        <is>
          <t>tamanho</t>
        </is>
      </c>
      <c r="C9" s="10" t="inlineStr">
        <is>
          <t>Definir, validar e manter: Tamanho</t>
        </is>
      </c>
      <c r="D9" s="11" t="n"/>
      <c r="E9" s="12" t="inlineStr">
        <is>
          <t>baixa</t>
        </is>
      </c>
    </row>
    <row r="10">
      <c r="A10" s="9" t="inlineStr">
        <is>
          <t>D13-DOC-DRM-001.MARKET.TENDENCIA</t>
        </is>
      </c>
      <c r="B10" s="10" t="inlineStr">
        <is>
          <t>tendencia</t>
        </is>
      </c>
      <c r="C10" s="10" t="inlineStr">
        <is>
          <t>Definir, validar e manter: Tendencia</t>
        </is>
      </c>
      <c r="D10" s="11" t="n"/>
      <c r="E10" s="12" t="inlineStr">
        <is>
          <t>baixa</t>
        </is>
      </c>
    </row>
    <row r="11">
      <c r="A11" s="9" t="inlineStr">
        <is>
          <t>D13-DOC-DRM-001.SEGMENTS.SEGMENTO</t>
        </is>
      </c>
      <c r="B11" s="10" t="inlineStr">
        <is>
          <t>segmento</t>
        </is>
      </c>
      <c r="C11" s="10" t="inlineStr">
        <is>
          <t>Definir, validar e manter: Segmento</t>
        </is>
      </c>
      <c r="D11" s="11" t="n"/>
      <c r="E11" s="12" t="inlineStr">
        <is>
          <t>baixa</t>
        </is>
      </c>
    </row>
    <row r="12">
      <c r="A12" s="9" t="inlineStr">
        <is>
          <t>D13-DOC-DRM-001.SEGMENTS.NECESSIDADE</t>
        </is>
      </c>
      <c r="B12" s="10" t="inlineStr">
        <is>
          <t>necessidade</t>
        </is>
      </c>
      <c r="C12" s="10" t="inlineStr">
        <is>
          <t>Definir, validar e manter: Necessidade</t>
        </is>
      </c>
      <c r="D12" s="11" t="n"/>
      <c r="E12" s="12" t="inlineStr">
        <is>
          <t>baixa</t>
        </is>
      </c>
    </row>
    <row r="13">
      <c r="A13" s="9" t="inlineStr">
        <is>
          <t>D13-DOC-DRM-001.ICP.PERFIL</t>
        </is>
      </c>
      <c r="B13" s="10" t="inlineStr">
        <is>
          <t>perfil</t>
        </is>
      </c>
      <c r="C13" s="10" t="inlineStr">
        <is>
          <t>Definir, validar e manter: Perfil</t>
        </is>
      </c>
      <c r="D13" s="11" t="n"/>
      <c r="E13" s="12" t="inlineStr">
        <is>
          <t>baixa</t>
        </is>
      </c>
    </row>
    <row r="14">
      <c r="A14" s="9" t="inlineStr">
        <is>
          <t>D13-DOC-DRM-001.ICP.CRITERIOS</t>
        </is>
      </c>
      <c r="B14" s="10" t="inlineStr">
        <is>
          <t>criterios</t>
        </is>
      </c>
      <c r="C14" s="10" t="inlineStr">
        <is>
          <t>Definir, validar e manter: Criterios</t>
        </is>
      </c>
      <c r="D14" s="11" t="n"/>
      <c r="E14" s="12" t="inlineStr">
        <is>
          <t>baixa</t>
        </is>
      </c>
    </row>
    <row r="15">
      <c r="A15" s="9" t="inlineStr">
        <is>
          <t>D13-DOC-DRM-001.ICP.EXCLUSOES</t>
        </is>
      </c>
      <c r="B15" s="10" t="inlineStr">
        <is>
          <t>exclusoes</t>
        </is>
      </c>
      <c r="C15" s="10" t="inlineStr">
        <is>
          <t>Definir, validar e manter: Exclusoes</t>
        </is>
      </c>
      <c r="D15" s="11" t="n"/>
      <c r="E15" s="12" t="inlineStr">
        <is>
          <t>baixa</t>
        </is>
      </c>
    </row>
    <row r="16">
      <c r="A16" s="9" t="inlineStr">
        <is>
          <t>D13-DOC-DRM-001.DEMAND.SINAIS</t>
        </is>
      </c>
      <c r="B16" s="10" t="inlineStr">
        <is>
          <t>sinais</t>
        </is>
      </c>
      <c r="C16" s="10" t="inlineStr">
        <is>
          <t>Definir, validar e manter: Sinais</t>
        </is>
      </c>
      <c r="D16" s="11" t="n"/>
      <c r="E16" s="12" t="inlineStr">
        <is>
          <t>baixa</t>
        </is>
      </c>
    </row>
    <row r="17">
      <c r="A17" s="9" t="inlineStr">
        <is>
          <t>D13-DOC-DRM-001.DEMAND.PROBLEMAS</t>
        </is>
      </c>
      <c r="B17" s="10" t="inlineStr">
        <is>
          <t>problemas</t>
        </is>
      </c>
      <c r="C17" s="10" t="inlineStr">
        <is>
          <t>Definir, validar e manter: Problemas</t>
        </is>
      </c>
      <c r="D17" s="11" t="n"/>
      <c r="E17" s="12" t="inlineStr">
        <is>
          <t>baixa</t>
        </is>
      </c>
    </row>
    <row r="18">
      <c r="A18" s="9" t="inlineStr">
        <is>
          <t>D13-DOC-DRM-001.DEMAND.PROCURA</t>
        </is>
      </c>
      <c r="B18" s="10" t="inlineStr">
        <is>
          <t>procura</t>
        </is>
      </c>
      <c r="C18" s="10" t="inlineStr">
        <is>
          <t>Definir, validar e manter: Procura</t>
        </is>
      </c>
      <c r="D18" s="11" t="n"/>
      <c r="E18" s="12" t="inlineStr">
        <is>
          <t>baixa</t>
        </is>
      </c>
    </row>
    <row r="19">
      <c r="A19" s="9" t="inlineStr">
        <is>
          <t>D13-DOC-DRM-001.ALTERNATIVES.CONCORRENTES</t>
        </is>
      </c>
      <c r="B19" s="10" t="inlineStr">
        <is>
          <t>concorrentes</t>
        </is>
      </c>
      <c r="C19" s="10" t="inlineStr">
        <is>
          <t>Definir, validar e manter: Concorrentes</t>
        </is>
      </c>
      <c r="D19" s="11" t="n"/>
      <c r="E19" s="12" t="inlineStr">
        <is>
          <t>baixa</t>
        </is>
      </c>
    </row>
    <row r="20">
      <c r="A20" s="9" t="inlineStr">
        <is>
          <t>D13-DOC-DRM-001.ALTERNATIVES.SUBSTITUTOS</t>
        </is>
      </c>
      <c r="B20" s="10" t="inlineStr">
        <is>
          <t>substitutos</t>
        </is>
      </c>
      <c r="C20" s="10" t="inlineStr">
        <is>
          <t>Definir, validar e manter: Substitutos</t>
        </is>
      </c>
      <c r="D20" s="11" t="n"/>
      <c r="E20" s="12" t="inlineStr">
        <is>
          <t>baixa</t>
        </is>
      </c>
    </row>
    <row r="21">
      <c r="A21" s="9" t="inlineStr">
        <is>
          <t>D13-DOC-DRM-001.POSITIONING.CATEGORIA</t>
        </is>
      </c>
      <c r="B21" s="10" t="inlineStr">
        <is>
          <t>categoria</t>
        </is>
      </c>
      <c r="C21" s="10" t="inlineStr">
        <is>
          <t>Definir, validar e manter: Categoria</t>
        </is>
      </c>
      <c r="D21" s="11" t="n"/>
      <c r="E21" s="12" t="inlineStr">
        <is>
          <t>alta</t>
        </is>
      </c>
    </row>
    <row r="22">
      <c r="A22" s="9" t="inlineStr">
        <is>
          <t>D13-DOC-DRM-001.POSITIONING.DIFERENCIACAO</t>
        </is>
      </c>
      <c r="B22" s="10" t="inlineStr">
        <is>
          <t>diferenciacao</t>
        </is>
      </c>
      <c r="C22" s="10" t="inlineStr">
        <is>
          <t>Definir, validar e manter: Diferenciacao</t>
        </is>
      </c>
      <c r="D22" s="11" t="n"/>
      <c r="E22" s="12" t="inlineStr">
        <is>
          <t>baixa</t>
        </is>
      </c>
    </row>
    <row r="23">
      <c r="A23" s="9" t="inlineStr">
        <is>
          <t>D13-DOC-DRM-001.MESSAGING.PROBLEMA</t>
        </is>
      </c>
      <c r="B23" s="10" t="inlineStr">
        <is>
          <t>problema</t>
        </is>
      </c>
      <c r="C23" s="10" t="inlineStr">
        <is>
          <t>Definir, validar e manter: Problema</t>
        </is>
      </c>
      <c r="D23" s="11" t="n"/>
      <c r="E23" s="12" t="inlineStr">
        <is>
          <t>baixa</t>
        </is>
      </c>
    </row>
    <row r="24">
      <c r="A24" s="9" t="inlineStr">
        <is>
          <t>D13-DOC-DRM-001.MESSAGING.PROMESSA</t>
        </is>
      </c>
      <c r="B24" s="10" t="inlineStr">
        <is>
          <t>promessa</t>
        </is>
      </c>
      <c r="C24" s="10" t="inlineStr">
        <is>
          <t>Definir, validar e manter: Promessa</t>
        </is>
      </c>
      <c r="D24" s="11" t="n"/>
      <c r="E24" s="12" t="inlineStr">
        <is>
          <t>alta</t>
        </is>
      </c>
    </row>
    <row r="25">
      <c r="A25" s="9" t="inlineStr">
        <is>
          <t>D13-DOC-DRM-001.MESSAGING.PROVA</t>
        </is>
      </c>
      <c r="B25" s="10" t="inlineStr">
        <is>
          <t>prova</t>
        </is>
      </c>
      <c r="C25" s="10" t="inlineStr">
        <is>
          <t>Definir, validar e manter: Prova</t>
        </is>
      </c>
      <c r="D25" s="11" t="n"/>
      <c r="E25" s="12" t="inlineStr">
        <is>
          <t>baixa</t>
        </is>
      </c>
    </row>
    <row r="26">
      <c r="A26" s="9" t="inlineStr">
        <is>
          <t>D13-DOC-DRM-001.CHANNELS.ORGANICO</t>
        </is>
      </c>
      <c r="B26" s="10" t="inlineStr">
        <is>
          <t>organico</t>
        </is>
      </c>
      <c r="C26" s="10" t="inlineStr">
        <is>
          <t>Definir, validar e manter: Organico</t>
        </is>
      </c>
      <c r="D26" s="11" t="n"/>
      <c r="E26" s="12" t="inlineStr">
        <is>
          <t>baixa</t>
        </is>
      </c>
    </row>
    <row r="27">
      <c r="A27" s="9" t="inlineStr">
        <is>
          <t>D13-DOC-DRM-001.CHANNELS.PAGO</t>
        </is>
      </c>
      <c r="B27" s="10" t="inlineStr">
        <is>
          <t>pago</t>
        </is>
      </c>
      <c r="C27" s="10" t="inlineStr">
        <is>
          <t>Definir, validar e manter: Pago</t>
        </is>
      </c>
      <c r="D27" s="11" t="n"/>
      <c r="E27" s="12" t="inlineStr">
        <is>
          <t>baixa</t>
        </is>
      </c>
    </row>
    <row r="28">
      <c r="A28" s="9" t="inlineStr">
        <is>
          <t>D13-DOC-DRM-001.CHANNELS.PARCERIA</t>
        </is>
      </c>
      <c r="B28" s="10" t="inlineStr">
        <is>
          <t>parceria</t>
        </is>
      </c>
      <c r="C28" s="10" t="inlineStr">
        <is>
          <t>Definir, validar e manter: Parceria</t>
        </is>
      </c>
      <c r="D28" s="11" t="n"/>
      <c r="E28" s="12" t="inlineStr">
        <is>
          <t>baixa</t>
        </is>
      </c>
    </row>
    <row r="29">
      <c r="A29" s="9" t="inlineStr">
        <is>
          <t>D13-DOC-DRM-001.ACQUISITION.ESTRATEGIAS</t>
        </is>
      </c>
      <c r="B29" s="10" t="inlineStr">
        <is>
          <t>estrategias</t>
        </is>
      </c>
      <c r="C29" s="10" t="inlineStr">
        <is>
          <t>Definir, validar e manter: Estrategias</t>
        </is>
      </c>
      <c r="D29" s="11" t="n"/>
      <c r="E29" s="12" t="inlineStr">
        <is>
          <t>baixa</t>
        </is>
      </c>
    </row>
    <row r="30">
      <c r="A30" s="9" t="inlineStr">
        <is>
          <t>D13-DOC-DRM-001.PRICING_SIGNALS.DISPOSICAO_A_PAGAR</t>
        </is>
      </c>
      <c r="B30" s="10" t="inlineStr">
        <is>
          <t>disposicao_a_pagar</t>
        </is>
      </c>
      <c r="C30" s="10" t="inlineStr">
        <is>
          <t>Definir, validar e manter: Disposicao A Pagar</t>
        </is>
      </c>
      <c r="D30" s="11" t="n"/>
      <c r="E30" s="12" t="inlineStr">
        <is>
          <t>baixa</t>
        </is>
      </c>
    </row>
    <row r="31">
      <c r="A31" s="9" t="inlineStr">
        <is>
          <t>D13-DOC-DRM-001.PRICING_SIGNALS.BENCHMARKS</t>
        </is>
      </c>
      <c r="B31" s="10" t="inlineStr">
        <is>
          <t>benchmarks</t>
        </is>
      </c>
      <c r="C31" s="10" t="inlineStr">
        <is>
          <t>Definir, validar e manter: Benchmarks</t>
        </is>
      </c>
      <c r="D31" s="11" t="n"/>
      <c r="E31" s="12" t="inlineStr">
        <is>
          <t>baixa</t>
        </is>
      </c>
    </row>
    <row r="32">
      <c r="A32" s="9" t="inlineStr">
        <is>
          <t>D13-DOC-DRM-001.EVIDENCE.FONTES</t>
        </is>
      </c>
      <c r="B32" s="10" t="inlineStr">
        <is>
          <t>fontes</t>
        </is>
      </c>
      <c r="C32" s="10" t="inlineStr">
        <is>
          <t>Definir, validar e manter: Fontes</t>
        </is>
      </c>
      <c r="D32" s="11" t="n"/>
      <c r="E32" s="12" t="inlineStr">
        <is>
          <t>baixa</t>
        </is>
      </c>
    </row>
    <row r="33">
      <c r="A33" s="9" t="inlineStr">
        <is>
          <t>D13-DOC-DRM-001.EVIDENCE.ESTUDOS</t>
        </is>
      </c>
      <c r="B33" s="10" t="inlineStr">
        <is>
          <t>estudos</t>
        </is>
      </c>
      <c r="C33" s="10" t="inlineStr">
        <is>
          <t>Definir, validar e manter: Estudos</t>
        </is>
      </c>
      <c r="D33" s="11" t="n"/>
      <c r="E33" s="12" t="inlineStr">
        <is>
          <t>baixa</t>
        </is>
      </c>
    </row>
    <row r="34">
      <c r="A34" s="9" t="inlineStr">
        <is>
          <t>D13-DOC-DRM-001.RISKS.RISCOS_DE_MERCADO</t>
        </is>
      </c>
      <c r="B34" s="10" t="inlineStr">
        <is>
          <t>riscos_de_mercado</t>
        </is>
      </c>
      <c r="C34" s="10" t="inlineStr">
        <is>
          <t>Definir, validar e manter: Riscos De Mercado</t>
        </is>
      </c>
      <c r="D34" s="11" t="n"/>
      <c r="E34" s="12" t="inlineStr">
        <is>
          <t>baixa</t>
        </is>
      </c>
    </row>
    <row r="35">
      <c r="A35" s="8" t="inlineStr">
        <is>
          <t>Artefato D13-DOC-GTM-001 — Plano de Entrada no Mercado e Lançamento</t>
        </is>
      </c>
      <c r="B35" s="6" t="n"/>
      <c r="C35" s="6" t="n"/>
      <c r="D35" s="6" t="n"/>
      <c r="E35" s="7" t="n"/>
    </row>
    <row r="36">
      <c r="A36" s="9" t="inlineStr">
        <is>
          <t>D13-DOC-GTM-001.OBJECTIVES.OBJETIVO_DE_LANCAMENTO</t>
        </is>
      </c>
      <c r="B36" s="10" t="inlineStr">
        <is>
          <t>objetivo_de_lancamento</t>
        </is>
      </c>
      <c r="C36" s="10" t="inlineStr">
        <is>
          <t>Definir, validar e manter: Objetivo De Lancamento</t>
        </is>
      </c>
      <c r="D36" s="11" t="n"/>
      <c r="E36" s="12" t="inlineStr">
        <is>
          <t>baixa</t>
        </is>
      </c>
    </row>
    <row r="37">
      <c r="A37" s="9" t="inlineStr">
        <is>
          <t>D13-DOC-GTM-001.AUDIENCE.ICP</t>
        </is>
      </c>
      <c r="B37" s="10" t="inlineStr">
        <is>
          <t>icp</t>
        </is>
      </c>
      <c r="C37" s="10" t="inlineStr">
        <is>
          <t>Definir, validar e manter: Icp</t>
        </is>
      </c>
      <c r="D37" s="11" t="n"/>
      <c r="E37" s="12" t="inlineStr">
        <is>
          <t>baixa</t>
        </is>
      </c>
    </row>
    <row r="38">
      <c r="A38" s="9" t="inlineStr">
        <is>
          <t>D13-DOC-GTM-001.AUDIENCE.SEGMENTOS</t>
        </is>
      </c>
      <c r="B38" s="10" t="inlineStr">
        <is>
          <t>segmentos</t>
        </is>
      </c>
      <c r="C38" s="10" t="inlineStr">
        <is>
          <t>Definir, validar e manter: Segmentos</t>
        </is>
      </c>
      <c r="D38" s="11" t="n"/>
      <c r="E38" s="12" t="inlineStr">
        <is>
          <t>baixa</t>
        </is>
      </c>
    </row>
    <row r="39">
      <c r="A39" s="9" t="inlineStr">
        <is>
          <t>D13-DOC-GTM-001.POSITIONING.POSICIONAMENTO</t>
        </is>
      </c>
      <c r="B39" s="10" t="inlineStr">
        <is>
          <t>posicionamento</t>
        </is>
      </c>
      <c r="C39" s="10" t="inlineStr">
        <is>
          <t>Definir, validar e manter: Posicionamento</t>
        </is>
      </c>
      <c r="D39" s="11" t="n"/>
      <c r="E39" s="12" t="inlineStr">
        <is>
          <t>baixa</t>
        </is>
      </c>
    </row>
    <row r="40">
      <c r="A40" s="9" t="inlineStr">
        <is>
          <t>D13-DOC-GTM-001.POSITIONING.MENSAGEM</t>
        </is>
      </c>
      <c r="B40" s="10" t="inlineStr">
        <is>
          <t>mensagem</t>
        </is>
      </c>
      <c r="C40" s="10" t="inlineStr">
        <is>
          <t>Definir, validar e manter: Mensagem</t>
        </is>
      </c>
      <c r="D40" s="11" t="n"/>
      <c r="E40" s="12" t="inlineStr">
        <is>
          <t>baixa</t>
        </is>
      </c>
    </row>
    <row r="41">
      <c r="A41" s="9" t="inlineStr">
        <is>
          <t>D13-DOC-GTM-001.OFFER.PRODUTO</t>
        </is>
      </c>
      <c r="B41" s="10" t="inlineStr">
        <is>
          <t>produto</t>
        </is>
      </c>
      <c r="C41" s="10" t="inlineStr">
        <is>
          <t>Definir, validar e manter: Produto</t>
        </is>
      </c>
      <c r="D41" s="11" t="n"/>
      <c r="E41" s="12" t="inlineStr">
        <is>
          <t>baixa</t>
        </is>
      </c>
    </row>
    <row r="42">
      <c r="A42" s="9" t="inlineStr">
        <is>
          <t>D13-DOC-GTM-001.OFFER.PLANO</t>
        </is>
      </c>
      <c r="B42" s="10" t="inlineStr">
        <is>
          <t>plano</t>
        </is>
      </c>
      <c r="C42" s="10" t="inlineStr">
        <is>
          <t>Definir, validar e manter: Plano</t>
        </is>
      </c>
      <c r="D42" s="11" t="n"/>
      <c r="E42" s="12" t="inlineStr">
        <is>
          <t>baixa</t>
        </is>
      </c>
    </row>
    <row r="43">
      <c r="A43" s="9" t="inlineStr">
        <is>
          <t>D13-DOC-GTM-001.OFFER.PRECO</t>
        </is>
      </c>
      <c r="B43" s="10" t="inlineStr">
        <is>
          <t>preco</t>
        </is>
      </c>
      <c r="C43" s="10" t="inlineStr">
        <is>
          <t>Definir, validar e manter: Preco</t>
        </is>
      </c>
      <c r="D43" s="11" t="n"/>
      <c r="E43" s="12" t="inlineStr">
        <is>
          <t>baixa</t>
        </is>
      </c>
    </row>
    <row r="44">
      <c r="A44" s="9" t="inlineStr">
        <is>
          <t>D13-DOC-GTM-001.CHANNELS.CANAL</t>
        </is>
      </c>
      <c r="B44" s="10" t="inlineStr">
        <is>
          <t>canal</t>
        </is>
      </c>
      <c r="C44" s="10" t="inlineStr">
        <is>
          <t>Definir, validar e manter: Canal</t>
        </is>
      </c>
      <c r="D44" s="11" t="n"/>
      <c r="E44" s="12" t="inlineStr">
        <is>
          <t>baixa</t>
        </is>
      </c>
    </row>
    <row r="45">
      <c r="A45" s="9" t="inlineStr">
        <is>
          <t>D13-DOC-GTM-001.CHANNELS.FUNCAO</t>
        </is>
      </c>
      <c r="B45" s="10" t="inlineStr">
        <is>
          <t>funcao</t>
        </is>
      </c>
      <c r="C45" s="10" t="inlineStr">
        <is>
          <t>Definir, validar e manter: Funcao</t>
        </is>
      </c>
      <c r="D45" s="11" t="n"/>
      <c r="E45" s="12" t="inlineStr">
        <is>
          <t>baixa</t>
        </is>
      </c>
    </row>
    <row r="46">
      <c r="A46" s="9" t="inlineStr">
        <is>
          <t>D13-DOC-GTM-001.CONTENT.ATIVOS</t>
        </is>
      </c>
      <c r="B46" s="10" t="inlineStr">
        <is>
          <t>ativos</t>
        </is>
      </c>
      <c r="C46" s="10" t="inlineStr">
        <is>
          <t>Definir, validar e manter: Ativos</t>
        </is>
      </c>
      <c r="D46" s="11" t="n"/>
      <c r="E46" s="12" t="inlineStr">
        <is>
          <t>alta</t>
        </is>
      </c>
    </row>
    <row r="47">
      <c r="A47" s="9" t="inlineStr">
        <is>
          <t>D13-DOC-GTM-001.CONTENT.CAMPANHA</t>
        </is>
      </c>
      <c r="B47" s="10" t="inlineStr">
        <is>
          <t>campanha</t>
        </is>
      </c>
      <c r="C47" s="10" t="inlineStr">
        <is>
          <t>Definir, validar e manter: Campanha</t>
        </is>
      </c>
      <c r="D47" s="11" t="n"/>
      <c r="E47" s="12" t="inlineStr">
        <is>
          <t>baixa</t>
        </is>
      </c>
    </row>
    <row r="48">
      <c r="A48" s="9" t="inlineStr">
        <is>
          <t>D13-DOC-GTM-001.FUNNEL.AWARENESS</t>
        </is>
      </c>
      <c r="B48" s="10" t="inlineStr">
        <is>
          <t>awareness</t>
        </is>
      </c>
      <c r="C48" s="10" t="inlineStr">
        <is>
          <t>Definir, validar e manter: Awareness</t>
        </is>
      </c>
      <c r="D48" s="11" t="n"/>
      <c r="E48" s="12" t="inlineStr">
        <is>
          <t>baixa</t>
        </is>
      </c>
    </row>
    <row r="49">
      <c r="A49" s="9" t="inlineStr">
        <is>
          <t>D13-DOC-GTM-001.FUNNEL.CONSIDERATION</t>
        </is>
      </c>
      <c r="B49" s="10" t="inlineStr">
        <is>
          <t>consideration</t>
        </is>
      </c>
      <c r="C49" s="10" t="inlineStr">
        <is>
          <t>Definir, validar e manter: Consideration</t>
        </is>
      </c>
      <c r="D49" s="11" t="n"/>
      <c r="E49" s="12" t="inlineStr">
        <is>
          <t>baixa</t>
        </is>
      </c>
    </row>
    <row r="50">
      <c r="A50" s="9" t="inlineStr">
        <is>
          <t>D13-DOC-GTM-001.FUNNEL.CONVERSION</t>
        </is>
      </c>
      <c r="B50" s="10" t="inlineStr">
        <is>
          <t>conversion</t>
        </is>
      </c>
      <c r="C50" s="10" t="inlineStr">
        <is>
          <t>Definir, validar e manter: Conversion</t>
        </is>
      </c>
      <c r="D50" s="11" t="n"/>
      <c r="E50" s="12" t="inlineStr">
        <is>
          <t>baixa</t>
        </is>
      </c>
    </row>
    <row r="51">
      <c r="A51" s="9" t="inlineStr">
        <is>
          <t>D13-DOC-GTM-001.FUNNEL.RETENTION</t>
        </is>
      </c>
      <c r="B51" s="10" t="inlineStr">
        <is>
          <t>retention</t>
        </is>
      </c>
      <c r="C51" s="10" t="inlineStr">
        <is>
          <t>Definir, validar e manter: Retention</t>
        </is>
      </c>
      <c r="D51" s="11" t="n"/>
      <c r="E51" s="12" t="inlineStr">
        <is>
          <t>baixa</t>
        </is>
      </c>
    </row>
    <row r="52">
      <c r="A52" s="9" t="inlineStr">
        <is>
          <t>D13-DOC-GTM-001.CAMPAIGN.FASE</t>
        </is>
      </c>
      <c r="B52" s="10" t="inlineStr">
        <is>
          <t>fase</t>
        </is>
      </c>
      <c r="C52" s="10" t="inlineStr">
        <is>
          <t>Definir, validar e manter: Fase</t>
        </is>
      </c>
      <c r="D52" s="11" t="n"/>
      <c r="E52" s="12" t="inlineStr">
        <is>
          <t>baixa</t>
        </is>
      </c>
    </row>
    <row r="53">
      <c r="A53" s="9" t="inlineStr">
        <is>
          <t>D13-DOC-GTM-001.CAMPAIGN.ATIVIDADE</t>
        </is>
      </c>
      <c r="B53" s="10" t="inlineStr">
        <is>
          <t>atividade</t>
        </is>
      </c>
      <c r="C53" s="10" t="inlineStr">
        <is>
          <t>Definir, validar e manter: Atividade</t>
        </is>
      </c>
      <c r="D53" s="11" t="n"/>
      <c r="E53" s="12" t="inlineStr">
        <is>
          <t>baixa</t>
        </is>
      </c>
    </row>
    <row r="54">
      <c r="A54" s="9" t="inlineStr">
        <is>
          <t>D13-DOC-GTM-001.CAMPAIGN.ATIVO</t>
        </is>
      </c>
      <c r="B54" s="10" t="inlineStr">
        <is>
          <t>ativo</t>
        </is>
      </c>
      <c r="C54" s="10" t="inlineStr">
        <is>
          <t>Definir, validar e manter: Ativo</t>
        </is>
      </c>
      <c r="D54" s="11" t="n"/>
      <c r="E54" s="12" t="inlineStr">
        <is>
          <t>baixa</t>
        </is>
      </c>
    </row>
    <row r="55">
      <c r="A55" s="9" t="inlineStr">
        <is>
          <t>D13-DOC-GTM-001.LAUNCH.PRE_LAUNCH</t>
        </is>
      </c>
      <c r="B55" s="10" t="inlineStr">
        <is>
          <t>pre_launch</t>
        </is>
      </c>
      <c r="C55" s="10" t="inlineStr">
        <is>
          <t>Definir, validar e manter: Pre Launch</t>
        </is>
      </c>
      <c r="D55" s="11" t="n"/>
      <c r="E55" s="12" t="inlineStr">
        <is>
          <t>baixa</t>
        </is>
      </c>
    </row>
    <row r="56">
      <c r="A56" s="9" t="inlineStr">
        <is>
          <t>D13-DOC-GTM-001.LAUNCH.LAUNCH</t>
        </is>
      </c>
      <c r="B56" s="10" t="inlineStr">
        <is>
          <t>launch</t>
        </is>
      </c>
      <c r="C56" s="10" t="inlineStr">
        <is>
          <t>Definir, validar e manter: Launch</t>
        </is>
      </c>
      <c r="D56" s="11" t="n"/>
      <c r="E56" s="12" t="inlineStr">
        <is>
          <t>baixa</t>
        </is>
      </c>
    </row>
    <row r="57">
      <c r="A57" s="9" t="inlineStr">
        <is>
          <t>D13-DOC-GTM-001.LAUNCH.POST_LAUNCH</t>
        </is>
      </c>
      <c r="B57" s="10" t="inlineStr">
        <is>
          <t>post_launch</t>
        </is>
      </c>
      <c r="C57" s="10" t="inlineStr">
        <is>
          <t>Definir, validar e manter: Post Launch</t>
        </is>
      </c>
      <c r="D57" s="11" t="n"/>
      <c r="E57" s="12" t="inlineStr">
        <is>
          <t>baixa</t>
        </is>
      </c>
    </row>
    <row r="58">
      <c r="A58" s="9" t="inlineStr">
        <is>
          <t>D13-DOC-GTM-001.SALES_HANDOFF.MARKETING_PARA_VENDAS</t>
        </is>
      </c>
      <c r="B58" s="10" t="inlineStr">
        <is>
          <t>marketing_para_vendas</t>
        </is>
      </c>
      <c r="C58" s="10" t="inlineStr">
        <is>
          <t>Definir, validar e manter: Marketing Para Vendas</t>
        </is>
      </c>
      <c r="D58" s="11" t="n"/>
      <c r="E58" s="12" t="inlineStr">
        <is>
          <t>baixa</t>
        </is>
      </c>
    </row>
    <row r="59">
      <c r="A59" s="9" t="inlineStr">
        <is>
          <t>D13-DOC-GTM-001.SUPPORT_READINESS.ATENDIMENTO</t>
        </is>
      </c>
      <c r="B59" s="10" t="inlineStr">
        <is>
          <t>atendimento</t>
        </is>
      </c>
      <c r="C59" s="10" t="inlineStr">
        <is>
          <t>Definir, validar e manter: Atendimento</t>
        </is>
      </c>
      <c r="D59" s="11" t="n"/>
      <c r="E59" s="12" t="inlineStr">
        <is>
          <t>baixa</t>
        </is>
      </c>
    </row>
    <row r="60">
      <c r="A60" s="9" t="inlineStr">
        <is>
          <t>D13-DOC-GTM-001.SUPPORT_READINESS.FAQ</t>
        </is>
      </c>
      <c r="B60" s="10" t="inlineStr">
        <is>
          <t>faq</t>
        </is>
      </c>
      <c r="C60" s="10" t="inlineStr">
        <is>
          <t>Definir, validar e manter: Faq</t>
        </is>
      </c>
      <c r="D60" s="11" t="n"/>
      <c r="E60" s="12" t="inlineStr">
        <is>
          <t>baixa</t>
        </is>
      </c>
    </row>
    <row r="61">
      <c r="A61" s="9" t="inlineStr">
        <is>
          <t>D13-DOC-GTM-001.ANALYTICS.METRICAS</t>
        </is>
      </c>
      <c r="B61" s="10" t="inlineStr">
        <is>
          <t>metricas</t>
        </is>
      </c>
      <c r="C61" s="10" t="inlineStr">
        <is>
          <t>Definir, validar e manter: Metricas</t>
        </is>
      </c>
      <c r="D61" s="11" t="n"/>
      <c r="E61" s="12" t="inlineStr">
        <is>
          <t>baixa</t>
        </is>
      </c>
    </row>
    <row r="62">
      <c r="A62" s="9" t="inlineStr">
        <is>
          <t>D13-DOC-GTM-001.ANALYTICS.EVENTOS</t>
        </is>
      </c>
      <c r="B62" s="10" t="inlineStr">
        <is>
          <t>eventos</t>
        </is>
      </c>
      <c r="C62" s="10" t="inlineStr">
        <is>
          <t>Definir, validar e manter: Eventos</t>
        </is>
      </c>
      <c r="D62" s="11" t="n"/>
      <c r="E62" s="12" t="inlineStr">
        <is>
          <t>baixa</t>
        </is>
      </c>
    </row>
    <row r="63">
      <c r="A63" s="9" t="inlineStr">
        <is>
          <t>D13-DOC-GTM-001.BUDGET.INVESTIMENTO</t>
        </is>
      </c>
      <c r="B63" s="10" t="inlineStr">
        <is>
          <t>investimento</t>
        </is>
      </c>
      <c r="C63" s="10" t="inlineStr">
        <is>
          <t>Definir, validar e manter: Investimento</t>
        </is>
      </c>
      <c r="D63" s="11" t="n"/>
      <c r="E63" s="12" t="inlineStr">
        <is>
          <t>baixa</t>
        </is>
      </c>
    </row>
    <row r="64">
      <c r="A64" s="9" t="inlineStr">
        <is>
          <t>D13-DOC-GTM-001.EXPERIMENTS.HIPOTESE</t>
        </is>
      </c>
      <c r="B64" s="10" t="inlineStr">
        <is>
          <t>hipotese</t>
        </is>
      </c>
      <c r="C64" s="10" t="inlineStr">
        <is>
          <t>Definir, validar e manter: Hipotese</t>
        </is>
      </c>
      <c r="D64" s="11" t="n"/>
      <c r="E64" s="12" t="inlineStr">
        <is>
          <t>baixa</t>
        </is>
      </c>
    </row>
    <row r="65">
      <c r="A65" s="9" t="inlineStr">
        <is>
          <t>D13-DOC-GTM-001.EXPERIMENTS.TESTE</t>
        </is>
      </c>
      <c r="B65" s="10" t="inlineStr">
        <is>
          <t>teste</t>
        </is>
      </c>
      <c r="C65" s="10" t="inlineStr">
        <is>
          <t>Definir, validar e manter: Teste</t>
        </is>
      </c>
      <c r="D65" s="11" t="n"/>
      <c r="E65" s="12" t="inlineStr">
        <is>
          <t>baixa</t>
        </is>
      </c>
    </row>
    <row r="66">
      <c r="A66" s="9" t="inlineStr">
        <is>
          <t>D13-DOC-GTM-001.GATES.GO_NO_GO</t>
        </is>
      </c>
      <c r="B66" s="10" t="inlineStr">
        <is>
          <t>go_no_go</t>
        </is>
      </c>
      <c r="C66" s="10" t="inlineStr">
        <is>
          <t>Definir, validar e manter: Go No Go</t>
        </is>
      </c>
      <c r="D66" s="11" t="n"/>
      <c r="E66" s="12" t="inlineStr">
        <is>
          <t>baixa</t>
        </is>
      </c>
    </row>
    <row r="67">
      <c r="A67" s="9" t="inlineStr">
        <is>
          <t>D13-DOC-GTM-001.GATES.CRITERIO</t>
        </is>
      </c>
      <c r="B67" s="10" t="inlineStr">
        <is>
          <t>criterio</t>
        </is>
      </c>
      <c r="C67" s="10" t="inlineStr">
        <is>
          <t>Definir, validar e manter: Criterio</t>
        </is>
      </c>
      <c r="D67" s="11" t="n"/>
      <c r="E67" s="12" t="inlineStr">
        <is>
          <t>baixa</t>
        </is>
      </c>
    </row>
    <row r="68">
      <c r="A68" s="8" t="inlineStr">
        <is>
          <t>Domínio D14 — Vendas</t>
        </is>
      </c>
      <c r="B68" s="6" t="n"/>
      <c r="C68" s="6" t="n"/>
      <c r="D68" s="6" t="n"/>
      <c r="E68" s="7" t="n"/>
    </row>
    <row r="69">
      <c r="A69" s="8" t="inlineStr">
        <is>
          <t>Artefato D14-DOC-PCV-001 — Plano Comercial e de Vendas</t>
        </is>
      </c>
      <c r="B69" s="6" t="n"/>
      <c r="C69" s="6" t="n"/>
      <c r="D69" s="6" t="n"/>
      <c r="E69" s="7" t="n"/>
    </row>
    <row r="70">
      <c r="A70" s="9" t="inlineStr">
        <is>
          <t>D14-DOC-PCV-001.CUSTOMER.ICP</t>
        </is>
      </c>
      <c r="B70" s="10" t="inlineStr">
        <is>
          <t>icp</t>
        </is>
      </c>
      <c r="C70" s="10" t="inlineStr">
        <is>
          <t>Definir, validar e manter: Icp</t>
        </is>
      </c>
      <c r="D70" s="11" t="n"/>
      <c r="E70" s="12" t="inlineStr">
        <is>
          <t>baixa</t>
        </is>
      </c>
    </row>
    <row r="71">
      <c r="A71" s="9" t="inlineStr">
        <is>
          <t>D14-DOC-PCV-001.CUSTOMER.SEGMENTOS</t>
        </is>
      </c>
      <c r="B71" s="10" t="inlineStr">
        <is>
          <t>segmentos</t>
        </is>
      </c>
      <c r="C71" s="10" t="inlineStr">
        <is>
          <t>Definir, validar e manter: Segmentos</t>
        </is>
      </c>
      <c r="D71" s="11" t="n"/>
      <c r="E71" s="12" t="inlineStr">
        <is>
          <t>baixa</t>
        </is>
      </c>
    </row>
    <row r="72">
      <c r="A72" s="9" t="inlineStr">
        <is>
          <t>D14-DOC-PCV-001.OFFERS.PRODUTO</t>
        </is>
      </c>
      <c r="B72" s="10" t="inlineStr">
        <is>
          <t>produto</t>
        </is>
      </c>
      <c r="C72" s="10" t="inlineStr">
        <is>
          <t>Definir, validar e manter: Produto</t>
        </is>
      </c>
      <c r="D72" s="11" t="n"/>
      <c r="E72" s="12" t="inlineStr">
        <is>
          <t>baixa</t>
        </is>
      </c>
    </row>
    <row r="73">
      <c r="A73" s="9" t="inlineStr">
        <is>
          <t>D14-DOC-PCV-001.OFFERS.PACOTE</t>
        </is>
      </c>
      <c r="B73" s="10" t="inlineStr">
        <is>
          <t>pacote</t>
        </is>
      </c>
      <c r="C73" s="10" t="inlineStr">
        <is>
          <t>Definir, validar e manter: Pacote</t>
        </is>
      </c>
      <c r="D73" s="11" t="n"/>
      <c r="E73" s="12" t="inlineStr">
        <is>
          <t>alta</t>
        </is>
      </c>
    </row>
    <row r="74">
      <c r="A74" s="9" t="inlineStr">
        <is>
          <t>D14-DOC-PCV-001.PRICING.PRECO</t>
        </is>
      </c>
      <c r="B74" s="10" t="inlineStr">
        <is>
          <t>preco</t>
        </is>
      </c>
      <c r="C74" s="10" t="inlineStr">
        <is>
          <t>Definir, validar e manter: Preco</t>
        </is>
      </c>
      <c r="D74" s="11" t="n"/>
      <c r="E74" s="12" t="inlineStr">
        <is>
          <t>alta</t>
        </is>
      </c>
    </row>
    <row r="75">
      <c r="A75" s="9" t="inlineStr">
        <is>
          <t>D14-DOC-PCV-001.PRICING.DESCONTO</t>
        </is>
      </c>
      <c r="B75" s="10" t="inlineStr">
        <is>
          <t>desconto</t>
        </is>
      </c>
      <c r="C75" s="10" t="inlineStr">
        <is>
          <t>Definir, validar e manter: Desconto</t>
        </is>
      </c>
      <c r="D75" s="11" t="n"/>
      <c r="E75" s="12" t="inlineStr">
        <is>
          <t>baixa</t>
        </is>
      </c>
    </row>
    <row r="76">
      <c r="A76" s="9" t="inlineStr">
        <is>
          <t>D14-DOC-PCV-001.QUALIFICATION.CRITERIOS</t>
        </is>
      </c>
      <c r="B76" s="10" t="inlineStr">
        <is>
          <t>criterios</t>
        </is>
      </c>
      <c r="C76" s="10" t="inlineStr">
        <is>
          <t>Definir, validar e manter: Criterios</t>
        </is>
      </c>
      <c r="D76" s="11" t="n"/>
      <c r="E76" s="12" t="inlineStr">
        <is>
          <t>baixa</t>
        </is>
      </c>
    </row>
    <row r="77">
      <c r="A77" s="9" t="inlineStr">
        <is>
          <t>D14-DOC-PCV-001.QUALIFICATION.SCORING</t>
        </is>
      </c>
      <c r="B77" s="10" t="inlineStr">
        <is>
          <t>scoring</t>
        </is>
      </c>
      <c r="C77" s="10" t="inlineStr">
        <is>
          <t>Definir, validar e manter: Scoring</t>
        </is>
      </c>
      <c r="D77" s="11" t="n"/>
      <c r="E77" s="12" t="inlineStr">
        <is>
          <t>baixa</t>
        </is>
      </c>
    </row>
    <row r="78">
      <c r="A78" s="9" t="inlineStr">
        <is>
          <t>D14-DOC-PCV-001.FUNNEL.LEAD</t>
        </is>
      </c>
      <c r="B78" s="10" t="inlineStr">
        <is>
          <t>lead</t>
        </is>
      </c>
      <c r="C78" s="10" t="inlineStr">
        <is>
          <t>Definir, validar e manter: Lead</t>
        </is>
      </c>
      <c r="D78" s="11" t="n"/>
      <c r="E78" s="12" t="inlineStr">
        <is>
          <t>baixa</t>
        </is>
      </c>
    </row>
    <row r="79">
      <c r="A79" s="9" t="inlineStr">
        <is>
          <t>D14-DOC-PCV-001.FUNNEL.MQL</t>
        </is>
      </c>
      <c r="B79" s="10" t="inlineStr">
        <is>
          <t>mql</t>
        </is>
      </c>
      <c r="C79" s="10" t="inlineStr">
        <is>
          <t>Definir, validar e manter: Mql</t>
        </is>
      </c>
      <c r="D79" s="11" t="n"/>
      <c r="E79" s="12" t="inlineStr">
        <is>
          <t>baixa</t>
        </is>
      </c>
    </row>
    <row r="80">
      <c r="A80" s="9" t="inlineStr">
        <is>
          <t>D14-DOC-PCV-001.FUNNEL.SQL</t>
        </is>
      </c>
      <c r="B80" s="10" t="inlineStr">
        <is>
          <t>sql</t>
        </is>
      </c>
      <c r="C80" s="10" t="inlineStr">
        <is>
          <t>Definir, validar e manter: Sql</t>
        </is>
      </c>
      <c r="D80" s="11" t="n"/>
      <c r="E80" s="12" t="inlineStr">
        <is>
          <t>baixa</t>
        </is>
      </c>
    </row>
    <row r="81">
      <c r="A81" s="9" t="inlineStr">
        <is>
          <t>D14-DOC-PCV-001.FUNNEL.PROPOSTA</t>
        </is>
      </c>
      <c r="B81" s="10" t="inlineStr">
        <is>
          <t>proposta</t>
        </is>
      </c>
      <c r="C81" s="10" t="inlineStr">
        <is>
          <t>Definir, validar e manter: Proposta</t>
        </is>
      </c>
      <c r="D81" s="11" t="n"/>
      <c r="E81" s="12" t="inlineStr">
        <is>
          <t>baixa</t>
        </is>
      </c>
    </row>
    <row r="82">
      <c r="A82" s="9" t="inlineStr">
        <is>
          <t>D14-DOC-PCV-001.FUNNEL.GANHO</t>
        </is>
      </c>
      <c r="B82" s="10" t="inlineStr">
        <is>
          <t>ganho</t>
        </is>
      </c>
      <c r="C82" s="10" t="inlineStr">
        <is>
          <t>Definir, validar e manter: Ganho</t>
        </is>
      </c>
      <c r="D82" s="11" t="n"/>
      <c r="E82" s="12" t="inlineStr">
        <is>
          <t>baixa</t>
        </is>
      </c>
    </row>
    <row r="83">
      <c r="A83" s="9" t="inlineStr">
        <is>
          <t>D14-DOC-PCV-001.PROCESS.ETAPAS</t>
        </is>
      </c>
      <c r="B83" s="10" t="inlineStr">
        <is>
          <t>etapas</t>
        </is>
      </c>
      <c r="C83" s="10" t="inlineStr">
        <is>
          <t>Definir, validar e manter: Etapas</t>
        </is>
      </c>
      <c r="D83" s="11" t="n"/>
      <c r="E83" s="12" t="inlineStr">
        <is>
          <t>alta</t>
        </is>
      </c>
    </row>
    <row r="84">
      <c r="A84" s="9" t="inlineStr">
        <is>
          <t>D14-DOC-PCV-001.PROCESS.OWNER</t>
        </is>
      </c>
      <c r="B84" s="10" t="inlineStr">
        <is>
          <t>owner</t>
        </is>
      </c>
      <c r="C84" s="10" t="inlineStr">
        <is>
          <t>Definir, validar e manter: Owner</t>
        </is>
      </c>
      <c r="D84" s="11" t="n"/>
      <c r="E84" s="12" t="inlineStr">
        <is>
          <t>baixa</t>
        </is>
      </c>
    </row>
    <row r="85">
      <c r="A85" s="9" t="inlineStr">
        <is>
          <t>D14-DOC-PCV-001.SCRIPTS.ABERTURA</t>
        </is>
      </c>
      <c r="B85" s="10" t="inlineStr">
        <is>
          <t>abertura</t>
        </is>
      </c>
      <c r="C85" s="10" t="inlineStr">
        <is>
          <t>Definir, validar e manter: Abertura</t>
        </is>
      </c>
      <c r="D85" s="11" t="n"/>
      <c r="E85" s="12" t="inlineStr">
        <is>
          <t>baixa</t>
        </is>
      </c>
    </row>
    <row r="86">
      <c r="A86" s="9" t="inlineStr">
        <is>
          <t>D14-DOC-PCV-001.SCRIPTS.DESCOBERTA</t>
        </is>
      </c>
      <c r="B86" s="10" t="inlineStr">
        <is>
          <t>descoberta</t>
        </is>
      </c>
      <c r="C86" s="10" t="inlineStr">
        <is>
          <t>Definir, validar e manter: Descoberta</t>
        </is>
      </c>
      <c r="D86" s="11" t="n"/>
      <c r="E86" s="12" t="inlineStr">
        <is>
          <t>baixa</t>
        </is>
      </c>
    </row>
    <row r="87">
      <c r="A87" s="9" t="inlineStr">
        <is>
          <t>D14-DOC-PCV-001.SCRIPTS.FECHAMENTO</t>
        </is>
      </c>
      <c r="B87" s="10" t="inlineStr">
        <is>
          <t>fechamento</t>
        </is>
      </c>
      <c r="C87" s="10" t="inlineStr">
        <is>
          <t>Definir, validar e manter: Fechamento</t>
        </is>
      </c>
      <c r="D87" s="11" t="n"/>
      <c r="E87" s="12" t="inlineStr">
        <is>
          <t>baixa</t>
        </is>
      </c>
    </row>
    <row r="88">
      <c r="A88" s="9" t="inlineStr">
        <is>
          <t>D14-DOC-PCV-001.DISCOVERY.PERGUNTAS</t>
        </is>
      </c>
      <c r="B88" s="10" t="inlineStr">
        <is>
          <t>perguntas</t>
        </is>
      </c>
      <c r="C88" s="10" t="inlineStr">
        <is>
          <t>Definir, validar e manter: Perguntas</t>
        </is>
      </c>
      <c r="D88" s="11" t="n"/>
      <c r="E88" s="12" t="inlineStr">
        <is>
          <t>baixa</t>
        </is>
      </c>
    </row>
    <row r="89">
      <c r="A89" s="9" t="inlineStr">
        <is>
          <t>D14-DOC-PCV-001.DISCOVERY.NECESSIDADES</t>
        </is>
      </c>
      <c r="B89" s="10" t="inlineStr">
        <is>
          <t>necessidades</t>
        </is>
      </c>
      <c r="C89" s="10" t="inlineStr">
        <is>
          <t>Definir, validar e manter: Necessidades</t>
        </is>
      </c>
      <c r="D89" s="11" t="n"/>
      <c r="E89" s="12" t="inlineStr">
        <is>
          <t>baixa</t>
        </is>
      </c>
    </row>
    <row r="90">
      <c r="A90" s="9" t="inlineStr">
        <is>
          <t>D14-DOC-PCV-001.OBJECTIONS.OBJECAO</t>
        </is>
      </c>
      <c r="B90" s="10" t="inlineStr">
        <is>
          <t>objecao</t>
        </is>
      </c>
      <c r="C90" s="10" t="inlineStr">
        <is>
          <t>Definir, validar e manter: Objecao</t>
        </is>
      </c>
      <c r="D90" s="11" t="n"/>
      <c r="E90" s="12" t="inlineStr">
        <is>
          <t>baixa</t>
        </is>
      </c>
    </row>
    <row r="91">
      <c r="A91" s="9" t="inlineStr">
        <is>
          <t>D14-DOC-PCV-001.OBJECTIONS.RESPOSTA</t>
        </is>
      </c>
      <c r="B91" s="10" t="inlineStr">
        <is>
          <t>resposta</t>
        </is>
      </c>
      <c r="C91" s="10" t="inlineStr">
        <is>
          <t>Definir, validar e manter: Resposta</t>
        </is>
      </c>
      <c r="D91" s="11" t="n"/>
      <c r="E91" s="12" t="inlineStr">
        <is>
          <t>baixa</t>
        </is>
      </c>
    </row>
    <row r="92">
      <c r="A92" s="9" t="inlineStr">
        <is>
          <t>D14-DOC-PCV-001.PROPOSALS.TEMPLATE</t>
        </is>
      </c>
      <c r="B92" s="10" t="inlineStr">
        <is>
          <t>template</t>
        </is>
      </c>
      <c r="C92" s="10" t="inlineStr">
        <is>
          <t>Definir, validar e manter: Template</t>
        </is>
      </c>
      <c r="D92" s="11" t="n"/>
      <c r="E92" s="12" t="inlineStr">
        <is>
          <t>baixa</t>
        </is>
      </c>
    </row>
    <row r="93">
      <c r="A93" s="9" t="inlineStr">
        <is>
          <t>D14-DOC-PCV-001.PROPOSALS.REQUISITOS</t>
        </is>
      </c>
      <c r="B93" s="10" t="inlineStr">
        <is>
          <t>requisitos</t>
        </is>
      </c>
      <c r="C93" s="10" t="inlineStr">
        <is>
          <t>Definir, validar e manter: Requisitos</t>
        </is>
      </c>
      <c r="D93" s="11" t="n"/>
      <c r="E93" s="12" t="inlineStr">
        <is>
          <t>baixa</t>
        </is>
      </c>
    </row>
    <row r="94">
      <c r="A94" s="9" t="inlineStr">
        <is>
          <t>D14-DOC-PCV-001.CRM.SISTEMA</t>
        </is>
      </c>
      <c r="B94" s="10" t="inlineStr">
        <is>
          <t>sistema</t>
        </is>
      </c>
      <c r="C94" s="10" t="inlineStr">
        <is>
          <t>Definir, validar e manter: Sistema</t>
        </is>
      </c>
      <c r="D94" s="11" t="n"/>
      <c r="E94" s="12" t="inlineStr">
        <is>
          <t>baixa</t>
        </is>
      </c>
    </row>
    <row r="95">
      <c r="A95" s="9" t="inlineStr">
        <is>
          <t>D14-DOC-PCV-001.CRM.CAMPOS</t>
        </is>
      </c>
      <c r="B95" s="10" t="inlineStr">
        <is>
          <t>campos</t>
        </is>
      </c>
      <c r="C95" s="10" t="inlineStr">
        <is>
          <t>Definir, validar e manter: Campos</t>
        </is>
      </c>
      <c r="D95" s="11" t="n"/>
      <c r="E95" s="12" t="inlineStr">
        <is>
          <t>baixa</t>
        </is>
      </c>
    </row>
    <row r="96">
      <c r="A96" s="9" t="inlineStr">
        <is>
          <t>D14-DOC-PCV-001.CRM.ETAPAS</t>
        </is>
      </c>
      <c r="B96" s="10" t="inlineStr">
        <is>
          <t>etapas</t>
        </is>
      </c>
      <c r="C96" s="10" t="inlineStr">
        <is>
          <t>Definir, validar e manter: Etapas</t>
        </is>
      </c>
      <c r="D96" s="11" t="n"/>
      <c r="E96" s="12" t="inlineStr">
        <is>
          <t>baixa</t>
        </is>
      </c>
    </row>
    <row r="97">
      <c r="A97" s="9" t="inlineStr">
        <is>
          <t>D14-DOC-PCV-001.PIPELINE.VALOR</t>
        </is>
      </c>
      <c r="B97" s="10" t="inlineStr">
        <is>
          <t>valor</t>
        </is>
      </c>
      <c r="C97" s="10" t="inlineStr">
        <is>
          <t>Definir, validar e manter: Valor</t>
        </is>
      </c>
      <c r="D97" s="11" t="n"/>
      <c r="E97" s="12" t="inlineStr">
        <is>
          <t>baixa</t>
        </is>
      </c>
    </row>
    <row r="98">
      <c r="A98" s="9" t="inlineStr">
        <is>
          <t>D14-DOC-PCV-001.PIPELINE.PROBABILIDADE</t>
        </is>
      </c>
      <c r="B98" s="10" t="inlineStr">
        <is>
          <t>probabilidade</t>
        </is>
      </c>
      <c r="C98" s="10" t="inlineStr">
        <is>
          <t>Definir, validar e manter: Probabilidade</t>
        </is>
      </c>
      <c r="D98" s="11" t="n"/>
      <c r="E98" s="12" t="inlineStr">
        <is>
          <t>baixa</t>
        </is>
      </c>
    </row>
    <row r="99">
      <c r="A99" s="9" t="inlineStr">
        <is>
          <t>D14-DOC-PCV-001.FORECAST.PERIODO</t>
        </is>
      </c>
      <c r="B99" s="10" t="inlineStr">
        <is>
          <t>periodo</t>
        </is>
      </c>
      <c r="C99" s="10" t="inlineStr">
        <is>
          <t>Definir, validar e manter: Periodo</t>
        </is>
      </c>
      <c r="D99" s="11" t="n"/>
      <c r="E99" s="12" t="inlineStr">
        <is>
          <t>baixa</t>
        </is>
      </c>
    </row>
    <row r="100">
      <c r="A100" s="9" t="inlineStr">
        <is>
          <t>D14-DOC-PCV-001.FORECAST.RECEITA</t>
        </is>
      </c>
      <c r="B100" s="10" t="inlineStr">
        <is>
          <t>receita</t>
        </is>
      </c>
      <c r="C100" s="10" t="inlineStr">
        <is>
          <t>Definir, validar e manter: Receita</t>
        </is>
      </c>
      <c r="D100" s="11" t="n"/>
      <c r="E100" s="12" t="inlineStr">
        <is>
          <t>baixa</t>
        </is>
      </c>
    </row>
    <row r="101">
      <c r="A101" s="9" t="inlineStr">
        <is>
          <t>D14-DOC-PCV-001.TARGETS.QUOTA</t>
        </is>
      </c>
      <c r="B101" s="10" t="inlineStr">
        <is>
          <t>quota</t>
        </is>
      </c>
      <c r="C101" s="10" t="inlineStr">
        <is>
          <t>Definir, validar e manter: Quota</t>
        </is>
      </c>
      <c r="D101" s="11" t="n"/>
      <c r="E101" s="12" t="inlineStr">
        <is>
          <t>alta</t>
        </is>
      </c>
    </row>
    <row r="102">
      <c r="A102" s="9" t="inlineStr">
        <is>
          <t>D14-DOC-PCV-001.TARGETS.CONVERSAO</t>
        </is>
      </c>
      <c r="B102" s="10" t="inlineStr">
        <is>
          <t>conversao</t>
        </is>
      </c>
      <c r="C102" s="10" t="inlineStr">
        <is>
          <t>Definir, validar e manter: Conversao</t>
        </is>
      </c>
      <c r="D102" s="11" t="n"/>
      <c r="E102" s="12" t="inlineStr">
        <is>
          <t>baixa</t>
        </is>
      </c>
    </row>
    <row r="103">
      <c r="A103" s="9" t="inlineStr">
        <is>
          <t>D14-DOC-PCV-001.HANDOFF.CONTRATO</t>
        </is>
      </c>
      <c r="B103" s="10" t="inlineStr">
        <is>
          <t>contrato</t>
        </is>
      </c>
      <c r="C103" s="10" t="inlineStr">
        <is>
          <t>Definir, validar e manter: Contrato</t>
        </is>
      </c>
      <c r="D103" s="11" t="n"/>
      <c r="E103" s="12" t="inlineStr">
        <is>
          <t>baixa</t>
        </is>
      </c>
    </row>
    <row r="104">
      <c r="A104" s="9" t="inlineStr">
        <is>
          <t>D14-DOC-PCV-001.HANDOFF.ONBOARDING</t>
        </is>
      </c>
      <c r="B104" s="10" t="inlineStr">
        <is>
          <t>onboarding</t>
        </is>
      </c>
      <c r="C104" s="10" t="inlineStr">
        <is>
          <t>Definir, validar e manter: Onboarding</t>
        </is>
      </c>
      <c r="D104" s="11" t="n"/>
      <c r="E104" s="12" t="inlineStr">
        <is>
          <t>baixa</t>
        </is>
      </c>
    </row>
    <row r="105">
      <c r="A105" s="9" t="inlineStr">
        <is>
          <t>D14-DOC-PCV-001.HANDOFF.CUSTOMER_SUCCESS</t>
        </is>
      </c>
      <c r="B105" s="10" t="inlineStr">
        <is>
          <t>customer_success</t>
        </is>
      </c>
      <c r="C105" s="10" t="inlineStr">
        <is>
          <t>Definir, validar e manter: Customer Success</t>
        </is>
      </c>
      <c r="D105" s="11" t="n"/>
      <c r="E105" s="12" t="inlineStr">
        <is>
          <t>baixa</t>
        </is>
      </c>
    </row>
    <row r="106">
      <c r="A106" s="9" t="inlineStr">
        <is>
          <t>D14-DOC-PCV-001.METRICS.WIN_RATE</t>
        </is>
      </c>
      <c r="B106" s="10" t="inlineStr">
        <is>
          <t>win_rate</t>
        </is>
      </c>
      <c r="C106" s="10" t="inlineStr">
        <is>
          <t>Definir, validar e manter: Win Rate</t>
        </is>
      </c>
      <c r="D106" s="11" t="n"/>
      <c r="E106" s="12" t="inlineStr">
        <is>
          <t>baixa</t>
        </is>
      </c>
    </row>
    <row r="107">
      <c r="A107" s="9" t="inlineStr">
        <is>
          <t>D14-DOC-PCV-001.METRICS.CICLO</t>
        </is>
      </c>
      <c r="B107" s="10" t="inlineStr">
        <is>
          <t>ciclo</t>
        </is>
      </c>
      <c r="C107" s="10" t="inlineStr">
        <is>
          <t>Definir, validar e manter: Ciclo</t>
        </is>
      </c>
      <c r="D107" s="11" t="n"/>
      <c r="E107" s="12" t="inlineStr">
        <is>
          <t>baixa</t>
        </is>
      </c>
    </row>
    <row r="108">
      <c r="A108" s="9" t="inlineStr">
        <is>
          <t>D14-DOC-PCV-001.METRICS.TICKET</t>
        </is>
      </c>
      <c r="B108" s="10" t="inlineStr">
        <is>
          <t>ticket</t>
        </is>
      </c>
      <c r="C108" s="10" t="inlineStr">
        <is>
          <t>Definir, validar e manter: Ticket</t>
        </is>
      </c>
      <c r="D108" s="11" t="n"/>
      <c r="E108" s="12" t="inlineStr">
        <is>
          <t>baixa</t>
        </is>
      </c>
    </row>
    <row r="109">
      <c r="A109" s="8" t="inlineStr">
        <is>
          <t>Domínio D15 — Atendimento e Sucesso do Cliente</t>
        </is>
      </c>
      <c r="B109" s="6" t="n"/>
      <c r="C109" s="6" t="n"/>
      <c r="D109" s="6" t="n"/>
      <c r="E109" s="7" t="n"/>
    </row>
    <row r="110">
      <c r="A110" s="8" t="inlineStr">
        <is>
          <t>Artefato D15-DOC-PASC-001 — Plano de Atendimento e Sucesso do Cliente</t>
        </is>
      </c>
      <c r="B110" s="6" t="n"/>
      <c r="C110" s="6" t="n"/>
      <c r="D110" s="6" t="n"/>
      <c r="E110" s="7" t="n"/>
    </row>
    <row r="111">
      <c r="A111" s="9" t="inlineStr">
        <is>
          <t>D15-DOC-PASC-001.SERVICE_MODEL.MODELO</t>
        </is>
      </c>
      <c r="B111" s="10" t="inlineStr">
        <is>
          <t>modelo</t>
        </is>
      </c>
      <c r="C111" s="10" t="inlineStr">
        <is>
          <t>Definir, validar e manter: Modelo</t>
        </is>
      </c>
      <c r="D111" s="11" t="n"/>
      <c r="E111" s="12" t="inlineStr">
        <is>
          <t>baixa</t>
        </is>
      </c>
    </row>
    <row r="112">
      <c r="A112" s="9" t="inlineStr">
        <is>
          <t>D15-DOC-PASC-001.SERVICE_MODEL.SEGMENTOS</t>
        </is>
      </c>
      <c r="B112" s="10" t="inlineStr">
        <is>
          <t>segmentos</t>
        </is>
      </c>
      <c r="C112" s="10" t="inlineStr">
        <is>
          <t>Definir, validar e manter: Segmentos</t>
        </is>
      </c>
      <c r="D112" s="11" t="n"/>
      <c r="E112" s="12" t="inlineStr">
        <is>
          <t>baixa</t>
        </is>
      </c>
    </row>
    <row r="113">
      <c r="A113" s="9" t="inlineStr">
        <is>
          <t>D15-DOC-PASC-001.ONBOARDING.ETAPAS</t>
        </is>
      </c>
      <c r="B113" s="10" t="inlineStr">
        <is>
          <t>etapas</t>
        </is>
      </c>
      <c r="C113" s="10" t="inlineStr">
        <is>
          <t>Definir, validar e manter: Etapas</t>
        </is>
      </c>
      <c r="D113" s="11" t="n"/>
      <c r="E113" s="12" t="inlineStr">
        <is>
          <t>baixa</t>
        </is>
      </c>
    </row>
    <row r="114">
      <c r="A114" s="9" t="inlineStr">
        <is>
          <t>D15-DOC-PASC-001.ONBOARDING.OBJETIVO</t>
        </is>
      </c>
      <c r="B114" s="10" t="inlineStr">
        <is>
          <t>objetivo</t>
        </is>
      </c>
      <c r="C114" s="10" t="inlineStr">
        <is>
          <t>Definir, validar e manter: Objetivo</t>
        </is>
      </c>
      <c r="D114" s="11" t="n"/>
      <c r="E114" s="12" t="inlineStr">
        <is>
          <t>baixa</t>
        </is>
      </c>
    </row>
    <row r="115">
      <c r="A115" s="9" t="inlineStr">
        <is>
          <t>D15-DOC-PASC-001.CHANNELS.EMAIL</t>
        </is>
      </c>
      <c r="B115" s="10" t="inlineStr">
        <is>
          <t>email</t>
        </is>
      </c>
      <c r="C115" s="10" t="inlineStr">
        <is>
          <t>Definir, validar e manter: Email</t>
        </is>
      </c>
      <c r="D115" s="11" t="n"/>
      <c r="E115" s="12" t="inlineStr">
        <is>
          <t>baixa</t>
        </is>
      </c>
    </row>
    <row r="116">
      <c r="A116" s="9" t="inlineStr">
        <is>
          <t>D15-DOC-PASC-001.CHANNELS.CHAT</t>
        </is>
      </c>
      <c r="B116" s="10" t="inlineStr">
        <is>
          <t>chat</t>
        </is>
      </c>
      <c r="C116" s="10" t="inlineStr">
        <is>
          <t>Definir, validar e manter: Chat</t>
        </is>
      </c>
      <c r="D116" s="11" t="n"/>
      <c r="E116" s="12" t="inlineStr">
        <is>
          <t>baixa</t>
        </is>
      </c>
    </row>
    <row r="117">
      <c r="A117" s="9" t="inlineStr">
        <is>
          <t>D15-DOC-PASC-001.CHANNELS.OUTROS</t>
        </is>
      </c>
      <c r="B117" s="10" t="inlineStr">
        <is>
          <t>outros</t>
        </is>
      </c>
      <c r="C117" s="10" t="inlineStr">
        <is>
          <t>Definir, validar e manter: Outros</t>
        </is>
      </c>
      <c r="D117" s="11" t="n"/>
      <c r="E117" s="12" t="inlineStr">
        <is>
          <t>baixa</t>
        </is>
      </c>
    </row>
    <row r="118">
      <c r="A118" s="9" t="inlineStr">
        <is>
          <t>D15-DOC-PASC-001.SERVICE_HOURS.HORARIOS</t>
        </is>
      </c>
      <c r="B118" s="10" t="inlineStr">
        <is>
          <t>horarios</t>
        </is>
      </c>
      <c r="C118" s="10" t="inlineStr">
        <is>
          <t>Definir, validar e manter: Horarios</t>
        </is>
      </c>
      <c r="D118" s="11" t="n"/>
      <c r="E118" s="12" t="inlineStr">
        <is>
          <t>baixa</t>
        </is>
      </c>
    </row>
    <row r="119">
      <c r="A119" s="9" t="inlineStr">
        <is>
          <t>D15-DOC-PASC-001.SLA.PRIORIDADE</t>
        </is>
      </c>
      <c r="B119" s="10" t="inlineStr">
        <is>
          <t>prioridade</t>
        </is>
      </c>
      <c r="C119" s="10" t="inlineStr">
        <is>
          <t>Definir, validar e manter: Prioridade</t>
        </is>
      </c>
      <c r="D119" s="11" t="n"/>
      <c r="E119" s="12" t="inlineStr">
        <is>
          <t>media</t>
        </is>
      </c>
    </row>
    <row r="120">
      <c r="A120" s="9" t="inlineStr">
        <is>
          <t>D15-DOC-PASC-001.SLA.PRAZO</t>
        </is>
      </c>
      <c r="B120" s="10" t="inlineStr">
        <is>
          <t>prazo</t>
        </is>
      </c>
      <c r="C120" s="10" t="inlineStr">
        <is>
          <t>Definir, validar e manter: Prazo</t>
        </is>
      </c>
      <c r="D120" s="11" t="n"/>
      <c r="E120" s="12" t="inlineStr">
        <is>
          <t>baixa</t>
        </is>
      </c>
    </row>
    <row r="121">
      <c r="A121" s="9" t="inlineStr">
        <is>
          <t>D15-DOC-PASC-001.KNOWLEDGE_BASE.ARTIGOS</t>
        </is>
      </c>
      <c r="B121" s="10" t="inlineStr">
        <is>
          <t>artigos</t>
        </is>
      </c>
      <c r="C121" s="10" t="inlineStr">
        <is>
          <t>Definir, validar e manter: Artigos</t>
        </is>
      </c>
      <c r="D121" s="11" t="n"/>
      <c r="E121" s="12" t="inlineStr">
        <is>
          <t>baixa</t>
        </is>
      </c>
    </row>
    <row r="122">
      <c r="A122" s="9" t="inlineStr">
        <is>
          <t>D15-DOC-PASC-001.KNOWLEDGE_BASE.FAQ</t>
        </is>
      </c>
      <c r="B122" s="10" t="inlineStr">
        <is>
          <t>faq</t>
        </is>
      </c>
      <c r="C122" s="10" t="inlineStr">
        <is>
          <t>Definir, validar e manter: Faq</t>
        </is>
      </c>
      <c r="D122" s="11" t="n"/>
      <c r="E122" s="12" t="inlineStr">
        <is>
          <t>baixa</t>
        </is>
      </c>
    </row>
    <row r="123">
      <c r="A123" s="9" t="inlineStr">
        <is>
          <t>D15-DOC-PASC-001.TICKETING.CLASSIFICACAO</t>
        </is>
      </c>
      <c r="B123" s="10" t="inlineStr">
        <is>
          <t>classificacao</t>
        </is>
      </c>
      <c r="C123" s="10" t="inlineStr">
        <is>
          <t>Definir, validar e manter: Classificacao</t>
        </is>
      </c>
      <c r="D123" s="11" t="n"/>
      <c r="E123" s="12" t="inlineStr">
        <is>
          <t>media</t>
        </is>
      </c>
    </row>
    <row r="124">
      <c r="A124" s="9" t="inlineStr">
        <is>
          <t>D15-DOC-PASC-001.TICKETING.FLUXO</t>
        </is>
      </c>
      <c r="B124" s="10" t="inlineStr">
        <is>
          <t>fluxo</t>
        </is>
      </c>
      <c r="C124" s="10" t="inlineStr">
        <is>
          <t>Definir, validar e manter: Fluxo</t>
        </is>
      </c>
      <c r="D124" s="11" t="n"/>
      <c r="E124" s="12" t="inlineStr">
        <is>
          <t>baixa</t>
        </is>
      </c>
    </row>
    <row r="125">
      <c r="A125" s="9" t="inlineStr">
        <is>
          <t>D15-DOC-PASC-001.ESCALATION.NIVEL</t>
        </is>
      </c>
      <c r="B125" s="10" t="inlineStr">
        <is>
          <t>nivel</t>
        </is>
      </c>
      <c r="C125" s="10" t="inlineStr">
        <is>
          <t>Definir, validar e manter: Nivel</t>
        </is>
      </c>
      <c r="D125" s="11" t="n"/>
      <c r="E125" s="12" t="inlineStr">
        <is>
          <t>baixa</t>
        </is>
      </c>
    </row>
    <row r="126">
      <c r="A126" s="9" t="inlineStr">
        <is>
          <t>D15-DOC-PASC-001.ESCALATION.RESPONSAVEL</t>
        </is>
      </c>
      <c r="B126" s="10" t="inlineStr">
        <is>
          <t>responsavel</t>
        </is>
      </c>
      <c r="C126" s="10" t="inlineStr">
        <is>
          <t>Definir, validar e manter: Responsavel</t>
        </is>
      </c>
      <c r="D126" s="11" t="n"/>
      <c r="E126" s="12" t="inlineStr">
        <is>
          <t>media</t>
        </is>
      </c>
    </row>
    <row r="127">
      <c r="A127" s="9" t="inlineStr">
        <is>
          <t>D15-DOC-PASC-001.SUCCESS_PLAN.OBJETIVO_DO_CLIENTE</t>
        </is>
      </c>
      <c r="B127" s="10" t="inlineStr">
        <is>
          <t>objetivo_do_cliente</t>
        </is>
      </c>
      <c r="C127" s="10" t="inlineStr">
        <is>
          <t>Definir, validar e manter: Objetivo Do Cliente</t>
        </is>
      </c>
      <c r="D127" s="11" t="n"/>
      <c r="E127" s="12" t="inlineStr">
        <is>
          <t>baixa</t>
        </is>
      </c>
    </row>
    <row r="128">
      <c r="A128" s="9" t="inlineStr">
        <is>
          <t>D15-DOC-PASC-001.SUCCESS_PLAN.MARCO</t>
        </is>
      </c>
      <c r="B128" s="10" t="inlineStr">
        <is>
          <t>marco</t>
        </is>
      </c>
      <c r="C128" s="10" t="inlineStr">
        <is>
          <t>Definir, validar e manter: Marco</t>
        </is>
      </c>
      <c r="D128" s="11" t="n"/>
      <c r="E128" s="12" t="inlineStr">
        <is>
          <t>baixa</t>
        </is>
      </c>
    </row>
    <row r="129">
      <c r="A129" s="9" t="inlineStr">
        <is>
          <t>D15-DOC-PASC-001.HEALTH_SCORE.INDICADORES</t>
        </is>
      </c>
      <c r="B129" s="10" t="inlineStr">
        <is>
          <t>indicadores</t>
        </is>
      </c>
      <c r="C129" s="10" t="inlineStr">
        <is>
          <t>Definir, validar e manter: Indicadores</t>
        </is>
      </c>
      <c r="D129" s="11" t="n"/>
      <c r="E129" s="12" t="inlineStr">
        <is>
          <t>baixa</t>
        </is>
      </c>
    </row>
    <row r="130">
      <c r="A130" s="9" t="inlineStr">
        <is>
          <t>D15-DOC-PASC-001.FEEDBACK.COLETA</t>
        </is>
      </c>
      <c r="B130" s="10" t="inlineStr">
        <is>
          <t>coleta</t>
        </is>
      </c>
      <c r="C130" s="10" t="inlineStr">
        <is>
          <t>Definir, validar e manter: Coleta</t>
        </is>
      </c>
      <c r="D130" s="11" t="n"/>
      <c r="E130" s="12" t="inlineStr">
        <is>
          <t>baixa</t>
        </is>
      </c>
    </row>
    <row r="131">
      <c r="A131" s="9" t="inlineStr">
        <is>
          <t>D15-DOC-PASC-001.FEEDBACK.TRATAMENTO</t>
        </is>
      </c>
      <c r="B131" s="10" t="inlineStr">
        <is>
          <t>tratamento</t>
        </is>
      </c>
      <c r="C131" s="10" t="inlineStr">
        <is>
          <t>Definir, validar e manter: Tratamento</t>
        </is>
      </c>
      <c r="D131" s="11" t="n"/>
      <c r="E131" s="12" t="inlineStr">
        <is>
          <t>baixa</t>
        </is>
      </c>
    </row>
    <row r="132">
      <c r="A132" s="9" t="inlineStr">
        <is>
          <t>D15-DOC-PASC-001.SATISFACTION.CSAT</t>
        </is>
      </c>
      <c r="B132" s="10" t="inlineStr">
        <is>
          <t>csat</t>
        </is>
      </c>
      <c r="C132" s="10" t="inlineStr">
        <is>
          <t>Definir, validar e manter: Csat</t>
        </is>
      </c>
      <c r="D132" s="11" t="n"/>
      <c r="E132" s="12" t="inlineStr">
        <is>
          <t>baixa</t>
        </is>
      </c>
    </row>
    <row r="133">
      <c r="A133" s="9" t="inlineStr">
        <is>
          <t>D15-DOC-PASC-001.SATISFACTION.NPS</t>
        </is>
      </c>
      <c r="B133" s="10" t="inlineStr">
        <is>
          <t>nps</t>
        </is>
      </c>
      <c r="C133" s="10" t="inlineStr">
        <is>
          <t>Definir, validar e manter: Nps</t>
        </is>
      </c>
      <c r="D133" s="11" t="n"/>
      <c r="E133" s="12" t="inlineStr">
        <is>
          <t>baixa</t>
        </is>
      </c>
    </row>
    <row r="134">
      <c r="A134" s="9" t="inlineStr">
        <is>
          <t>D15-DOC-PASC-001.RETENTION.RENOVACAO</t>
        </is>
      </c>
      <c r="B134" s="10" t="inlineStr">
        <is>
          <t>renovacao</t>
        </is>
      </c>
      <c r="C134" s="10" t="inlineStr">
        <is>
          <t>Definir, validar e manter: Renovacao</t>
        </is>
      </c>
      <c r="D134" s="11" t="n"/>
      <c r="E134" s="12" t="inlineStr">
        <is>
          <t>baixa</t>
        </is>
      </c>
    </row>
    <row r="135">
      <c r="A135" s="9" t="inlineStr">
        <is>
          <t>D15-DOC-PASC-001.RETENTION.EXPANSAO</t>
        </is>
      </c>
      <c r="B135" s="10" t="inlineStr">
        <is>
          <t>expansao</t>
        </is>
      </c>
      <c r="C135" s="10" t="inlineStr">
        <is>
          <t>Definir, validar e manter: Expansao</t>
        </is>
      </c>
      <c r="D135" s="11" t="n"/>
      <c r="E135" s="12" t="inlineStr">
        <is>
          <t>baixa</t>
        </is>
      </c>
    </row>
    <row r="136">
      <c r="A136" s="9" t="inlineStr">
        <is>
          <t>D15-DOC-PASC-001.CHURN.SINAIS</t>
        </is>
      </c>
      <c r="B136" s="10" t="inlineStr">
        <is>
          <t>sinais</t>
        </is>
      </c>
      <c r="C136" s="10" t="inlineStr">
        <is>
          <t>Definir, validar e manter: Sinais</t>
        </is>
      </c>
      <c r="D136" s="11" t="n"/>
      <c r="E136" s="12" t="inlineStr">
        <is>
          <t>baixa</t>
        </is>
      </c>
    </row>
    <row r="137">
      <c r="A137" s="9" t="inlineStr">
        <is>
          <t>D15-DOC-PASC-001.CHURN.RESPOSTA</t>
        </is>
      </c>
      <c r="B137" s="10" t="inlineStr">
        <is>
          <t>resposta</t>
        </is>
      </c>
      <c r="C137" s="10" t="inlineStr">
        <is>
          <t>Definir, validar e manter: Resposta</t>
        </is>
      </c>
      <c r="D137" s="11" t="n"/>
      <c r="E137" s="12" t="inlineStr">
        <is>
          <t>baixa</t>
        </is>
      </c>
    </row>
    <row r="138">
      <c r="A138" s="9" t="inlineStr">
        <is>
          <t>D15-DOC-PASC-001.INCIDENT_COMMUNICATION.MENSAGEM</t>
        </is>
      </c>
      <c r="B138" s="10" t="inlineStr">
        <is>
          <t>mensagem</t>
        </is>
      </c>
      <c r="C138" s="10" t="inlineStr">
        <is>
          <t>Definir, validar e manter: Mensagem</t>
        </is>
      </c>
      <c r="D138" s="11" t="n"/>
      <c r="E138" s="12" t="inlineStr">
        <is>
          <t>baixa</t>
        </is>
      </c>
    </row>
    <row r="139">
      <c r="A139" s="9" t="inlineStr">
        <is>
          <t>D15-DOC-PASC-001.INCIDENT_COMMUNICATION.CANAL</t>
        </is>
      </c>
      <c r="B139" s="10" t="inlineStr">
        <is>
          <t>canal</t>
        </is>
      </c>
      <c r="C139" s="10" t="inlineStr">
        <is>
          <t>Definir, validar e manter: Canal</t>
        </is>
      </c>
      <c r="D139" s="11" t="n"/>
      <c r="E139" s="12" t="inlineStr">
        <is>
          <t>baixa</t>
        </is>
      </c>
    </row>
    <row r="140">
      <c r="A140" s="9" t="inlineStr">
        <is>
          <t>D15-DOC-PASC-001.METRICS.TEMPO_RESPOSTA</t>
        </is>
      </c>
      <c r="B140" s="10" t="inlineStr">
        <is>
          <t>tempo_resposta</t>
        </is>
      </c>
      <c r="C140" s="10" t="inlineStr">
        <is>
          <t>Definir, validar e manter: Tempo Resposta</t>
        </is>
      </c>
      <c r="D140" s="11" t="n"/>
      <c r="E140" s="12" t="inlineStr">
        <is>
          <t>media</t>
        </is>
      </c>
    </row>
    <row r="141">
      <c r="A141" s="9" t="inlineStr">
        <is>
          <t>D15-DOC-PASC-001.METRICS.RESOLUCAO</t>
        </is>
      </c>
      <c r="B141" s="10" t="inlineStr">
        <is>
          <t>resolucao</t>
        </is>
      </c>
      <c r="C141" s="10" t="inlineStr">
        <is>
          <t>Definir, validar e manter: Resolucao</t>
        </is>
      </c>
      <c r="D141" s="11" t="n"/>
      <c r="E141" s="12" t="inlineStr">
        <is>
          <t>baixa</t>
        </is>
      </c>
    </row>
    <row r="142">
      <c r="A142" s="9" t="inlineStr">
        <is>
          <t>D15-DOC-PASC-001.METRICS.CHURN</t>
        </is>
      </c>
      <c r="B142" s="10" t="inlineStr">
        <is>
          <t>churn</t>
        </is>
      </c>
      <c r="C142" s="10" t="inlineStr">
        <is>
          <t>Definir, validar e manter: Churn</t>
        </is>
      </c>
      <c r="D142" s="11" t="n"/>
      <c r="E142" s="12" t="inlineStr">
        <is>
          <t>media</t>
        </is>
      </c>
    </row>
  </sheetData>
  <mergeCells count="8">
    <mergeCell ref="A69:E69"/>
    <mergeCell ref="A35:E35"/>
    <mergeCell ref="A4:E4"/>
    <mergeCell ref="A109:E109"/>
    <mergeCell ref="A7:E7"/>
    <mergeCell ref="A68:E68"/>
    <mergeCell ref="A6:E6"/>
    <mergeCell ref="A110:E1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G124"/>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COUNTA(D7:D125)&amp;" / 113"</f>
        <v/>
      </c>
    </row>
    <row r="4">
      <c r="A4" s="5" t="inlineStr">
        <is>
          <t>A02 — Produto e Experiência</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D10 — Gestão de Produto</t>
        </is>
      </c>
      <c r="B6" s="6" t="n"/>
      <c r="C6" s="6" t="n"/>
      <c r="D6" s="6" t="n"/>
      <c r="E6" s="7" t="n"/>
    </row>
    <row r="7">
      <c r="A7" s="8" t="inlineStr">
        <is>
          <t>Artefato D10-DOC-DRP-001 — Documento de Requisitos de Produto</t>
        </is>
      </c>
      <c r="B7" s="6" t="n"/>
      <c r="C7" s="6" t="n"/>
      <c r="D7" s="6" t="n"/>
      <c r="E7" s="7" t="n"/>
    </row>
    <row r="8">
      <c r="A8" s="9" t="inlineStr">
        <is>
          <t>D10-DOC-DRP-001.PROBLEM.PROBLEMA</t>
        </is>
      </c>
      <c r="B8" s="10" t="inlineStr">
        <is>
          <t>problema</t>
        </is>
      </c>
      <c r="C8" s="10" t="inlineStr">
        <is>
          <t>Definir, validar e manter: Problema</t>
        </is>
      </c>
      <c r="D8" s="11" t="n"/>
      <c r="E8" s="12" t="inlineStr">
        <is>
          <t>baixa</t>
        </is>
      </c>
    </row>
    <row r="9">
      <c r="A9" s="9" t="inlineStr">
        <is>
          <t>D10-DOC-DRP-001.PROBLEM.EVIDENCIA</t>
        </is>
      </c>
      <c r="B9" s="10" t="inlineStr">
        <is>
          <t>evidencia</t>
        </is>
      </c>
      <c r="C9" s="10" t="inlineStr">
        <is>
          <t>Definir, validar e manter: Evidencia</t>
        </is>
      </c>
      <c r="D9" s="11" t="n"/>
      <c r="E9" s="12" t="inlineStr">
        <is>
          <t>baixa</t>
        </is>
      </c>
    </row>
    <row r="10">
      <c r="A10" s="9" t="inlineStr">
        <is>
          <t>D10-DOC-DRP-001.PROBLEM.IMPACTO</t>
        </is>
      </c>
      <c r="B10" s="10" t="inlineStr">
        <is>
          <t>impacto</t>
        </is>
      </c>
      <c r="C10" s="10" t="inlineStr">
        <is>
          <t>Definir, validar e manter: Impacto</t>
        </is>
      </c>
      <c r="D10" s="11" t="n"/>
      <c r="E10" s="12" t="inlineStr">
        <is>
          <t>baixa</t>
        </is>
      </c>
    </row>
    <row r="11">
      <c r="A11" s="9" t="inlineStr">
        <is>
          <t>D10-DOC-DRP-001.AUDIENCE.USUARIOS</t>
        </is>
      </c>
      <c r="B11" s="10" t="inlineStr">
        <is>
          <t>usuarios</t>
        </is>
      </c>
      <c r="C11" s="10" t="inlineStr">
        <is>
          <t>Definir, validar e manter: Usuarios</t>
        </is>
      </c>
      <c r="D11" s="11" t="n"/>
      <c r="E11" s="12" t="inlineStr">
        <is>
          <t>baixa</t>
        </is>
      </c>
    </row>
    <row r="12">
      <c r="A12" s="9" t="inlineStr">
        <is>
          <t>D10-DOC-DRP-001.AUDIENCE.CLIENTES</t>
        </is>
      </c>
      <c r="B12" s="10" t="inlineStr">
        <is>
          <t>clientes</t>
        </is>
      </c>
      <c r="C12" s="10" t="inlineStr">
        <is>
          <t>Definir, validar e manter: Clientes</t>
        </is>
      </c>
      <c r="D12" s="11" t="n"/>
      <c r="E12" s="12" t="inlineStr">
        <is>
          <t>baixa</t>
        </is>
      </c>
    </row>
    <row r="13">
      <c r="A13" s="9" t="inlineStr">
        <is>
          <t>D10-DOC-DRP-001.AUDIENCE.ICP</t>
        </is>
      </c>
      <c r="B13" s="10" t="inlineStr">
        <is>
          <t>icp</t>
        </is>
      </c>
      <c r="C13" s="10" t="inlineStr">
        <is>
          <t>Definir, validar e manter: Icp</t>
        </is>
      </c>
      <c r="D13" s="11" t="n"/>
      <c r="E13" s="12" t="inlineStr">
        <is>
          <t>baixa</t>
        </is>
      </c>
    </row>
    <row r="14">
      <c r="A14" s="9" t="inlineStr">
        <is>
          <t>D10-DOC-DRP-001.JTBD.SITUACAO</t>
        </is>
      </c>
      <c r="B14" s="10" t="inlineStr">
        <is>
          <t>situacao</t>
        </is>
      </c>
      <c r="C14" s="10" t="inlineStr">
        <is>
          <t>Definir, validar e manter: Situacao</t>
        </is>
      </c>
      <c r="D14" s="11" t="n"/>
      <c r="E14" s="12" t="inlineStr">
        <is>
          <t>baixa</t>
        </is>
      </c>
    </row>
    <row r="15">
      <c r="A15" s="9" t="inlineStr">
        <is>
          <t>D10-DOC-DRP-001.JTBD.TRABALHO</t>
        </is>
      </c>
      <c r="B15" s="10" t="inlineStr">
        <is>
          <t>trabalho</t>
        </is>
      </c>
      <c r="C15" s="10" t="inlineStr">
        <is>
          <t>Definir, validar e manter: Trabalho</t>
        </is>
      </c>
      <c r="D15" s="11" t="n"/>
      <c r="E15" s="12" t="inlineStr">
        <is>
          <t>baixa</t>
        </is>
      </c>
    </row>
    <row r="16">
      <c r="A16" s="9" t="inlineStr">
        <is>
          <t>D10-DOC-DRP-001.JTBD.OUTCOME</t>
        </is>
      </c>
      <c r="B16" s="10" t="inlineStr">
        <is>
          <t>outcome</t>
        </is>
      </c>
      <c r="C16" s="10" t="inlineStr">
        <is>
          <t>Definir, validar e manter: Outcome</t>
        </is>
      </c>
      <c r="D16" s="11" t="n"/>
      <c r="E16" s="12" t="inlineStr">
        <is>
          <t>baixa</t>
        </is>
      </c>
    </row>
    <row r="17">
      <c r="A17" s="9" t="inlineStr">
        <is>
          <t>D10-DOC-DRP-001.VALUE.PROPOSTA_DE_VALOR</t>
        </is>
      </c>
      <c r="B17" s="10" t="inlineStr">
        <is>
          <t>proposta_de_valor</t>
        </is>
      </c>
      <c r="C17" s="10" t="inlineStr">
        <is>
          <t>Definir, validar e manter: Proposta De Valor</t>
        </is>
      </c>
      <c r="D17" s="11" t="n"/>
      <c r="E17" s="12" t="inlineStr">
        <is>
          <t>baixa</t>
        </is>
      </c>
    </row>
    <row r="18">
      <c r="A18" s="9" t="inlineStr">
        <is>
          <t>D10-DOC-DRP-001.GOALS.OBJETIVOS</t>
        </is>
      </c>
      <c r="B18" s="10" t="inlineStr">
        <is>
          <t>objetivos</t>
        </is>
      </c>
      <c r="C18" s="10" t="inlineStr">
        <is>
          <t>Definir, validar e manter: Objetivos</t>
        </is>
      </c>
      <c r="D18" s="11" t="n"/>
      <c r="E18" s="12" t="inlineStr">
        <is>
          <t>baixa</t>
        </is>
      </c>
    </row>
    <row r="19">
      <c r="A19" s="9" t="inlineStr">
        <is>
          <t>D10-DOC-DRP-001.GOALS.METRICAS</t>
        </is>
      </c>
      <c r="B19" s="10" t="inlineStr">
        <is>
          <t>metricas</t>
        </is>
      </c>
      <c r="C19" s="10" t="inlineStr">
        <is>
          <t>Definir, validar e manter: Metricas</t>
        </is>
      </c>
      <c r="D19" s="11" t="n"/>
      <c r="E19" s="12" t="inlineStr">
        <is>
          <t>baixa</t>
        </is>
      </c>
    </row>
    <row r="20">
      <c r="A20" s="9" t="inlineStr">
        <is>
          <t>D10-DOC-DRP-001.SCOPE.INCLUIDO</t>
        </is>
      </c>
      <c r="B20" s="10" t="inlineStr">
        <is>
          <t>incluido</t>
        </is>
      </c>
      <c r="C20" s="10" t="inlineStr">
        <is>
          <t>Definir, validar e manter: Incluido</t>
        </is>
      </c>
      <c r="D20" s="11" t="n"/>
      <c r="E20" s="12" t="inlineStr">
        <is>
          <t>baixa</t>
        </is>
      </c>
    </row>
    <row r="21">
      <c r="A21" s="9" t="inlineStr">
        <is>
          <t>D10-DOC-DRP-001.SCOPE.EXCLUIDO</t>
        </is>
      </c>
      <c r="B21" s="10" t="inlineStr">
        <is>
          <t>excluido</t>
        </is>
      </c>
      <c r="C21" s="10" t="inlineStr">
        <is>
          <t>Definir, validar e manter: Excluido</t>
        </is>
      </c>
      <c r="D21" s="11" t="n"/>
      <c r="E21" s="12" t="inlineStr">
        <is>
          <t>baixa</t>
        </is>
      </c>
    </row>
    <row r="22">
      <c r="A22" s="9" t="inlineStr">
        <is>
          <t>D10-DOC-DRP-001.CAPABILITIES.CAPACIDADE</t>
        </is>
      </c>
      <c r="B22" s="10" t="inlineStr">
        <is>
          <t>capacidade</t>
        </is>
      </c>
      <c r="C22" s="10" t="inlineStr">
        <is>
          <t>Definir, validar e manter: Capacidade</t>
        </is>
      </c>
      <c r="D22" s="11" t="n"/>
      <c r="E22" s="12" t="inlineStr">
        <is>
          <t>baixa</t>
        </is>
      </c>
    </row>
    <row r="23">
      <c r="A23" s="9" t="inlineStr">
        <is>
          <t>D10-DOC-DRP-001.CAPABILITIES.BENEFICIO</t>
        </is>
      </c>
      <c r="B23" s="10" t="inlineStr">
        <is>
          <t>beneficio</t>
        </is>
      </c>
      <c r="C23" s="10" t="inlineStr">
        <is>
          <t>Definir, validar e manter: Beneficio</t>
        </is>
      </c>
      <c r="D23" s="11" t="n"/>
      <c r="E23" s="12" t="inlineStr">
        <is>
          <t>baixa</t>
        </is>
      </c>
    </row>
    <row r="24">
      <c r="A24" s="9" t="inlineStr">
        <is>
          <t>D10-DOC-DRP-001.REQUIREMENTS.FUNCIONAIS</t>
        </is>
      </c>
      <c r="B24" s="10" t="inlineStr">
        <is>
          <t>funcionais</t>
        </is>
      </c>
      <c r="C24" s="10" t="inlineStr">
        <is>
          <t>Definir, validar e manter: Funcionais</t>
        </is>
      </c>
      <c r="D24" s="11" t="n"/>
      <c r="E24" s="12" t="inlineStr">
        <is>
          <t>baixa</t>
        </is>
      </c>
    </row>
    <row r="25">
      <c r="A25" s="9" t="inlineStr">
        <is>
          <t>D10-DOC-DRP-001.REQUIREMENTS.NAO_FUNCIONAIS</t>
        </is>
      </c>
      <c r="B25" s="10" t="inlineStr">
        <is>
          <t>nao_funcionais</t>
        </is>
      </c>
      <c r="C25" s="10" t="inlineStr">
        <is>
          <t>Definir, validar e manter: Nao Funcionais</t>
        </is>
      </c>
      <c r="D25" s="11" t="n"/>
      <c r="E25" s="12" t="inlineStr">
        <is>
          <t>baixa</t>
        </is>
      </c>
    </row>
    <row r="26">
      <c r="A26" s="9" t="inlineStr">
        <is>
          <t>D10-DOC-DRP-001.JOURNEYS.JORNADAS</t>
        </is>
      </c>
      <c r="B26" s="10" t="inlineStr">
        <is>
          <t>jornadas</t>
        </is>
      </c>
      <c r="C26" s="10" t="inlineStr">
        <is>
          <t>Definir, validar e manter: Jornadas</t>
        </is>
      </c>
      <c r="D26" s="11" t="n"/>
      <c r="E26" s="12" t="inlineStr">
        <is>
          <t>baixa</t>
        </is>
      </c>
    </row>
    <row r="27">
      <c r="A27" s="9" t="inlineStr">
        <is>
          <t>D10-DOC-DRP-001.JOURNEYS.FLUXOS</t>
        </is>
      </c>
      <c r="B27" s="10" t="inlineStr">
        <is>
          <t>fluxos</t>
        </is>
      </c>
      <c r="C27" s="10" t="inlineStr">
        <is>
          <t>Definir, validar e manter: Fluxos</t>
        </is>
      </c>
      <c r="D27" s="11" t="n"/>
      <c r="E27" s="12" t="inlineStr">
        <is>
          <t>baixa</t>
        </is>
      </c>
    </row>
    <row r="28">
      <c r="A28" s="9" t="inlineStr">
        <is>
          <t>D10-DOC-DRP-001.CONSTRAINTS.RESTRICOES</t>
        </is>
      </c>
      <c r="B28" s="10" t="inlineStr">
        <is>
          <t>restricoes</t>
        </is>
      </c>
      <c r="C28" s="10" t="inlineStr">
        <is>
          <t>Definir, validar e manter: Restricoes</t>
        </is>
      </c>
      <c r="D28" s="11" t="n"/>
      <c r="E28" s="12" t="inlineStr">
        <is>
          <t>baixa</t>
        </is>
      </c>
    </row>
    <row r="29">
      <c r="A29" s="9" t="inlineStr">
        <is>
          <t>D10-DOC-DRP-001.DEPENDENCIES.DEPENDENCIAS</t>
        </is>
      </c>
      <c r="B29" s="10" t="inlineStr">
        <is>
          <t>dependencias</t>
        </is>
      </c>
      <c r="C29" s="10" t="inlineStr">
        <is>
          <t>Definir, validar e manter: Dependencias</t>
        </is>
      </c>
      <c r="D29" s="11" t="n"/>
      <c r="E29" s="12" t="inlineStr">
        <is>
          <t>baixa</t>
        </is>
      </c>
    </row>
    <row r="30">
      <c r="A30" s="9" t="inlineStr">
        <is>
          <t>D10-DOC-DRP-001.ACCEPTANCE.CRITERIOS_DE_ACEITE</t>
        </is>
      </c>
      <c r="B30" s="10" t="inlineStr">
        <is>
          <t>criterios_de_aceite</t>
        </is>
      </c>
      <c r="C30" s="10" t="inlineStr">
        <is>
          <t>Definir, validar e manter: Criterios De Aceite</t>
        </is>
      </c>
      <c r="D30" s="11" t="n"/>
      <c r="E30" s="12" t="inlineStr">
        <is>
          <t>baixa</t>
        </is>
      </c>
    </row>
    <row r="31">
      <c r="A31" s="9" t="inlineStr">
        <is>
          <t>D10-DOC-DRP-001.ROADMAP.AGORA</t>
        </is>
      </c>
      <c r="B31" s="10" t="inlineStr">
        <is>
          <t>agora</t>
        </is>
      </c>
      <c r="C31" s="10" t="inlineStr">
        <is>
          <t>Definir, validar e manter: Agora</t>
        </is>
      </c>
      <c r="D31" s="11" t="n"/>
      <c r="E31" s="12" t="inlineStr">
        <is>
          <t>alta</t>
        </is>
      </c>
    </row>
    <row r="32">
      <c r="A32" s="9" t="inlineStr">
        <is>
          <t>D10-DOC-DRP-001.ROADMAP.PROXIMO</t>
        </is>
      </c>
      <c r="B32" s="10" t="inlineStr">
        <is>
          <t>proximo</t>
        </is>
      </c>
      <c r="C32" s="10" t="inlineStr">
        <is>
          <t>Definir, validar e manter: Proximo</t>
        </is>
      </c>
      <c r="D32" s="11" t="n"/>
      <c r="E32" s="12" t="inlineStr">
        <is>
          <t>baixa</t>
        </is>
      </c>
    </row>
    <row r="33">
      <c r="A33" s="9" t="inlineStr">
        <is>
          <t>D10-DOC-DRP-001.ROADMAP.DEPOIS</t>
        </is>
      </c>
      <c r="B33" s="10" t="inlineStr">
        <is>
          <t>depois</t>
        </is>
      </c>
      <c r="C33" s="10" t="inlineStr">
        <is>
          <t>Definir, validar e manter: Depois</t>
        </is>
      </c>
      <c r="D33" s="11" t="n"/>
      <c r="E33" s="12" t="inlineStr">
        <is>
          <t>baixa</t>
        </is>
      </c>
    </row>
    <row r="34">
      <c r="A34" s="9" t="inlineStr">
        <is>
          <t>D10-DOC-DRP-001.RISKS.RISCO</t>
        </is>
      </c>
      <c r="B34" s="10" t="inlineStr">
        <is>
          <t>risco</t>
        </is>
      </c>
      <c r="C34" s="10" t="inlineStr">
        <is>
          <t>Definir, validar e manter: Risco</t>
        </is>
      </c>
      <c r="D34" s="11" t="n"/>
      <c r="E34" s="12" t="inlineStr">
        <is>
          <t>baixa</t>
        </is>
      </c>
    </row>
    <row r="35">
      <c r="A35" s="9" t="inlineStr">
        <is>
          <t>D10-DOC-DRP-001.RISKS.MITIGACAO</t>
        </is>
      </c>
      <c r="B35" s="10" t="inlineStr">
        <is>
          <t>mitigacao</t>
        </is>
      </c>
      <c r="C35" s="10" t="inlineStr">
        <is>
          <t>Definir, validar e manter: Mitigacao</t>
        </is>
      </c>
      <c r="D35" s="11" t="n"/>
      <c r="E35" s="12" t="inlineStr">
        <is>
          <t>baixa</t>
        </is>
      </c>
    </row>
    <row r="36">
      <c r="A36" s="8" t="inlineStr">
        <is>
          <t>Artefato D10-DOC-PRD-001 — Requisitos Integrados dos Produtos</t>
        </is>
      </c>
      <c r="B36" s="6" t="n"/>
      <c r="C36" s="6" t="n"/>
      <c r="D36" s="6" t="n"/>
      <c r="E36" s="7" t="n"/>
    </row>
    <row r="37">
      <c r="A37" s="9" t="inlineStr">
        <is>
          <t>D10-DOC-PRD-001.SCHEMA.PRODUCT_ID</t>
        </is>
      </c>
      <c r="B37" s="10" t="inlineStr">
        <is>
          <t>product_id</t>
        </is>
      </c>
      <c r="C37" s="10" t="inlineStr">
        <is>
          <t>Definir, validar e manter: Product ID</t>
        </is>
      </c>
      <c r="D37" s="11" t="n"/>
      <c r="E37" s="12" t="inlineStr">
        <is>
          <t>baixa</t>
        </is>
      </c>
    </row>
    <row r="38">
      <c r="A38" s="9" t="inlineStr">
        <is>
          <t>D10-DOC-PRD-001.SCHEMA.PRODUCT_NAME</t>
        </is>
      </c>
      <c r="B38" s="10" t="inlineStr">
        <is>
          <t>product_name</t>
        </is>
      </c>
      <c r="C38" s="10" t="inlineStr">
        <is>
          <t>Definir, validar e manter: Product Name</t>
        </is>
      </c>
      <c r="D38" s="11" t="n"/>
      <c r="E38" s="12" t="inlineStr">
        <is>
          <t>baixa</t>
        </is>
      </c>
    </row>
    <row r="39">
      <c r="A39" s="9" t="inlineStr">
        <is>
          <t>D10-DOC-PRD-001.SCHEMA.PROBLEM</t>
        </is>
      </c>
      <c r="B39" s="10" t="inlineStr">
        <is>
          <t>problem</t>
        </is>
      </c>
      <c r="C39" s="10" t="inlineStr">
        <is>
          <t>Definir, validar e manter: Problem</t>
        </is>
      </c>
      <c r="D39" s="11" t="n"/>
      <c r="E39" s="12" t="inlineStr">
        <is>
          <t>baixa</t>
        </is>
      </c>
    </row>
    <row r="40">
      <c r="A40" s="9" t="inlineStr">
        <is>
          <t>D10-DOC-PRD-001.SCHEMA.TARGET_USER</t>
        </is>
      </c>
      <c r="B40" s="10" t="inlineStr">
        <is>
          <t>target_user</t>
        </is>
      </c>
      <c r="C40" s="10" t="inlineStr">
        <is>
          <t>Definir, validar e manter: Target User</t>
        </is>
      </c>
      <c r="D40" s="11" t="n"/>
      <c r="E40" s="12" t="inlineStr">
        <is>
          <t>baixa</t>
        </is>
      </c>
    </row>
    <row r="41">
      <c r="A41" s="9" t="inlineStr">
        <is>
          <t>D10-DOC-PRD-001.SCHEMA.JTBD</t>
        </is>
      </c>
      <c r="B41" s="10" t="inlineStr">
        <is>
          <t>jtbd</t>
        </is>
      </c>
      <c r="C41" s="10" t="inlineStr">
        <is>
          <t>Definir, validar e manter: JTBD</t>
        </is>
      </c>
      <c r="D41" s="11" t="n"/>
      <c r="E41" s="12" t="inlineStr">
        <is>
          <t>baixa</t>
        </is>
      </c>
    </row>
    <row r="42">
      <c r="A42" s="9" t="inlineStr">
        <is>
          <t>D10-DOC-PRD-001.SCHEMA.GOALS</t>
        </is>
      </c>
      <c r="B42" s="10" t="inlineStr">
        <is>
          <t>goals</t>
        </is>
      </c>
      <c r="C42" s="10" t="inlineStr">
        <is>
          <t>Definir, validar e manter: Goals</t>
        </is>
      </c>
      <c r="D42" s="11" t="n"/>
      <c r="E42" s="12" t="inlineStr">
        <is>
          <t>baixa</t>
        </is>
      </c>
    </row>
    <row r="43">
      <c r="A43" s="9" t="inlineStr">
        <is>
          <t>D10-DOC-PRD-001.SCHEMA.NON_GOALS</t>
        </is>
      </c>
      <c r="B43" s="10" t="inlineStr">
        <is>
          <t>non_goals</t>
        </is>
      </c>
      <c r="C43" s="10" t="inlineStr">
        <is>
          <t>Definir, validar e manter: Non Goals</t>
        </is>
      </c>
      <c r="D43" s="11" t="n"/>
      <c r="E43" s="12" t="inlineStr">
        <is>
          <t>baixa</t>
        </is>
      </c>
    </row>
    <row r="44">
      <c r="A44" s="9" t="inlineStr">
        <is>
          <t>D10-DOC-PRD-001.SCHEMA.USE_CASES</t>
        </is>
      </c>
      <c r="B44" s="10" t="inlineStr">
        <is>
          <t>use_cases</t>
        </is>
      </c>
      <c r="C44" s="10" t="inlineStr">
        <is>
          <t>Definir, validar e manter: Use Cases</t>
        </is>
      </c>
      <c r="D44" s="11" t="n"/>
      <c r="E44" s="12" t="inlineStr">
        <is>
          <t>baixa</t>
        </is>
      </c>
    </row>
    <row r="45">
      <c r="A45" s="9" t="inlineStr">
        <is>
          <t>D10-DOC-PRD-001.SCHEMA.USER_STORIES</t>
        </is>
      </c>
      <c r="B45" s="10" t="inlineStr">
        <is>
          <t>user_stories</t>
        </is>
      </c>
      <c r="C45" s="10" t="inlineStr">
        <is>
          <t>Definir, validar e manter: User Stories</t>
        </is>
      </c>
      <c r="D45" s="11" t="n"/>
      <c r="E45" s="12" t="inlineStr">
        <is>
          <t>baixa</t>
        </is>
      </c>
    </row>
    <row r="46">
      <c r="A46" s="9" t="inlineStr">
        <is>
          <t>D10-DOC-PRD-001.SCHEMA.FUNCTIONAL_REQUIREMENTS</t>
        </is>
      </c>
      <c r="B46" s="10" t="inlineStr">
        <is>
          <t>functional_requirements</t>
        </is>
      </c>
      <c r="C46" s="10" t="inlineStr">
        <is>
          <t>Definir, validar e manter: Functional Requirements</t>
        </is>
      </c>
      <c r="D46" s="11" t="n"/>
      <c r="E46" s="12" t="inlineStr">
        <is>
          <t>baixa</t>
        </is>
      </c>
    </row>
    <row r="47">
      <c r="A47" s="9" t="inlineStr">
        <is>
          <t>D10-DOC-PRD-001.SCHEMA.NON_FUNCTIONAL_REQUIREMENTS</t>
        </is>
      </c>
      <c r="B47" s="10" t="inlineStr">
        <is>
          <t>non_functional_requirements</t>
        </is>
      </c>
      <c r="C47" s="10" t="inlineStr">
        <is>
          <t>Definir, validar e manter: Non Functional Requirements</t>
        </is>
      </c>
      <c r="D47" s="11" t="n"/>
      <c r="E47" s="12" t="inlineStr">
        <is>
          <t>baixa</t>
        </is>
      </c>
    </row>
    <row r="48">
      <c r="A48" s="9" t="inlineStr">
        <is>
          <t>D10-DOC-PRD-001.SCHEMA.USER_FLOWS</t>
        </is>
      </c>
      <c r="B48" s="10" t="inlineStr">
        <is>
          <t>user_flows</t>
        </is>
      </c>
      <c r="C48" s="10" t="inlineStr">
        <is>
          <t>Definir, validar e manter: User Flows</t>
        </is>
      </c>
      <c r="D48" s="11" t="n"/>
      <c r="E48" s="12" t="inlineStr">
        <is>
          <t>baixa</t>
        </is>
      </c>
    </row>
    <row r="49">
      <c r="A49" s="9" t="inlineStr">
        <is>
          <t>D10-DOC-PRD-001.SCHEMA.STATES</t>
        </is>
      </c>
      <c r="B49" s="10" t="inlineStr">
        <is>
          <t>states</t>
        </is>
      </c>
      <c r="C49" s="10" t="inlineStr">
        <is>
          <t>Definir, validar e manter: States</t>
        </is>
      </c>
      <c r="D49" s="11" t="n"/>
      <c r="E49" s="12" t="inlineStr">
        <is>
          <t>baixa</t>
        </is>
      </c>
    </row>
    <row r="50">
      <c r="A50" s="9" t="inlineStr">
        <is>
          <t>D10-DOC-PRD-001.SCHEMA.EDGE_CASES</t>
        </is>
      </c>
      <c r="B50" s="10" t="inlineStr">
        <is>
          <t>edge_cases</t>
        </is>
      </c>
      <c r="C50" s="10" t="inlineStr">
        <is>
          <t>Definir, validar e manter: Edge Cases</t>
        </is>
      </c>
      <c r="D50" s="11" t="n"/>
      <c r="E50" s="12" t="inlineStr">
        <is>
          <t>baixa</t>
        </is>
      </c>
    </row>
    <row r="51">
      <c r="A51" s="9" t="inlineStr">
        <is>
          <t>D10-DOC-PRD-001.SCHEMA.INTEGRATIONS</t>
        </is>
      </c>
      <c r="B51" s="10" t="inlineStr">
        <is>
          <t>integrations</t>
        </is>
      </c>
      <c r="C51" s="10" t="inlineStr">
        <is>
          <t>Definir, validar e manter: Integrations</t>
        </is>
      </c>
      <c r="D51" s="11" t="n"/>
      <c r="E51" s="12" t="inlineStr">
        <is>
          <t>baixa</t>
        </is>
      </c>
    </row>
    <row r="52">
      <c r="A52" s="9" t="inlineStr">
        <is>
          <t>D10-DOC-PRD-001.SCHEMA.DATA_REQUIREMENTS</t>
        </is>
      </c>
      <c r="B52" s="10" t="inlineStr">
        <is>
          <t>data_requirements</t>
        </is>
      </c>
      <c r="C52" s="10" t="inlineStr">
        <is>
          <t>Definir, validar e manter: Data Requirements</t>
        </is>
      </c>
      <c r="D52" s="11" t="n"/>
      <c r="E52" s="12" t="inlineStr">
        <is>
          <t>baixa</t>
        </is>
      </c>
    </row>
    <row r="53">
      <c r="A53" s="9" t="inlineStr">
        <is>
          <t>D10-DOC-PRD-001.SCHEMA.ANALYTICS</t>
        </is>
      </c>
      <c r="B53" s="10" t="inlineStr">
        <is>
          <t>analytics</t>
        </is>
      </c>
      <c r="C53" s="10" t="inlineStr">
        <is>
          <t>Definir, validar e manter: Analytics</t>
        </is>
      </c>
      <c r="D53" s="11" t="n"/>
      <c r="E53" s="12" t="inlineStr">
        <is>
          <t>baixa</t>
        </is>
      </c>
    </row>
    <row r="54">
      <c r="A54" s="9" t="inlineStr">
        <is>
          <t>D10-DOC-PRD-001.SCHEMA.SECURITY</t>
        </is>
      </c>
      <c r="B54" s="10" t="inlineStr">
        <is>
          <t>security</t>
        </is>
      </c>
      <c r="C54" s="10" t="inlineStr">
        <is>
          <t>Definir, validar e manter: Security</t>
        </is>
      </c>
      <c r="D54" s="11" t="n"/>
      <c r="E54" s="12" t="inlineStr">
        <is>
          <t>baixa</t>
        </is>
      </c>
    </row>
    <row r="55">
      <c r="A55" s="9" t="inlineStr">
        <is>
          <t>D10-DOC-PRD-001.SCHEMA.PRIVACY</t>
        </is>
      </c>
      <c r="B55" s="10" t="inlineStr">
        <is>
          <t>privacy</t>
        </is>
      </c>
      <c r="C55" s="10" t="inlineStr">
        <is>
          <t>Definir, validar e manter: Privacy</t>
        </is>
      </c>
      <c r="D55" s="11" t="n"/>
      <c r="E55" s="12" t="inlineStr">
        <is>
          <t>baixa</t>
        </is>
      </c>
    </row>
    <row r="56">
      <c r="A56" s="9" t="inlineStr">
        <is>
          <t>D10-DOC-PRD-001.SCHEMA.ACCESSIBILITY</t>
        </is>
      </c>
      <c r="B56" s="10" t="inlineStr">
        <is>
          <t>accessibility</t>
        </is>
      </c>
      <c r="C56" s="10" t="inlineStr">
        <is>
          <t>Definir, validar e manter: Accessibility</t>
        </is>
      </c>
      <c r="D56" s="11" t="n"/>
      <c r="E56" s="12" t="inlineStr">
        <is>
          <t>baixa</t>
        </is>
      </c>
    </row>
    <row r="57">
      <c r="A57" s="9" t="inlineStr">
        <is>
          <t>D10-DOC-PRD-001.SCHEMA.ACCEPTANCE_CRITERIA</t>
        </is>
      </c>
      <c r="B57" s="10" t="inlineStr">
        <is>
          <t>acceptance_criteria</t>
        </is>
      </c>
      <c r="C57" s="10" t="inlineStr">
        <is>
          <t>Definir, validar e manter: Acceptance Criteria</t>
        </is>
      </c>
      <c r="D57" s="11" t="n"/>
      <c r="E57" s="12" t="inlineStr">
        <is>
          <t>baixa</t>
        </is>
      </c>
    </row>
    <row r="58">
      <c r="A58" s="9" t="inlineStr">
        <is>
          <t>D10-DOC-PRD-001.SCHEMA.DEPENDENCIES</t>
        </is>
      </c>
      <c r="B58" s="10" t="inlineStr">
        <is>
          <t>dependencies</t>
        </is>
      </c>
      <c r="C58" s="10" t="inlineStr">
        <is>
          <t>Definir, validar e manter: Dependencies</t>
        </is>
      </c>
      <c r="D58" s="11" t="n"/>
      <c r="E58" s="12" t="inlineStr">
        <is>
          <t>baixa</t>
        </is>
      </c>
    </row>
    <row r="59">
      <c r="A59" s="9" t="inlineStr">
        <is>
          <t>D10-DOC-PRD-001.SCHEMA.RELEASE_CRITERIA</t>
        </is>
      </c>
      <c r="B59" s="10" t="inlineStr">
        <is>
          <t>release_criteria</t>
        </is>
      </c>
      <c r="C59" s="10" t="inlineStr">
        <is>
          <t>Definir, validar e manter: Release Criteria</t>
        </is>
      </c>
      <c r="D59" s="11" t="n"/>
      <c r="E59" s="12" t="inlineStr">
        <is>
          <t>baixa</t>
        </is>
      </c>
    </row>
    <row r="60">
      <c r="A60" s="8" t="inlineStr">
        <is>
          <t>Domínio D11 — Experiência e Projeto</t>
        </is>
      </c>
      <c r="B60" s="6" t="n"/>
      <c r="C60" s="6" t="n"/>
      <c r="D60" s="6" t="n"/>
      <c r="E60" s="7" t="n"/>
    </row>
    <row r="61">
      <c r="A61" s="8" t="inlineStr">
        <is>
          <t>Artefato D11-DOC-EEP-001 — Especificação de Experiência e Projeto</t>
        </is>
      </c>
      <c r="B61" s="6" t="n"/>
      <c r="C61" s="6" t="n"/>
      <c r="D61" s="6" t="n"/>
      <c r="E61" s="7" t="n"/>
    </row>
    <row r="62">
      <c r="A62" s="9" t="inlineStr">
        <is>
          <t>D11-DOC-EEP-001.USER_RESEARCH.EVIDENCIAS</t>
        </is>
      </c>
      <c r="B62" s="10" t="inlineStr">
        <is>
          <t>evidencias</t>
        </is>
      </c>
      <c r="C62" s="10" t="inlineStr">
        <is>
          <t>Definir, validar e manter: Evidencias</t>
        </is>
      </c>
      <c r="D62" s="11" t="n"/>
      <c r="E62" s="12" t="inlineStr">
        <is>
          <t>baixa</t>
        </is>
      </c>
    </row>
    <row r="63">
      <c r="A63" s="9" t="inlineStr">
        <is>
          <t>D11-DOC-EEP-001.USER_RESEARCH.NECESSIDADES</t>
        </is>
      </c>
      <c r="B63" s="10" t="inlineStr">
        <is>
          <t>necessidades</t>
        </is>
      </c>
      <c r="C63" s="10" t="inlineStr">
        <is>
          <t>Definir, validar e manter: Necessidades</t>
        </is>
      </c>
      <c r="D63" s="11" t="n"/>
      <c r="E63" s="12" t="inlineStr">
        <is>
          <t>baixa</t>
        </is>
      </c>
    </row>
    <row r="64">
      <c r="A64" s="9" t="inlineStr">
        <is>
          <t>D11-DOC-EEP-001.PERSONAS.PERFIL</t>
        </is>
      </c>
      <c r="B64" s="10" t="inlineStr">
        <is>
          <t>perfil</t>
        </is>
      </c>
      <c r="C64" s="10" t="inlineStr">
        <is>
          <t>Definir, validar e manter: Perfil</t>
        </is>
      </c>
      <c r="D64" s="11" t="n"/>
      <c r="E64" s="12" t="inlineStr">
        <is>
          <t>baixa</t>
        </is>
      </c>
    </row>
    <row r="65">
      <c r="A65" s="9" t="inlineStr">
        <is>
          <t>D11-DOC-EEP-001.PERSONAS.CONTEXTO</t>
        </is>
      </c>
      <c r="B65" s="10" t="inlineStr">
        <is>
          <t>contexto</t>
        </is>
      </c>
      <c r="C65" s="10" t="inlineStr">
        <is>
          <t>Definir, validar e manter: Contexto</t>
        </is>
      </c>
      <c r="D65" s="11" t="n"/>
      <c r="E65" s="12" t="inlineStr">
        <is>
          <t>baixa</t>
        </is>
      </c>
    </row>
    <row r="66">
      <c r="A66" s="9" t="inlineStr">
        <is>
          <t>D11-DOC-EEP-001.JOURNEYS.ETAPA</t>
        </is>
      </c>
      <c r="B66" s="10" t="inlineStr">
        <is>
          <t>etapa</t>
        </is>
      </c>
      <c r="C66" s="10" t="inlineStr">
        <is>
          <t>Definir, validar e manter: Etapa</t>
        </is>
      </c>
      <c r="D66" s="11" t="n"/>
      <c r="E66" s="12" t="inlineStr">
        <is>
          <t>baixa</t>
        </is>
      </c>
    </row>
    <row r="67">
      <c r="A67" s="9" t="inlineStr">
        <is>
          <t>D11-DOC-EEP-001.JOURNEYS.ACAO</t>
        </is>
      </c>
      <c r="B67" s="10" t="inlineStr">
        <is>
          <t>acao</t>
        </is>
      </c>
      <c r="C67" s="10" t="inlineStr">
        <is>
          <t>Definir, validar e manter: Acao</t>
        </is>
      </c>
      <c r="D67" s="11" t="n"/>
      <c r="E67" s="12" t="inlineStr">
        <is>
          <t>baixa</t>
        </is>
      </c>
    </row>
    <row r="68">
      <c r="A68" s="9" t="inlineStr">
        <is>
          <t>D11-DOC-EEP-001.JOURNEYS.FRICCAO</t>
        </is>
      </c>
      <c r="B68" s="10" t="inlineStr">
        <is>
          <t>friccao</t>
        </is>
      </c>
      <c r="C68" s="10" t="inlineStr">
        <is>
          <t>Definir, validar e manter: Friccao</t>
        </is>
      </c>
      <c r="D68" s="11" t="n"/>
      <c r="E68" s="12" t="inlineStr">
        <is>
          <t>baixa</t>
        </is>
      </c>
    </row>
    <row r="69">
      <c r="A69" s="9" t="inlineStr">
        <is>
          <t>D11-DOC-EEP-001.INFORMATION_ARCHITECTURE.NAVEGACAO</t>
        </is>
      </c>
      <c r="B69" s="10" t="inlineStr">
        <is>
          <t>navegacao</t>
        </is>
      </c>
      <c r="C69" s="10" t="inlineStr">
        <is>
          <t>Definir, validar e manter: Navegacao</t>
        </is>
      </c>
      <c r="D69" s="11" t="n"/>
      <c r="E69" s="12" t="inlineStr">
        <is>
          <t>baixa</t>
        </is>
      </c>
    </row>
    <row r="70">
      <c r="A70" s="9" t="inlineStr">
        <is>
          <t>D11-DOC-EEP-001.INFORMATION_ARCHITECTURE.HIERARQUIA</t>
        </is>
      </c>
      <c r="B70" s="10" t="inlineStr">
        <is>
          <t>hierarquia</t>
        </is>
      </c>
      <c r="C70" s="10" t="inlineStr">
        <is>
          <t>Definir, validar e manter: Hierarquia</t>
        </is>
      </c>
      <c r="D70" s="11" t="n"/>
      <c r="E70" s="12" t="inlineStr">
        <is>
          <t>baixa</t>
        </is>
      </c>
    </row>
    <row r="71">
      <c r="A71" s="9" t="inlineStr">
        <is>
          <t>D11-DOC-EEP-001.FLOWS.ENTRADA</t>
        </is>
      </c>
      <c r="B71" s="10" t="inlineStr">
        <is>
          <t>entrada</t>
        </is>
      </c>
      <c r="C71" s="10" t="inlineStr">
        <is>
          <t>Definir, validar e manter: Entrada</t>
        </is>
      </c>
      <c r="D71" s="11" t="n"/>
      <c r="E71" s="12" t="inlineStr">
        <is>
          <t>baixa</t>
        </is>
      </c>
    </row>
    <row r="72">
      <c r="A72" s="9" t="inlineStr">
        <is>
          <t>D11-DOC-EEP-001.FLOWS.DECISAO</t>
        </is>
      </c>
      <c r="B72" s="10" t="inlineStr">
        <is>
          <t>decisao</t>
        </is>
      </c>
      <c r="C72" s="10" t="inlineStr">
        <is>
          <t>Definir, validar e manter: Decisao</t>
        </is>
      </c>
      <c r="D72" s="11" t="n"/>
      <c r="E72" s="12" t="inlineStr">
        <is>
          <t>baixa</t>
        </is>
      </c>
    </row>
    <row r="73">
      <c r="A73" s="9" t="inlineStr">
        <is>
          <t>D11-DOC-EEP-001.FLOWS.SAIDA</t>
        </is>
      </c>
      <c r="B73" s="10" t="inlineStr">
        <is>
          <t>saida</t>
        </is>
      </c>
      <c r="C73" s="10" t="inlineStr">
        <is>
          <t>Definir, validar e manter: Saida</t>
        </is>
      </c>
      <c r="D73" s="11" t="n"/>
      <c r="E73" s="12" t="inlineStr">
        <is>
          <t>baixa</t>
        </is>
      </c>
    </row>
    <row r="74">
      <c r="A74" s="9" t="inlineStr">
        <is>
          <t>D11-DOC-EEP-001.INTERACTION.COMPORTAMENTO</t>
        </is>
      </c>
      <c r="B74" s="10" t="inlineStr">
        <is>
          <t>comportamento</t>
        </is>
      </c>
      <c r="C74" s="10" t="inlineStr">
        <is>
          <t>Definir, validar e manter: Comportamento</t>
        </is>
      </c>
      <c r="D74" s="11" t="n"/>
      <c r="E74" s="12" t="inlineStr">
        <is>
          <t>media</t>
        </is>
      </c>
    </row>
    <row r="75">
      <c r="A75" s="9" t="inlineStr">
        <is>
          <t>D11-DOC-EEP-001.INTERACTION.FEEDBACK</t>
        </is>
      </c>
      <c r="B75" s="10" t="inlineStr">
        <is>
          <t>feedback</t>
        </is>
      </c>
      <c r="C75" s="10" t="inlineStr">
        <is>
          <t>Definir, validar e manter: Feedback</t>
        </is>
      </c>
      <c r="D75" s="11" t="n"/>
      <c r="E75" s="12" t="inlineStr">
        <is>
          <t>baixa</t>
        </is>
      </c>
    </row>
    <row r="76">
      <c r="A76" s="9" t="inlineStr">
        <is>
          <t>D11-DOC-EEP-001.STATES.LOADING</t>
        </is>
      </c>
      <c r="B76" s="10" t="inlineStr">
        <is>
          <t>loading</t>
        </is>
      </c>
      <c r="C76" s="10" t="inlineStr">
        <is>
          <t>Definir, validar e manter: Loading</t>
        </is>
      </c>
      <c r="D76" s="11" t="n"/>
      <c r="E76" s="12" t="inlineStr">
        <is>
          <t>baixa</t>
        </is>
      </c>
    </row>
    <row r="77">
      <c r="A77" s="9" t="inlineStr">
        <is>
          <t>D11-DOC-EEP-001.STATES.VAZIO</t>
        </is>
      </c>
      <c r="B77" s="10" t="inlineStr">
        <is>
          <t>vazio</t>
        </is>
      </c>
      <c r="C77" s="10" t="inlineStr">
        <is>
          <t>Definir, validar e manter: Vazio</t>
        </is>
      </c>
      <c r="D77" s="11" t="n"/>
      <c r="E77" s="12" t="inlineStr">
        <is>
          <t>baixa</t>
        </is>
      </c>
    </row>
    <row r="78">
      <c r="A78" s="9" t="inlineStr">
        <is>
          <t>D11-DOC-EEP-001.STATES.ERRO</t>
        </is>
      </c>
      <c r="B78" s="10" t="inlineStr">
        <is>
          <t>erro</t>
        </is>
      </c>
      <c r="C78" s="10" t="inlineStr">
        <is>
          <t>Definir, validar e manter: Erro</t>
        </is>
      </c>
      <c r="D78" s="11" t="n"/>
      <c r="E78" s="12" t="inlineStr">
        <is>
          <t>baixa</t>
        </is>
      </c>
    </row>
    <row r="79">
      <c r="A79" s="9" t="inlineStr">
        <is>
          <t>D11-DOC-EEP-001.STATES.SUCESSO</t>
        </is>
      </c>
      <c r="B79" s="10" t="inlineStr">
        <is>
          <t>sucesso</t>
        </is>
      </c>
      <c r="C79" s="10" t="inlineStr">
        <is>
          <t>Definir, validar e manter: Sucesso</t>
        </is>
      </c>
      <c r="D79" s="11" t="n"/>
      <c r="E79" s="12" t="inlineStr">
        <is>
          <t>baixa</t>
        </is>
      </c>
    </row>
    <row r="80">
      <c r="A80" s="9" t="inlineStr">
        <is>
          <t>D11-DOC-EEP-001.CONTENT.MICROCOPY</t>
        </is>
      </c>
      <c r="B80" s="10" t="inlineStr">
        <is>
          <t>microcopy</t>
        </is>
      </c>
      <c r="C80" s="10" t="inlineStr">
        <is>
          <t>Definir, validar e manter: Microcopy</t>
        </is>
      </c>
      <c r="D80" s="11" t="n"/>
      <c r="E80" s="12" t="inlineStr">
        <is>
          <t>baixa</t>
        </is>
      </c>
    </row>
    <row r="81">
      <c r="A81" s="9" t="inlineStr">
        <is>
          <t>D11-DOC-EEP-001.CONTENT.ORIENTACAO</t>
        </is>
      </c>
      <c r="B81" s="10" t="inlineStr">
        <is>
          <t>orientacao</t>
        </is>
      </c>
      <c r="C81" s="10" t="inlineStr">
        <is>
          <t>Definir, validar e manter: Orientacao</t>
        </is>
      </c>
      <c r="D81" s="11" t="n"/>
      <c r="E81" s="12" t="inlineStr">
        <is>
          <t>baixa</t>
        </is>
      </c>
    </row>
    <row r="82">
      <c r="A82" s="9" t="inlineStr">
        <is>
          <t>D11-DOC-EEP-001.RESPONSIVE.MOBILE</t>
        </is>
      </c>
      <c r="B82" s="10" t="inlineStr">
        <is>
          <t>mobile</t>
        </is>
      </c>
      <c r="C82" s="10" t="inlineStr">
        <is>
          <t>Definir, validar e manter: Mobile</t>
        </is>
      </c>
      <c r="D82" s="11" t="n"/>
      <c r="E82" s="12" t="inlineStr">
        <is>
          <t>baixa</t>
        </is>
      </c>
    </row>
    <row r="83">
      <c r="A83" s="9" t="inlineStr">
        <is>
          <t>D11-DOC-EEP-001.RESPONSIVE.TABLET</t>
        </is>
      </c>
      <c r="B83" s="10" t="inlineStr">
        <is>
          <t>tablet</t>
        </is>
      </c>
      <c r="C83" s="10" t="inlineStr">
        <is>
          <t>Definir, validar e manter: Tablet</t>
        </is>
      </c>
      <c r="D83" s="11" t="n"/>
      <c r="E83" s="12" t="inlineStr">
        <is>
          <t>baixa</t>
        </is>
      </c>
    </row>
    <row r="84">
      <c r="A84" s="9" t="inlineStr">
        <is>
          <t>D11-DOC-EEP-001.RESPONSIVE.DESKTOP</t>
        </is>
      </c>
      <c r="B84" s="10" t="inlineStr">
        <is>
          <t>desktop</t>
        </is>
      </c>
      <c r="C84" s="10" t="inlineStr">
        <is>
          <t>Definir, validar e manter: Desktop</t>
        </is>
      </c>
      <c r="D84" s="11" t="n"/>
      <c r="E84" s="12" t="inlineStr">
        <is>
          <t>baixa</t>
        </is>
      </c>
    </row>
    <row r="85">
      <c r="A85" s="9" t="inlineStr">
        <is>
          <t>D11-DOC-EEP-001.ACCESSIBILITY.TECLADO</t>
        </is>
      </c>
      <c r="B85" s="10" t="inlineStr">
        <is>
          <t>teclado</t>
        </is>
      </c>
      <c r="C85" s="10" t="inlineStr">
        <is>
          <t>Definir, validar e manter: Teclado</t>
        </is>
      </c>
      <c r="D85" s="11" t="n"/>
      <c r="E85" s="12" t="inlineStr">
        <is>
          <t>media</t>
        </is>
      </c>
    </row>
    <row r="86">
      <c r="A86" s="9" t="inlineStr">
        <is>
          <t>D11-DOC-EEP-001.ACCESSIBILITY.CONTRASTE</t>
        </is>
      </c>
      <c r="B86" s="10" t="inlineStr">
        <is>
          <t>contraste</t>
        </is>
      </c>
      <c r="C86" s="10" t="inlineStr">
        <is>
          <t>Definir, validar e manter: Contraste</t>
        </is>
      </c>
      <c r="D86" s="11" t="n"/>
      <c r="E86" s="12" t="inlineStr">
        <is>
          <t>media</t>
        </is>
      </c>
    </row>
    <row r="87">
      <c r="A87" s="9" t="inlineStr">
        <is>
          <t>D11-DOC-EEP-001.ACCESSIBILITY.SEMANTICA</t>
        </is>
      </c>
      <c r="B87" s="10" t="inlineStr">
        <is>
          <t>semantica</t>
        </is>
      </c>
      <c r="C87" s="10" t="inlineStr">
        <is>
          <t>Definir, validar e manter: Semantica</t>
        </is>
      </c>
      <c r="D87" s="11" t="n"/>
      <c r="E87" s="12" t="inlineStr">
        <is>
          <t>baixa</t>
        </is>
      </c>
    </row>
    <row r="88">
      <c r="A88" s="9" t="inlineStr">
        <is>
          <t>D11-DOC-EEP-001.ACCESSIBILITY.MOVIMENTO</t>
        </is>
      </c>
      <c r="B88" s="10" t="inlineStr">
        <is>
          <t>movimento</t>
        </is>
      </c>
      <c r="C88" s="10" t="inlineStr">
        <is>
          <t>Definir, validar e manter: Movimento</t>
        </is>
      </c>
      <c r="D88" s="11" t="n"/>
      <c r="E88" s="12" t="inlineStr">
        <is>
          <t>baixa</t>
        </is>
      </c>
    </row>
    <row r="89">
      <c r="A89" s="9" t="inlineStr">
        <is>
          <t>D11-DOC-EEP-001.PROTOTYPE.ARTEFATO</t>
        </is>
      </c>
      <c r="B89" s="10" t="inlineStr">
        <is>
          <t>artefato</t>
        </is>
      </c>
      <c r="C89" s="10" t="inlineStr">
        <is>
          <t>Definir, validar e manter: Artefato</t>
        </is>
      </c>
      <c r="D89" s="11" t="n"/>
      <c r="E89" s="12" t="inlineStr">
        <is>
          <t>baixa</t>
        </is>
      </c>
    </row>
    <row r="90">
      <c r="A90" s="9" t="inlineStr">
        <is>
          <t>D11-DOC-EEP-001.PROTOTYPE.STATUS</t>
        </is>
      </c>
      <c r="B90" s="10" t="inlineStr">
        <is>
          <t>status</t>
        </is>
      </c>
      <c r="C90" s="10" t="inlineStr">
        <is>
          <t>Definir, validar e manter: Status</t>
        </is>
      </c>
      <c r="D90" s="11" t="n"/>
      <c r="E90" s="12" t="inlineStr">
        <is>
          <t>baixa</t>
        </is>
      </c>
    </row>
    <row r="91">
      <c r="A91" s="9" t="inlineStr">
        <is>
          <t>D11-DOC-EEP-001.VALIDATION.TESTE</t>
        </is>
      </c>
      <c r="B91" s="10" t="inlineStr">
        <is>
          <t>teste</t>
        </is>
      </c>
      <c r="C91" s="10" t="inlineStr">
        <is>
          <t>Definir, validar e manter: Teste</t>
        </is>
      </c>
      <c r="D91" s="11" t="n"/>
      <c r="E91" s="12" t="inlineStr">
        <is>
          <t>baixa</t>
        </is>
      </c>
    </row>
    <row r="92">
      <c r="A92" s="9" t="inlineStr">
        <is>
          <t>D11-DOC-EEP-001.VALIDATION.RESULTADO</t>
        </is>
      </c>
      <c r="B92" s="10" t="inlineStr">
        <is>
          <t>resultado</t>
        </is>
      </c>
      <c r="C92" s="10" t="inlineStr">
        <is>
          <t>Definir, validar e manter: Resultado</t>
        </is>
      </c>
      <c r="D92" s="11" t="n"/>
      <c r="E92" s="12" t="inlineStr">
        <is>
          <t>baixa</t>
        </is>
      </c>
    </row>
    <row r="93">
      <c r="A93" s="8" t="inlineStr">
        <is>
          <t>Artefato D11-DOC-DSI-001 — Sistema de Design e Interface</t>
        </is>
      </c>
      <c r="B93" s="6" t="n"/>
      <c r="C93" s="6" t="n"/>
      <c r="D93" s="6" t="n"/>
      <c r="E93" s="7" t="n"/>
    </row>
    <row r="94">
      <c r="A94" s="9" t="inlineStr">
        <is>
          <t>D11-DOC-DSI-001.FOUNDATIONS.PRINCIPIOS</t>
        </is>
      </c>
      <c r="B94" s="10" t="inlineStr">
        <is>
          <t>principios</t>
        </is>
      </c>
      <c r="C94" s="10" t="inlineStr">
        <is>
          <t>Definir, validar e manter: Principios</t>
        </is>
      </c>
      <c r="D94" s="11" t="n"/>
      <c r="E94" s="12" t="inlineStr">
        <is>
          <t>baixa</t>
        </is>
      </c>
    </row>
    <row r="95">
      <c r="A95" s="9" t="inlineStr">
        <is>
          <t>D11-DOC-DSI-001.TOKENS.COR</t>
        </is>
      </c>
      <c r="B95" s="10" t="inlineStr">
        <is>
          <t>cor</t>
        </is>
      </c>
      <c r="C95" s="10" t="inlineStr">
        <is>
          <t>Definir, validar e manter: Cor</t>
        </is>
      </c>
      <c r="D95" s="11" t="n"/>
      <c r="E95" s="12" t="inlineStr">
        <is>
          <t>baixa</t>
        </is>
      </c>
    </row>
    <row r="96">
      <c r="A96" s="9" t="inlineStr">
        <is>
          <t>D11-DOC-DSI-001.TOKENS.TIPOGRAFIA</t>
        </is>
      </c>
      <c r="B96" s="10" t="inlineStr">
        <is>
          <t>tipografia</t>
        </is>
      </c>
      <c r="C96" s="10" t="inlineStr">
        <is>
          <t>Definir, validar e manter: Tipografia</t>
        </is>
      </c>
      <c r="D96" s="11" t="n"/>
      <c r="E96" s="12" t="inlineStr">
        <is>
          <t>baixa</t>
        </is>
      </c>
    </row>
    <row r="97">
      <c r="A97" s="9" t="inlineStr">
        <is>
          <t>D11-DOC-DSI-001.TOKENS.ESPACAMENTO</t>
        </is>
      </c>
      <c r="B97" s="10" t="inlineStr">
        <is>
          <t>espacamento</t>
        </is>
      </c>
      <c r="C97" s="10" t="inlineStr">
        <is>
          <t>Definir, validar e manter: Espacamento</t>
        </is>
      </c>
      <c r="D97" s="11" t="n"/>
      <c r="E97" s="12" t="inlineStr">
        <is>
          <t>baixa</t>
        </is>
      </c>
    </row>
    <row r="98">
      <c r="A98" s="9" t="inlineStr">
        <is>
          <t>D11-DOC-DSI-001.TOKENS.RAIO</t>
        </is>
      </c>
      <c r="B98" s="10" t="inlineStr">
        <is>
          <t>raio</t>
        </is>
      </c>
      <c r="C98" s="10" t="inlineStr">
        <is>
          <t>Definir, validar e manter: Raio</t>
        </is>
      </c>
      <c r="D98" s="11" t="n"/>
      <c r="E98" s="12" t="inlineStr">
        <is>
          <t>baixa</t>
        </is>
      </c>
    </row>
    <row r="99">
      <c r="A99" s="9" t="inlineStr">
        <is>
          <t>D11-DOC-DSI-001.TOKENS.SOMBRA</t>
        </is>
      </c>
      <c r="B99" s="10" t="inlineStr">
        <is>
          <t>sombra</t>
        </is>
      </c>
      <c r="C99" s="10" t="inlineStr">
        <is>
          <t>Definir, validar e manter: Sombra</t>
        </is>
      </c>
      <c r="D99" s="11" t="n"/>
      <c r="E99" s="12" t="inlineStr">
        <is>
          <t>baixa</t>
        </is>
      </c>
    </row>
    <row r="100">
      <c r="A100" s="9" t="inlineStr">
        <is>
          <t>D11-DOC-DSI-001.GRID.BREAKPOINTS</t>
        </is>
      </c>
      <c r="B100" s="10" t="inlineStr">
        <is>
          <t>breakpoints</t>
        </is>
      </c>
      <c r="C100" s="10" t="inlineStr">
        <is>
          <t>Definir, validar e manter: Breakpoints</t>
        </is>
      </c>
      <c r="D100" s="11" t="n"/>
      <c r="E100" s="12" t="inlineStr">
        <is>
          <t>baixa</t>
        </is>
      </c>
    </row>
    <row r="101">
      <c r="A101" s="9" t="inlineStr">
        <is>
          <t>D11-DOC-DSI-001.GRID.COLUNAS</t>
        </is>
      </c>
      <c r="B101" s="10" t="inlineStr">
        <is>
          <t>colunas</t>
        </is>
      </c>
      <c r="C101" s="10" t="inlineStr">
        <is>
          <t>Definir, validar e manter: Colunas</t>
        </is>
      </c>
      <c r="D101" s="11" t="n"/>
      <c r="E101" s="12" t="inlineStr">
        <is>
          <t>baixa</t>
        </is>
      </c>
    </row>
    <row r="102">
      <c r="A102" s="9" t="inlineStr">
        <is>
          <t>D11-DOC-DSI-001.COMPONENTS.COMPONENTE</t>
        </is>
      </c>
      <c r="B102" s="10" t="inlineStr">
        <is>
          <t>componente</t>
        </is>
      </c>
      <c r="C102" s="10" t="inlineStr">
        <is>
          <t>Definir, validar e manter: Componente</t>
        </is>
      </c>
      <c r="D102" s="11" t="n"/>
      <c r="E102" s="12" t="inlineStr">
        <is>
          <t>baixa</t>
        </is>
      </c>
    </row>
    <row r="103">
      <c r="A103" s="9" t="inlineStr">
        <is>
          <t>D11-DOC-DSI-001.COMPONENTS.VARIANTE</t>
        </is>
      </c>
      <c r="B103" s="10" t="inlineStr">
        <is>
          <t>variante</t>
        </is>
      </c>
      <c r="C103" s="10" t="inlineStr">
        <is>
          <t>Definir, validar e manter: Variante</t>
        </is>
      </c>
      <c r="D103" s="11" t="n"/>
      <c r="E103" s="12" t="inlineStr">
        <is>
          <t>baixa</t>
        </is>
      </c>
    </row>
    <row r="104">
      <c r="A104" s="9" t="inlineStr">
        <is>
          <t>D11-DOC-DSI-001.COMPONENTS.ESTADO</t>
        </is>
      </c>
      <c r="B104" s="10" t="inlineStr">
        <is>
          <t>estado</t>
        </is>
      </c>
      <c r="C104" s="10" t="inlineStr">
        <is>
          <t>Definir, validar e manter: Estado</t>
        </is>
      </c>
      <c r="D104" s="11" t="n"/>
      <c r="E104" s="12" t="inlineStr">
        <is>
          <t>baixa</t>
        </is>
      </c>
    </row>
    <row r="105">
      <c r="A105" s="9" t="inlineStr">
        <is>
          <t>D11-DOC-DSI-001.PATTERNS.NAVEGACAO</t>
        </is>
      </c>
      <c r="B105" s="10" t="inlineStr">
        <is>
          <t>navegacao</t>
        </is>
      </c>
      <c r="C105" s="10" t="inlineStr">
        <is>
          <t>Definir, validar e manter: Navegacao</t>
        </is>
      </c>
      <c r="D105" s="11" t="n"/>
      <c r="E105" s="12" t="inlineStr">
        <is>
          <t>baixa</t>
        </is>
      </c>
    </row>
    <row r="106">
      <c r="A106" s="9" t="inlineStr">
        <is>
          <t>D11-DOC-DSI-001.PATTERNS.FORMULARIO</t>
        </is>
      </c>
      <c r="B106" s="10" t="inlineStr">
        <is>
          <t>formulario</t>
        </is>
      </c>
      <c r="C106" s="10" t="inlineStr">
        <is>
          <t>Definir, validar e manter: Formulario</t>
        </is>
      </c>
      <c r="D106" s="11" t="n"/>
      <c r="E106" s="12" t="inlineStr">
        <is>
          <t>baixa</t>
        </is>
      </c>
    </row>
    <row r="107">
      <c r="A107" s="9" t="inlineStr">
        <is>
          <t>D11-DOC-DSI-001.PATTERNS.FEEDBACK</t>
        </is>
      </c>
      <c r="B107" s="10" t="inlineStr">
        <is>
          <t>feedback</t>
        </is>
      </c>
      <c r="C107" s="10" t="inlineStr">
        <is>
          <t>Definir, validar e manter: Feedback</t>
        </is>
      </c>
      <c r="D107" s="11" t="n"/>
      <c r="E107" s="12" t="inlineStr">
        <is>
          <t>baixa</t>
        </is>
      </c>
    </row>
    <row r="108">
      <c r="A108" s="9" t="inlineStr">
        <is>
          <t>D11-DOC-DSI-001.ICONS.BIBLIOTECA</t>
        </is>
      </c>
      <c r="B108" s="10" t="inlineStr">
        <is>
          <t>biblioteca</t>
        </is>
      </c>
      <c r="C108" s="10" t="inlineStr">
        <is>
          <t>Definir, validar e manter: Biblioteca</t>
        </is>
      </c>
      <c r="D108" s="11" t="n"/>
      <c r="E108" s="12" t="inlineStr">
        <is>
          <t>baixa</t>
        </is>
      </c>
    </row>
    <row r="109">
      <c r="A109" s="9" t="inlineStr">
        <is>
          <t>D11-DOC-DSI-001.ICONS.REGRAS</t>
        </is>
      </c>
      <c r="B109" s="10" t="inlineStr">
        <is>
          <t>regras</t>
        </is>
      </c>
      <c r="C109" s="10" t="inlineStr">
        <is>
          <t>Definir, validar e manter: Regras</t>
        </is>
      </c>
      <c r="D109" s="11" t="n"/>
      <c r="E109" s="12" t="inlineStr">
        <is>
          <t>baixa</t>
        </is>
      </c>
    </row>
    <row r="110">
      <c r="A110" s="9" t="inlineStr">
        <is>
          <t>D11-DOC-DSI-001.MOTION.DURACAO</t>
        </is>
      </c>
      <c r="B110" s="10" t="inlineStr">
        <is>
          <t>duracao</t>
        </is>
      </c>
      <c r="C110" s="10" t="inlineStr">
        <is>
          <t>Definir, validar e manter: Duracao</t>
        </is>
      </c>
      <c r="D110" s="11" t="n"/>
      <c r="E110" s="12" t="inlineStr">
        <is>
          <t>baixa</t>
        </is>
      </c>
    </row>
    <row r="111">
      <c r="A111" s="9" t="inlineStr">
        <is>
          <t>D11-DOC-DSI-001.MOTION.EASING</t>
        </is>
      </c>
      <c r="B111" s="10" t="inlineStr">
        <is>
          <t>easing</t>
        </is>
      </c>
      <c r="C111" s="10" t="inlineStr">
        <is>
          <t>Definir, validar e manter: Easing</t>
        </is>
      </c>
      <c r="D111" s="11" t="n"/>
      <c r="E111" s="12" t="inlineStr">
        <is>
          <t>baixa</t>
        </is>
      </c>
    </row>
    <row r="112">
      <c r="A112" s="9" t="inlineStr">
        <is>
          <t>D11-DOC-DSI-001.MOTION.REDUCED_MOTION</t>
        </is>
      </c>
      <c r="B112" s="10" t="inlineStr">
        <is>
          <t>reduced_motion</t>
        </is>
      </c>
      <c r="C112" s="10" t="inlineStr">
        <is>
          <t>Definir, validar e manter: Reduced Motion</t>
        </is>
      </c>
      <c r="D112" s="11" t="n"/>
      <c r="E112" s="12" t="inlineStr">
        <is>
          <t>baixa</t>
        </is>
      </c>
    </row>
    <row r="113">
      <c r="A113" s="9" t="inlineStr">
        <is>
          <t>D11-DOC-DSI-001.ACCESSIBILITY.WCAG</t>
        </is>
      </c>
      <c r="B113" s="10" t="inlineStr">
        <is>
          <t>wcag</t>
        </is>
      </c>
      <c r="C113" s="10" t="inlineStr">
        <is>
          <t>Definir, validar e manter: Wcag</t>
        </is>
      </c>
      <c r="D113" s="11" t="n"/>
      <c r="E113" s="12" t="inlineStr">
        <is>
          <t>media</t>
        </is>
      </c>
    </row>
    <row r="114">
      <c r="A114" s="9" t="inlineStr">
        <is>
          <t>D11-DOC-DSI-001.ACCESSIBILITY.FOCO</t>
        </is>
      </c>
      <c r="B114" s="10" t="inlineStr">
        <is>
          <t>foco</t>
        </is>
      </c>
      <c r="C114" s="10" t="inlineStr">
        <is>
          <t>Definir, validar e manter: Foco</t>
        </is>
      </c>
      <c r="D114" s="11" t="n"/>
      <c r="E114" s="12" t="inlineStr">
        <is>
          <t>media</t>
        </is>
      </c>
    </row>
    <row r="115">
      <c r="A115" s="9" t="inlineStr">
        <is>
          <t>D11-DOC-DSI-001.ACCESSIBILITY.CONTRASTE</t>
        </is>
      </c>
      <c r="B115" s="10" t="inlineStr">
        <is>
          <t>contraste</t>
        </is>
      </c>
      <c r="C115" s="10" t="inlineStr">
        <is>
          <t>Definir, validar e manter: Contraste</t>
        </is>
      </c>
      <c r="D115" s="11" t="n"/>
      <c r="E115" s="12" t="inlineStr">
        <is>
          <t>media</t>
        </is>
      </c>
    </row>
    <row r="116">
      <c r="A116" s="9" t="inlineStr">
        <is>
          <t>D11-DOC-DSI-001.CONTENT_DESIGN.VOZ</t>
        </is>
      </c>
      <c r="B116" s="10" t="inlineStr">
        <is>
          <t>voz</t>
        </is>
      </c>
      <c r="C116" s="10" t="inlineStr">
        <is>
          <t>Definir, validar e manter: Voz</t>
        </is>
      </c>
      <c r="D116" s="11" t="n"/>
      <c r="E116" s="12" t="inlineStr">
        <is>
          <t>baixa</t>
        </is>
      </c>
    </row>
    <row r="117">
      <c r="A117" s="9" t="inlineStr">
        <is>
          <t>D11-DOC-DSI-001.CONTENT_DESIGN.TOM</t>
        </is>
      </c>
      <c r="B117" s="10" t="inlineStr">
        <is>
          <t>tom</t>
        </is>
      </c>
      <c r="C117" s="10" t="inlineStr">
        <is>
          <t>Definir, validar e manter: Tom</t>
        </is>
      </c>
      <c r="D117" s="11" t="n"/>
      <c r="E117" s="12" t="inlineStr">
        <is>
          <t>baixa</t>
        </is>
      </c>
    </row>
    <row r="118">
      <c r="A118" s="9" t="inlineStr">
        <is>
          <t>D11-DOC-DSI-001.CONTENT_DESIGN.NOMENCLATURA</t>
        </is>
      </c>
      <c r="B118" s="10" t="inlineStr">
        <is>
          <t>nomenclatura</t>
        </is>
      </c>
      <c r="C118" s="10" t="inlineStr">
        <is>
          <t>Definir, validar e manter: Nomenclatura</t>
        </is>
      </c>
      <c r="D118" s="11" t="n"/>
      <c r="E118" s="12" t="inlineStr">
        <is>
          <t>baixa</t>
        </is>
      </c>
    </row>
    <row r="119">
      <c r="A119" s="9" t="inlineStr">
        <is>
          <t>D11-DOC-DSI-001.GOVERNANCE.VERSAO</t>
        </is>
      </c>
      <c r="B119" s="10" t="inlineStr">
        <is>
          <t>versao</t>
        </is>
      </c>
      <c r="C119" s="10" t="inlineStr">
        <is>
          <t>Definir, validar e manter: Versao</t>
        </is>
      </c>
      <c r="D119" s="11" t="n"/>
      <c r="E119" s="12" t="inlineStr">
        <is>
          <t>baixa</t>
        </is>
      </c>
    </row>
    <row r="120">
      <c r="A120" s="9" t="inlineStr">
        <is>
          <t>D11-DOC-DSI-001.GOVERNANCE.OWNER</t>
        </is>
      </c>
      <c r="B120" s="10" t="inlineStr">
        <is>
          <t>owner</t>
        </is>
      </c>
      <c r="C120" s="10" t="inlineStr">
        <is>
          <t>Definir, validar e manter: Owner</t>
        </is>
      </c>
      <c r="D120" s="11" t="n"/>
      <c r="E120" s="12" t="inlineStr">
        <is>
          <t>baixa</t>
        </is>
      </c>
    </row>
    <row r="121">
      <c r="A121" s="9" t="inlineStr">
        <is>
          <t>D11-DOC-DSI-001.GOVERNANCE.CONTRIBUICAO</t>
        </is>
      </c>
      <c r="B121" s="10" t="inlineStr">
        <is>
          <t>contribuicao</t>
        </is>
      </c>
      <c r="C121" s="10" t="inlineStr">
        <is>
          <t>Definir, validar e manter: Contribuicao</t>
        </is>
      </c>
      <c r="D121" s="11" t="n"/>
      <c r="E121" s="12" t="inlineStr">
        <is>
          <t>baixa</t>
        </is>
      </c>
    </row>
    <row r="122">
      <c r="A122" s="9" t="inlineStr">
        <is>
          <t>D11-DOC-DSI-001.ENGINEERING_HANDOFF.PACKAGE</t>
        </is>
      </c>
      <c r="B122" s="10" t="inlineStr">
        <is>
          <t>package</t>
        </is>
      </c>
      <c r="C122" s="10" t="inlineStr">
        <is>
          <t>Definir, validar e manter: Package</t>
        </is>
      </c>
      <c r="D122" s="11" t="n"/>
      <c r="E122" s="12" t="inlineStr">
        <is>
          <t>baixa</t>
        </is>
      </c>
    </row>
    <row r="123">
      <c r="A123" s="9" t="inlineStr">
        <is>
          <t>D11-DOC-DSI-001.ENGINEERING_HANDOFF.TOKENS</t>
        </is>
      </c>
      <c r="B123" s="10" t="inlineStr">
        <is>
          <t>tokens</t>
        </is>
      </c>
      <c r="C123" s="10" t="inlineStr">
        <is>
          <t>Definir, validar e manter: Tokens</t>
        </is>
      </c>
      <c r="D123" s="11" t="n"/>
      <c r="E123" s="12" t="inlineStr">
        <is>
          <t>baixa</t>
        </is>
      </c>
    </row>
    <row r="124">
      <c r="A124" s="9" t="inlineStr">
        <is>
          <t>D11-DOC-DSI-001.ENGINEERING_HANDOFF.STORYBOOK</t>
        </is>
      </c>
      <c r="B124" s="10" t="inlineStr">
        <is>
          <t>storybook</t>
        </is>
      </c>
      <c r="C124" s="10" t="inlineStr">
        <is>
          <t>Definir, validar e manter: Storybook</t>
        </is>
      </c>
      <c r="D124" s="11" t="n"/>
      <c r="E124" s="12" t="inlineStr">
        <is>
          <t>baixa</t>
        </is>
      </c>
    </row>
  </sheetData>
  <mergeCells count="7">
    <mergeCell ref="A4:E4"/>
    <mergeCell ref="A7:E7"/>
    <mergeCell ref="A60:E60"/>
    <mergeCell ref="A93:E93"/>
    <mergeCell ref="A36:E36"/>
    <mergeCell ref="A61:E61"/>
    <mergeCell ref="A6:E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7"/>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COUNTA(D7:D6)&amp;" / 0"</f>
        <v/>
      </c>
    </row>
    <row r="4">
      <c r="A4" s="5" t="inlineStr">
        <is>
          <t>A03 — Handoff Produto → Engenharia</t>
        </is>
      </c>
      <c r="B4" s="6" t="n"/>
      <c r="C4" s="6" t="n"/>
      <c r="D4" s="6" t="n"/>
      <c r="E4" s="7" t="n"/>
    </row>
    <row r="5">
      <c r="A5" s="8" t="inlineStr">
        <is>
          <t>ID</t>
        </is>
      </c>
      <c r="B5" s="8" t="inlineStr">
        <is>
          <t>Campo</t>
        </is>
      </c>
      <c r="C5" s="8" t="inlineStr">
        <is>
          <t>O que preencher</t>
        </is>
      </c>
      <c r="D5" s="8" t="inlineStr">
        <is>
          <t>Resposta</t>
        </is>
      </c>
      <c r="E5" s="8" t="inlineStr">
        <is>
          <t>Exemplo (referência)</t>
        </is>
      </c>
    </row>
    <row r="7"/>
  </sheetData>
  <mergeCells count="1">
    <mergeCell ref="A4:E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G55"/>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COUNTA(D7:D56)&amp;" / 48"</f>
        <v/>
      </c>
    </row>
    <row r="4">
      <c r="A4" s="5" t="inlineStr">
        <is>
          <t>A04 — Arquitetura, Engenharia e Implementação</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D12 — Engenharia</t>
        </is>
      </c>
      <c r="B6" s="6" t="n"/>
      <c r="C6" s="6" t="n"/>
      <c r="D6" s="6" t="n"/>
      <c r="E6" s="7" t="n"/>
    </row>
    <row r="7">
      <c r="A7" s="8" t="inlineStr">
        <is>
          <t>Artefato D12-DOC-ETE-001 — Especificação Técnica de Engenharia</t>
        </is>
      </c>
      <c r="B7" s="6" t="n"/>
      <c r="C7" s="6" t="n"/>
      <c r="D7" s="6" t="n"/>
      <c r="E7" s="7" t="n"/>
    </row>
    <row r="8">
      <c r="A8" s="9" t="inlineStr">
        <is>
          <t>D12-DOC-ETE-001.ARCHITECTURE.VISAO_GERAL</t>
        </is>
      </c>
      <c r="B8" s="10" t="inlineStr">
        <is>
          <t>visao_geral</t>
        </is>
      </c>
      <c r="C8" s="10" t="inlineStr">
        <is>
          <t>Definir, validar e manter: Visao Geral</t>
        </is>
      </c>
      <c r="D8" s="11" t="n"/>
      <c r="E8" s="12" t="inlineStr">
        <is>
          <t>baixa</t>
        </is>
      </c>
    </row>
    <row r="9">
      <c r="A9" s="9" t="inlineStr">
        <is>
          <t>D12-DOC-ETE-001.ARCHITECTURE.DIAGRAMAS</t>
        </is>
      </c>
      <c r="B9" s="10" t="inlineStr">
        <is>
          <t>diagramas</t>
        </is>
      </c>
      <c r="C9" s="10" t="inlineStr">
        <is>
          <t>Definir, validar e manter: Diagramas</t>
        </is>
      </c>
      <c r="D9" s="11" t="n"/>
      <c r="E9" s="12" t="inlineStr">
        <is>
          <t>baixa</t>
        </is>
      </c>
    </row>
    <row r="10">
      <c r="A10" s="9" t="inlineStr">
        <is>
          <t>D12-DOC-ETE-001.REPOSITORIES.REPOSITORIO</t>
        </is>
      </c>
      <c r="B10" s="10" t="inlineStr">
        <is>
          <t>repositorio</t>
        </is>
      </c>
      <c r="C10" s="10" t="inlineStr">
        <is>
          <t>Definir, validar e manter: Repositorio</t>
        </is>
      </c>
      <c r="D10" s="11" t="n"/>
      <c r="E10" s="12" t="inlineStr">
        <is>
          <t>baixa</t>
        </is>
      </c>
    </row>
    <row r="11">
      <c r="A11" s="9" t="inlineStr">
        <is>
          <t>D12-DOC-ETE-001.REPOSITORIES.BRANCH</t>
        </is>
      </c>
      <c r="B11" s="10" t="inlineStr">
        <is>
          <t>branch</t>
        </is>
      </c>
      <c r="C11" s="10" t="inlineStr">
        <is>
          <t>Definir, validar e manter: Branch</t>
        </is>
      </c>
      <c r="D11" s="11" t="n"/>
      <c r="E11" s="12" t="inlineStr">
        <is>
          <t>baixa</t>
        </is>
      </c>
    </row>
    <row r="12">
      <c r="A12" s="9" t="inlineStr">
        <is>
          <t>D12-DOC-ETE-001.REPOSITORIES.FINALIDADE</t>
        </is>
      </c>
      <c r="B12" s="10" t="inlineStr">
        <is>
          <t>finalidade</t>
        </is>
      </c>
      <c r="C12" s="10" t="inlineStr">
        <is>
          <t>Definir, validar e manter: Finalidade</t>
        </is>
      </c>
      <c r="D12" s="11" t="n"/>
      <c r="E12" s="12" t="inlineStr">
        <is>
          <t>baixa</t>
        </is>
      </c>
    </row>
    <row r="13">
      <c r="A13" s="9" t="inlineStr">
        <is>
          <t>D12-DOC-ETE-001.STACK.FRAMEWORKS</t>
        </is>
      </c>
      <c r="B13" s="10" t="inlineStr">
        <is>
          <t>frameworks</t>
        </is>
      </c>
      <c r="C13" s="10" t="inlineStr">
        <is>
          <t>Definir, validar e manter: Frameworks</t>
        </is>
      </c>
      <c r="D13" s="11" t="n"/>
      <c r="E13" s="12" t="inlineStr">
        <is>
          <t>alta</t>
        </is>
      </c>
    </row>
    <row r="14">
      <c r="A14" s="9" t="inlineStr">
        <is>
          <t>D12-DOC-ETE-001.STACK.LINGUAGENS</t>
        </is>
      </c>
      <c r="B14" s="10" t="inlineStr">
        <is>
          <t>linguagens</t>
        </is>
      </c>
      <c r="C14" s="10" t="inlineStr">
        <is>
          <t>Definir, validar e manter: Linguagens</t>
        </is>
      </c>
      <c r="D14" s="11" t="n"/>
      <c r="E14" s="12" t="inlineStr">
        <is>
          <t>baixa</t>
        </is>
      </c>
    </row>
    <row r="15">
      <c r="A15" s="9" t="inlineStr">
        <is>
          <t>D12-DOC-ETE-001.STACK.RUNTIME</t>
        </is>
      </c>
      <c r="B15" s="10" t="inlineStr">
        <is>
          <t>runtime</t>
        </is>
      </c>
      <c r="C15" s="10" t="inlineStr">
        <is>
          <t>Definir, validar e manter: Runtime</t>
        </is>
      </c>
      <c r="D15" s="11" t="n"/>
      <c r="E15" s="12" t="inlineStr">
        <is>
          <t>baixa</t>
        </is>
      </c>
    </row>
    <row r="16">
      <c r="A16" s="9" t="inlineStr">
        <is>
          <t>D12-DOC-ETE-001.APPLICATIONS.APP</t>
        </is>
      </c>
      <c r="B16" s="10" t="inlineStr">
        <is>
          <t>app</t>
        </is>
      </c>
      <c r="C16" s="10" t="inlineStr">
        <is>
          <t>Definir, validar e manter: App</t>
        </is>
      </c>
      <c r="D16" s="11" t="n"/>
      <c r="E16" s="12" t="inlineStr">
        <is>
          <t>baixa</t>
        </is>
      </c>
    </row>
    <row r="17">
      <c r="A17" s="9" t="inlineStr">
        <is>
          <t>D12-DOC-ETE-001.APPLICATIONS.RESPONSABILIDADE</t>
        </is>
      </c>
      <c r="B17" s="10" t="inlineStr">
        <is>
          <t>responsabilidade</t>
        </is>
      </c>
      <c r="C17" s="10" t="inlineStr">
        <is>
          <t>Definir, validar e manter: Responsabilidade</t>
        </is>
      </c>
      <c r="D17" s="11" t="n"/>
      <c r="E17" s="12" t="inlineStr">
        <is>
          <t>baixa</t>
        </is>
      </c>
    </row>
    <row r="18">
      <c r="A18" s="9" t="inlineStr">
        <is>
          <t>D12-DOC-ETE-001.PACKAGES.PACKAGE</t>
        </is>
      </c>
      <c r="B18" s="10" t="inlineStr">
        <is>
          <t>package</t>
        </is>
      </c>
      <c r="C18" s="10" t="inlineStr">
        <is>
          <t>Definir, validar e manter: Package</t>
        </is>
      </c>
      <c r="D18" s="11" t="n"/>
      <c r="E18" s="12" t="inlineStr">
        <is>
          <t>alta</t>
        </is>
      </c>
    </row>
    <row r="19">
      <c r="A19" s="9" t="inlineStr">
        <is>
          <t>D12-DOC-ETE-001.PACKAGES.RESPONSABILIDADE</t>
        </is>
      </c>
      <c r="B19" s="10" t="inlineStr">
        <is>
          <t>responsabilidade</t>
        </is>
      </c>
      <c r="C19" s="10" t="inlineStr">
        <is>
          <t>Definir, validar e manter: Responsabilidade</t>
        </is>
      </c>
      <c r="D19" s="11" t="n"/>
      <c r="E19" s="12" t="inlineStr">
        <is>
          <t>baixa</t>
        </is>
      </c>
    </row>
    <row r="20">
      <c r="A20" s="9" t="inlineStr">
        <is>
          <t>D12-DOC-ETE-001.INTERFACES.API</t>
        </is>
      </c>
      <c r="B20" s="10" t="inlineStr">
        <is>
          <t>api</t>
        </is>
      </c>
      <c r="C20" s="10" t="inlineStr">
        <is>
          <t>Definir, validar e manter: API</t>
        </is>
      </c>
      <c r="D20" s="11" t="n"/>
      <c r="E20" s="12" t="inlineStr">
        <is>
          <t>baixa</t>
        </is>
      </c>
    </row>
    <row r="21">
      <c r="A21" s="9" t="inlineStr">
        <is>
          <t>D12-DOC-ETE-001.INTERFACES.EVENTOS</t>
        </is>
      </c>
      <c r="B21" s="10" t="inlineStr">
        <is>
          <t>eventos</t>
        </is>
      </c>
      <c r="C21" s="10" t="inlineStr">
        <is>
          <t>Definir, validar e manter: Eventos</t>
        </is>
      </c>
      <c r="D21" s="11" t="n"/>
      <c r="E21" s="12" t="inlineStr">
        <is>
          <t>baixa</t>
        </is>
      </c>
    </row>
    <row r="22">
      <c r="A22" s="9" t="inlineStr">
        <is>
          <t>D12-DOC-ETE-001.INTERFACES.WEBHOOKS</t>
        </is>
      </c>
      <c r="B22" s="10" t="inlineStr">
        <is>
          <t>webhooks</t>
        </is>
      </c>
      <c r="C22" s="10" t="inlineStr">
        <is>
          <t>Definir, validar e manter: Webhooks</t>
        </is>
      </c>
      <c r="D22" s="11" t="n"/>
      <c r="E22" s="12" t="inlineStr">
        <is>
          <t>baixa</t>
        </is>
      </c>
    </row>
    <row r="23">
      <c r="A23" s="9" t="inlineStr">
        <is>
          <t>D12-DOC-ETE-001.DATA.BANCO</t>
        </is>
      </c>
      <c r="B23" s="10" t="inlineStr">
        <is>
          <t>banco</t>
        </is>
      </c>
      <c r="C23" s="10" t="inlineStr">
        <is>
          <t>Definir, validar e manter: Banco</t>
        </is>
      </c>
      <c r="D23" s="11" t="n"/>
      <c r="E23" s="12" t="inlineStr">
        <is>
          <t>baixa</t>
        </is>
      </c>
    </row>
    <row r="24">
      <c r="A24" s="9" t="inlineStr">
        <is>
          <t>D12-DOC-ETE-001.DATA.SCHEMA</t>
        </is>
      </c>
      <c r="B24" s="10" t="inlineStr">
        <is>
          <t>schema</t>
        </is>
      </c>
      <c r="C24" s="10" t="inlineStr">
        <is>
          <t>Definir, validar e manter: Schema</t>
        </is>
      </c>
      <c r="D24" s="11" t="n"/>
      <c r="E24" s="12" t="inlineStr">
        <is>
          <t>baixa</t>
        </is>
      </c>
    </row>
    <row r="25">
      <c r="A25" s="9" t="inlineStr">
        <is>
          <t>D12-DOC-ETE-001.DATA.MIGRACOES</t>
        </is>
      </c>
      <c r="B25" s="10" t="inlineStr">
        <is>
          <t>migracoes</t>
        </is>
      </c>
      <c r="C25" s="10" t="inlineStr">
        <is>
          <t>Definir, validar e manter: Migracoes</t>
        </is>
      </c>
      <c r="D25" s="11" t="n"/>
      <c r="E25" s="12" t="inlineStr">
        <is>
          <t>baixa</t>
        </is>
      </c>
    </row>
    <row r="26">
      <c r="A26" s="9" t="inlineStr">
        <is>
          <t>D12-DOC-ETE-001.AUTHENTICATION.AUTH</t>
        </is>
      </c>
      <c r="B26" s="10" t="inlineStr">
        <is>
          <t>auth</t>
        </is>
      </c>
      <c r="C26" s="10" t="inlineStr">
        <is>
          <t>Definir, validar e manter: Auth</t>
        </is>
      </c>
      <c r="D26" s="11" t="n"/>
      <c r="E26" s="12" t="inlineStr">
        <is>
          <t>baixa</t>
        </is>
      </c>
    </row>
    <row r="27">
      <c r="A27" s="9" t="inlineStr">
        <is>
          <t>D12-DOC-ETE-001.AUTHENTICATION.AUTORIZACAO</t>
        </is>
      </c>
      <c r="B27" s="10" t="inlineStr">
        <is>
          <t>autorizacao</t>
        </is>
      </c>
      <c r="C27" s="10" t="inlineStr">
        <is>
          <t>Definir, validar e manter: Autorizacao</t>
        </is>
      </c>
      <c r="D27" s="11" t="n"/>
      <c r="E27" s="12" t="inlineStr">
        <is>
          <t>baixa</t>
        </is>
      </c>
    </row>
    <row r="28">
      <c r="A28" s="9" t="inlineStr">
        <is>
          <t>D12-DOC-ETE-001.INTEGRATIONS.SERVICO</t>
        </is>
      </c>
      <c r="B28" s="10" t="inlineStr">
        <is>
          <t>servico</t>
        </is>
      </c>
      <c r="C28" s="10" t="inlineStr">
        <is>
          <t>Definir, validar e manter: Servico</t>
        </is>
      </c>
      <c r="D28" s="11" t="n"/>
      <c r="E28" s="12" t="inlineStr">
        <is>
          <t>media</t>
        </is>
      </c>
    </row>
    <row r="29">
      <c r="A29" s="9" t="inlineStr">
        <is>
          <t>D12-DOC-ETE-001.INTEGRATIONS.CONTRATO</t>
        </is>
      </c>
      <c r="B29" s="10" t="inlineStr">
        <is>
          <t>contrato</t>
        </is>
      </c>
      <c r="C29" s="10" t="inlineStr">
        <is>
          <t>Definir, validar e manter: Contrato</t>
        </is>
      </c>
      <c r="D29" s="11" t="n"/>
      <c r="E29" s="12" t="inlineStr">
        <is>
          <t>baixa</t>
        </is>
      </c>
    </row>
    <row r="30">
      <c r="A30" s="9" t="inlineStr">
        <is>
          <t>D12-DOC-ETE-001.INFRASTRUCTURE.HOSTING</t>
        </is>
      </c>
      <c r="B30" s="10" t="inlineStr">
        <is>
          <t>hosting</t>
        </is>
      </c>
      <c r="C30" s="10" t="inlineStr">
        <is>
          <t>Definir, validar e manter: Hosting</t>
        </is>
      </c>
      <c r="D30" s="11" t="n"/>
      <c r="E30" s="12" t="inlineStr">
        <is>
          <t>baixa</t>
        </is>
      </c>
    </row>
    <row r="31">
      <c r="A31" s="9" t="inlineStr">
        <is>
          <t>D12-DOC-ETE-001.INFRASTRUCTURE.STORAGE</t>
        </is>
      </c>
      <c r="B31" s="10" t="inlineStr">
        <is>
          <t>storage</t>
        </is>
      </c>
      <c r="C31" s="10" t="inlineStr">
        <is>
          <t>Definir, validar e manter: Storage</t>
        </is>
      </c>
      <c r="D31" s="11" t="n"/>
      <c r="E31" s="12" t="inlineStr">
        <is>
          <t>baixa</t>
        </is>
      </c>
    </row>
    <row r="32">
      <c r="A32" s="9" t="inlineStr">
        <is>
          <t>D12-DOC-ETE-001.INFRASTRUCTURE.NETWORK</t>
        </is>
      </c>
      <c r="B32" s="10" t="inlineStr">
        <is>
          <t>network</t>
        </is>
      </c>
      <c r="C32" s="10" t="inlineStr">
        <is>
          <t>Definir, validar e manter: Network</t>
        </is>
      </c>
      <c r="D32" s="11" t="n"/>
      <c r="E32" s="12" t="inlineStr">
        <is>
          <t>baixa</t>
        </is>
      </c>
    </row>
    <row r="33">
      <c r="A33" s="9" t="inlineStr">
        <is>
          <t>D12-DOC-ETE-001.ENVIRONMENTS.LOCAL</t>
        </is>
      </c>
      <c r="B33" s="10" t="inlineStr">
        <is>
          <t>local</t>
        </is>
      </c>
      <c r="C33" s="10" t="inlineStr">
        <is>
          <t>Definir, validar e manter: Local</t>
        </is>
      </c>
      <c r="D33" s="11" t="n"/>
      <c r="E33" s="12" t="inlineStr">
        <is>
          <t>baixa</t>
        </is>
      </c>
    </row>
    <row r="34">
      <c r="A34" s="9" t="inlineStr">
        <is>
          <t>D12-DOC-ETE-001.ENVIRONMENTS.PREVIEW</t>
        </is>
      </c>
      <c r="B34" s="10" t="inlineStr">
        <is>
          <t>preview</t>
        </is>
      </c>
      <c r="C34" s="10" t="inlineStr">
        <is>
          <t>Definir, validar e manter: Preview</t>
        </is>
      </c>
      <c r="D34" s="11" t="n"/>
      <c r="E34" s="12" t="inlineStr">
        <is>
          <t>baixa</t>
        </is>
      </c>
    </row>
    <row r="35">
      <c r="A35" s="9" t="inlineStr">
        <is>
          <t>D12-DOC-ETE-001.ENVIRONMENTS.STAGING</t>
        </is>
      </c>
      <c r="B35" s="10" t="inlineStr">
        <is>
          <t>staging</t>
        </is>
      </c>
      <c r="C35" s="10" t="inlineStr">
        <is>
          <t>Definir, validar e manter: Staging</t>
        </is>
      </c>
      <c r="D35" s="11" t="n"/>
      <c r="E35" s="12" t="inlineStr">
        <is>
          <t>baixa</t>
        </is>
      </c>
    </row>
    <row r="36">
      <c r="A36" s="9" t="inlineStr">
        <is>
          <t>D12-DOC-ETE-001.ENVIRONMENTS.PRODUCTION</t>
        </is>
      </c>
      <c r="B36" s="10" t="inlineStr">
        <is>
          <t>production</t>
        </is>
      </c>
      <c r="C36" s="10" t="inlineStr">
        <is>
          <t>Definir, validar e manter: Production</t>
        </is>
      </c>
      <c r="D36" s="11" t="n"/>
      <c r="E36" s="12" t="inlineStr">
        <is>
          <t>baixa</t>
        </is>
      </c>
    </row>
    <row r="37">
      <c r="A37" s="9" t="inlineStr">
        <is>
          <t>D12-DOC-ETE-001.CICD.BUILD</t>
        </is>
      </c>
      <c r="B37" s="10" t="inlineStr">
        <is>
          <t>build</t>
        </is>
      </c>
      <c r="C37" s="10" t="inlineStr">
        <is>
          <t>Definir, validar e manter: Build</t>
        </is>
      </c>
      <c r="D37" s="11" t="n"/>
      <c r="E37" s="12" t="inlineStr">
        <is>
          <t>baixa</t>
        </is>
      </c>
    </row>
    <row r="38">
      <c r="A38" s="9" t="inlineStr">
        <is>
          <t>D12-DOC-ETE-001.CICD.TEST</t>
        </is>
      </c>
      <c r="B38" s="10" t="inlineStr">
        <is>
          <t>test</t>
        </is>
      </c>
      <c r="C38" s="10" t="inlineStr">
        <is>
          <t>Definir, validar e manter: Test</t>
        </is>
      </c>
      <c r="D38" s="11" t="n"/>
      <c r="E38" s="12" t="inlineStr">
        <is>
          <t>baixa</t>
        </is>
      </c>
    </row>
    <row r="39">
      <c r="A39" s="9" t="inlineStr">
        <is>
          <t>D12-DOC-ETE-001.CICD.DEPLOY</t>
        </is>
      </c>
      <c r="B39" s="10" t="inlineStr">
        <is>
          <t>deploy</t>
        </is>
      </c>
      <c r="C39" s="10" t="inlineStr">
        <is>
          <t>Definir, validar e manter: Deploy</t>
        </is>
      </c>
      <c r="D39" s="11" t="n"/>
      <c r="E39" s="12" t="inlineStr">
        <is>
          <t>baixa</t>
        </is>
      </c>
    </row>
    <row r="40">
      <c r="A40" s="9" t="inlineStr">
        <is>
          <t>D12-DOC-ETE-001.OBSERVABILITY.LOGS</t>
        </is>
      </c>
      <c r="B40" s="10" t="inlineStr">
        <is>
          <t>logs</t>
        </is>
      </c>
      <c r="C40" s="10" t="inlineStr">
        <is>
          <t>Definir, validar e manter: Logs</t>
        </is>
      </c>
      <c r="D40" s="11" t="n"/>
      <c r="E40" s="12" t="inlineStr">
        <is>
          <t>baixa</t>
        </is>
      </c>
    </row>
    <row r="41">
      <c r="A41" s="9" t="inlineStr">
        <is>
          <t>D12-DOC-ETE-001.OBSERVABILITY.METRICS</t>
        </is>
      </c>
      <c r="B41" s="10" t="inlineStr">
        <is>
          <t>metrics</t>
        </is>
      </c>
      <c r="C41" s="10" t="inlineStr">
        <is>
          <t>Definir, validar e manter: Metrics</t>
        </is>
      </c>
      <c r="D41" s="11" t="n"/>
      <c r="E41" s="12" t="inlineStr">
        <is>
          <t>baixa</t>
        </is>
      </c>
    </row>
    <row r="42">
      <c r="A42" s="9" t="inlineStr">
        <is>
          <t>D12-DOC-ETE-001.OBSERVABILITY.ERRORS</t>
        </is>
      </c>
      <c r="B42" s="10" t="inlineStr">
        <is>
          <t>errors</t>
        </is>
      </c>
      <c r="C42" s="10" t="inlineStr">
        <is>
          <t>Definir, validar e manter: Errors</t>
        </is>
      </c>
      <c r="D42" s="11" t="n"/>
      <c r="E42" s="12" t="inlineStr">
        <is>
          <t>baixa</t>
        </is>
      </c>
    </row>
    <row r="43">
      <c r="A43" s="9" t="inlineStr">
        <is>
          <t>D12-DOC-ETE-001.PERFORMANCE.BUDGETS</t>
        </is>
      </c>
      <c r="B43" s="10" t="inlineStr">
        <is>
          <t>budgets</t>
        </is>
      </c>
      <c r="C43" s="10" t="inlineStr">
        <is>
          <t>Definir, validar e manter: Budgets</t>
        </is>
      </c>
      <c r="D43" s="11" t="n"/>
      <c r="E43" s="12" t="inlineStr">
        <is>
          <t>baixa</t>
        </is>
      </c>
    </row>
    <row r="44">
      <c r="A44" s="9" t="inlineStr">
        <is>
          <t>D12-DOC-ETE-001.PERFORMANCE.LIMITES</t>
        </is>
      </c>
      <c r="B44" s="10" t="inlineStr">
        <is>
          <t>limites</t>
        </is>
      </c>
      <c r="C44" s="10" t="inlineStr">
        <is>
          <t>Definir, validar e manter: Limites</t>
        </is>
      </c>
      <c r="D44" s="11" t="n"/>
      <c r="E44" s="12" t="inlineStr">
        <is>
          <t>baixa</t>
        </is>
      </c>
    </row>
    <row r="45">
      <c r="A45" s="9" t="inlineStr">
        <is>
          <t>D12-DOC-ETE-001.SECURITY.SECRETS</t>
        </is>
      </c>
      <c r="B45" s="10" t="inlineStr">
        <is>
          <t>secrets</t>
        </is>
      </c>
      <c r="C45" s="10" t="inlineStr">
        <is>
          <t>Definir, validar e manter: Secrets</t>
        </is>
      </c>
      <c r="D45" s="11" t="n"/>
      <c r="E45" s="12" t="inlineStr">
        <is>
          <t>baixa</t>
        </is>
      </c>
    </row>
    <row r="46">
      <c r="A46" s="9" t="inlineStr">
        <is>
          <t>D12-DOC-ETE-001.SECURITY.HEADERS</t>
        </is>
      </c>
      <c r="B46" s="10" t="inlineStr">
        <is>
          <t>headers</t>
        </is>
      </c>
      <c r="C46" s="10" t="inlineStr">
        <is>
          <t>Definir, validar e manter: Headers</t>
        </is>
      </c>
      <c r="D46" s="11" t="n"/>
      <c r="E46" s="12" t="inlineStr">
        <is>
          <t>baixa</t>
        </is>
      </c>
    </row>
    <row r="47">
      <c r="A47" s="9" t="inlineStr">
        <is>
          <t>D12-DOC-ETE-001.SECURITY.RATE_LIMIT</t>
        </is>
      </c>
      <c r="B47" s="10" t="inlineStr">
        <is>
          <t>rate_limit</t>
        </is>
      </c>
      <c r="C47" s="10" t="inlineStr">
        <is>
          <t>Definir, validar e manter: Rate Limit</t>
        </is>
      </c>
      <c r="D47" s="11" t="n"/>
      <c r="E47" s="12" t="inlineStr">
        <is>
          <t>baixa</t>
        </is>
      </c>
    </row>
    <row r="48">
      <c r="A48" s="9" t="inlineStr">
        <is>
          <t>D12-DOC-ETE-001.TESTING.UNITARIO</t>
        </is>
      </c>
      <c r="B48" s="10" t="inlineStr">
        <is>
          <t>unitario</t>
        </is>
      </c>
      <c r="C48" s="10" t="inlineStr">
        <is>
          <t>Definir, validar e manter: Unitario</t>
        </is>
      </c>
      <c r="D48" s="11" t="n"/>
      <c r="E48" s="12" t="inlineStr">
        <is>
          <t>baixa</t>
        </is>
      </c>
    </row>
    <row r="49">
      <c r="A49" s="9" t="inlineStr">
        <is>
          <t>D12-DOC-ETE-001.TESTING.INTEGRACAO</t>
        </is>
      </c>
      <c r="B49" s="10" t="inlineStr">
        <is>
          <t>integracao</t>
        </is>
      </c>
      <c r="C49" s="10" t="inlineStr">
        <is>
          <t>Definir, validar e manter: Integracao</t>
        </is>
      </c>
      <c r="D49" s="11" t="n"/>
      <c r="E49" s="12" t="inlineStr">
        <is>
          <t>baixa</t>
        </is>
      </c>
    </row>
    <row r="50">
      <c r="A50" s="9" t="inlineStr">
        <is>
          <t>D12-DOC-ETE-001.TESTING.E2E</t>
        </is>
      </c>
      <c r="B50" s="10" t="inlineStr">
        <is>
          <t>e2e</t>
        </is>
      </c>
      <c r="C50" s="10" t="inlineStr">
        <is>
          <t>Definir, validar e manter: E2e</t>
        </is>
      </c>
      <c r="D50" s="11" t="n"/>
      <c r="E50" s="12" t="inlineStr">
        <is>
          <t>baixa</t>
        </is>
      </c>
    </row>
    <row r="51">
      <c r="A51" s="9" t="inlineStr">
        <is>
          <t>D12-DOC-ETE-001.DEPLOYMENT.PROCESSO</t>
        </is>
      </c>
      <c r="B51" s="10" t="inlineStr">
        <is>
          <t>processo</t>
        </is>
      </c>
      <c r="C51" s="10" t="inlineStr">
        <is>
          <t>Definir, validar e manter: Processo</t>
        </is>
      </c>
      <c r="D51" s="11" t="n"/>
      <c r="E51" s="12" t="inlineStr">
        <is>
          <t>baixa</t>
        </is>
      </c>
    </row>
    <row r="52">
      <c r="A52" s="9" t="inlineStr">
        <is>
          <t>D12-DOC-ETE-001.DEPLOYMENT.RELEASE</t>
        </is>
      </c>
      <c r="B52" s="10" t="inlineStr">
        <is>
          <t>release</t>
        </is>
      </c>
      <c r="C52" s="10" t="inlineStr">
        <is>
          <t>Definir, validar e manter: Release</t>
        </is>
      </c>
      <c r="D52" s="11" t="n"/>
      <c r="E52" s="12" t="inlineStr">
        <is>
          <t>baixa</t>
        </is>
      </c>
    </row>
    <row r="53">
      <c r="A53" s="9" t="inlineStr">
        <is>
          <t>D12-DOC-ETE-001.ROLLBACK.CONDICAO</t>
        </is>
      </c>
      <c r="B53" s="10" t="inlineStr">
        <is>
          <t>condicao</t>
        </is>
      </c>
      <c r="C53" s="10" t="inlineStr">
        <is>
          <t>Definir, validar e manter: Condicao</t>
        </is>
      </c>
      <c r="D53" s="11" t="n"/>
      <c r="E53" s="12" t="inlineStr">
        <is>
          <t>baixa</t>
        </is>
      </c>
    </row>
    <row r="54">
      <c r="A54" s="9" t="inlineStr">
        <is>
          <t>D12-DOC-ETE-001.ROLLBACK.PROCEDIMENTO</t>
        </is>
      </c>
      <c r="B54" s="10" t="inlineStr">
        <is>
          <t>procedimento</t>
        </is>
      </c>
      <c r="C54" s="10" t="inlineStr">
        <is>
          <t>Definir, validar e manter: Procedimento</t>
        </is>
      </c>
      <c r="D54" s="11" t="n"/>
      <c r="E54" s="12" t="inlineStr">
        <is>
          <t>baixa</t>
        </is>
      </c>
    </row>
    <row r="55">
      <c r="A55" s="9" t="inlineStr">
        <is>
          <t>D12-DOC-ETE-001.ADR_LINKS.DECISOES_ARQUITETURAIS</t>
        </is>
      </c>
      <c r="B55" s="10" t="inlineStr">
        <is>
          <t>decisoes_arquiteturais</t>
        </is>
      </c>
      <c r="C55" s="10" t="inlineStr">
        <is>
          <t>Definir, validar e manter: Decisoes Arquiteturais</t>
        </is>
      </c>
      <c r="D55" s="11" t="n"/>
      <c r="E55" s="12" t="inlineStr">
        <is>
          <t>alta</t>
        </is>
      </c>
    </row>
  </sheetData>
  <mergeCells count="3">
    <mergeCell ref="A6:E6"/>
    <mergeCell ref="A7:E7"/>
    <mergeCell ref="A4:E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G51"/>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COUNTA(D7:D52)&amp;" / 43"</f>
        <v/>
      </c>
    </row>
    <row r="4">
      <c r="A4" s="5" t="inlineStr">
        <is>
          <t>A05 — Operações, Plataforma, Deploy e Segurança</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D08 — Operações</t>
        </is>
      </c>
      <c r="B6" s="6" t="n"/>
      <c r="C6" s="6" t="n"/>
      <c r="D6" s="6" t="n"/>
      <c r="E6" s="7" t="n"/>
    </row>
    <row r="7">
      <c r="A7" s="8" t="inlineStr">
        <is>
          <t>Artefato D08-DOC-MOP-001 — Manual de Operações</t>
        </is>
      </c>
      <c r="B7" s="6" t="n"/>
      <c r="C7" s="6" t="n"/>
      <c r="D7" s="6" t="n"/>
      <c r="E7" s="7" t="n"/>
    </row>
    <row r="8">
      <c r="A8" s="9" t="inlineStr">
        <is>
          <t>D08-DOC-MOP-001.OPERATING_MODEL.SERVICOS</t>
        </is>
      </c>
      <c r="B8" s="10" t="inlineStr">
        <is>
          <t>servicos</t>
        </is>
      </c>
      <c r="C8" s="10" t="inlineStr">
        <is>
          <t>Definir, validar e manter: Servicos</t>
        </is>
      </c>
      <c r="D8" s="11" t="n"/>
      <c r="E8" s="12" t="inlineStr">
        <is>
          <t>baixa</t>
        </is>
      </c>
    </row>
    <row r="9">
      <c r="A9" s="9" t="inlineStr">
        <is>
          <t>D08-DOC-MOP-001.OPERATING_MODEL.PROCESSOS</t>
        </is>
      </c>
      <c r="B9" s="10" t="inlineStr">
        <is>
          <t>processos</t>
        </is>
      </c>
      <c r="C9" s="10" t="inlineStr">
        <is>
          <t>Definir, validar e manter: Processos</t>
        </is>
      </c>
      <c r="D9" s="11" t="n"/>
      <c r="E9" s="12" t="inlineStr">
        <is>
          <t>alta</t>
        </is>
      </c>
    </row>
    <row r="10">
      <c r="A10" s="9" t="inlineStr">
        <is>
          <t>D08-DOC-MOP-001.PROCESS_INVENTORY.PROCESSO</t>
        </is>
      </c>
      <c r="B10" s="10" t="inlineStr">
        <is>
          <t>processo</t>
        </is>
      </c>
      <c r="C10" s="10" t="inlineStr">
        <is>
          <t>Definir, validar e manter: Processo</t>
        </is>
      </c>
      <c r="D10" s="11" t="n"/>
      <c r="E10" s="12" t="inlineStr">
        <is>
          <t>alta</t>
        </is>
      </c>
    </row>
    <row r="11">
      <c r="A11" s="9" t="inlineStr">
        <is>
          <t>D08-DOC-MOP-001.PROCESS_INVENTORY.OBJETIVO</t>
        </is>
      </c>
      <c r="B11" s="10" t="inlineStr">
        <is>
          <t>objetivo</t>
        </is>
      </c>
      <c r="C11" s="10" t="inlineStr">
        <is>
          <t>Definir, validar e manter: Objetivo</t>
        </is>
      </c>
      <c r="D11" s="11" t="n"/>
      <c r="E11" s="12" t="inlineStr">
        <is>
          <t>baixa</t>
        </is>
      </c>
    </row>
    <row r="12">
      <c r="A12" s="9" t="inlineStr">
        <is>
          <t>D08-DOC-MOP-001.PROCESS_INVENTORY.OWNER</t>
        </is>
      </c>
      <c r="B12" s="10" t="inlineStr">
        <is>
          <t>owner</t>
        </is>
      </c>
      <c r="C12" s="10" t="inlineStr">
        <is>
          <t>Definir, validar e manter: Owner</t>
        </is>
      </c>
      <c r="D12" s="11" t="n"/>
      <c r="E12" s="12" t="inlineStr">
        <is>
          <t>baixa</t>
        </is>
      </c>
    </row>
    <row r="13">
      <c r="A13" s="9" t="inlineStr">
        <is>
          <t>D08-DOC-MOP-001.INPUTS.ENTRADA</t>
        </is>
      </c>
      <c r="B13" s="10" t="inlineStr">
        <is>
          <t>entrada</t>
        </is>
      </c>
      <c r="C13" s="10" t="inlineStr">
        <is>
          <t>Definir, validar e manter: Entrada</t>
        </is>
      </c>
      <c r="D13" s="11" t="n"/>
      <c r="E13" s="12" t="inlineStr">
        <is>
          <t>baixa</t>
        </is>
      </c>
    </row>
    <row r="14">
      <c r="A14" s="9" t="inlineStr">
        <is>
          <t>D08-DOC-MOP-001.INPUTS.ORIGEM</t>
        </is>
      </c>
      <c r="B14" s="10" t="inlineStr">
        <is>
          <t>origem</t>
        </is>
      </c>
      <c r="C14" s="10" t="inlineStr">
        <is>
          <t>Definir, validar e manter: Origem</t>
        </is>
      </c>
      <c r="D14" s="11" t="n"/>
      <c r="E14" s="12" t="inlineStr">
        <is>
          <t>baixa</t>
        </is>
      </c>
    </row>
    <row r="15">
      <c r="A15" s="9" t="inlineStr">
        <is>
          <t>D08-DOC-MOP-001.PROCEDURES.ETAPAS</t>
        </is>
      </c>
      <c r="B15" s="10" t="inlineStr">
        <is>
          <t>etapas</t>
        </is>
      </c>
      <c r="C15" s="10" t="inlineStr">
        <is>
          <t>Definir, validar e manter: Etapas</t>
        </is>
      </c>
      <c r="D15" s="11" t="n"/>
      <c r="E15" s="12" t="inlineStr">
        <is>
          <t>baixa</t>
        </is>
      </c>
    </row>
    <row r="16">
      <c r="A16" s="9" t="inlineStr">
        <is>
          <t>D08-DOC-MOP-001.PROCEDURES.REGRA</t>
        </is>
      </c>
      <c r="B16" s="10" t="inlineStr">
        <is>
          <t>regra</t>
        </is>
      </c>
      <c r="C16" s="10" t="inlineStr">
        <is>
          <t>Definir, validar e manter: Regra</t>
        </is>
      </c>
      <c r="D16" s="11" t="n"/>
      <c r="E16" s="12" t="inlineStr">
        <is>
          <t>baixa</t>
        </is>
      </c>
    </row>
    <row r="17">
      <c r="A17" s="9" t="inlineStr">
        <is>
          <t>D08-DOC-MOP-001.OUTPUTS.SAIDA</t>
        </is>
      </c>
      <c r="B17" s="10" t="inlineStr">
        <is>
          <t>saida</t>
        </is>
      </c>
      <c r="C17" s="10" t="inlineStr">
        <is>
          <t>Definir, validar e manter: Saida</t>
        </is>
      </c>
      <c r="D17" s="11" t="n"/>
      <c r="E17" s="12" t="inlineStr">
        <is>
          <t>baixa</t>
        </is>
      </c>
    </row>
    <row r="18">
      <c r="A18" s="9" t="inlineStr">
        <is>
          <t>D08-DOC-MOP-001.OUTPUTS.CONSUMIDOR</t>
        </is>
      </c>
      <c r="B18" s="10" t="inlineStr">
        <is>
          <t>consumidor</t>
        </is>
      </c>
      <c r="C18" s="10" t="inlineStr">
        <is>
          <t>Definir, validar e manter: Consumidor</t>
        </is>
      </c>
      <c r="D18" s="11" t="n"/>
      <c r="E18" s="12" t="inlineStr">
        <is>
          <t>baixa</t>
        </is>
      </c>
    </row>
    <row r="19">
      <c r="A19" s="9" t="inlineStr">
        <is>
          <t>D08-DOC-MOP-001.ROLES.EXECUTOR</t>
        </is>
      </c>
      <c r="B19" s="10" t="inlineStr">
        <is>
          <t>executor</t>
        </is>
      </c>
      <c r="C19" s="10" t="inlineStr">
        <is>
          <t>Definir, validar e manter: Executor</t>
        </is>
      </c>
      <c r="D19" s="11" t="n"/>
      <c r="E19" s="12" t="inlineStr">
        <is>
          <t>baixa</t>
        </is>
      </c>
    </row>
    <row r="20">
      <c r="A20" s="9" t="inlineStr">
        <is>
          <t>D08-DOC-MOP-001.ROLES.APROVADOR</t>
        </is>
      </c>
      <c r="B20" s="10" t="inlineStr">
        <is>
          <t>aprovador</t>
        </is>
      </c>
      <c r="C20" s="10" t="inlineStr">
        <is>
          <t>Definir, validar e manter: Aprovador</t>
        </is>
      </c>
      <c r="D20" s="11" t="n"/>
      <c r="E20" s="12" t="inlineStr">
        <is>
          <t>media</t>
        </is>
      </c>
    </row>
    <row r="21">
      <c r="A21" s="9" t="inlineStr">
        <is>
          <t>D08-DOC-MOP-001.CONTROLS.CONTROLE</t>
        </is>
      </c>
      <c r="B21" s="10" t="inlineStr">
        <is>
          <t>controle</t>
        </is>
      </c>
      <c r="C21" s="10" t="inlineStr">
        <is>
          <t>Definir, validar e manter: Controle</t>
        </is>
      </c>
      <c r="D21" s="11" t="n"/>
      <c r="E21" s="12" t="inlineStr">
        <is>
          <t>baixa</t>
        </is>
      </c>
    </row>
    <row r="22">
      <c r="A22" s="9" t="inlineStr">
        <is>
          <t>D08-DOC-MOP-001.CONTROLS.FREQUENCIA</t>
        </is>
      </c>
      <c r="B22" s="10" t="inlineStr">
        <is>
          <t>frequencia</t>
        </is>
      </c>
      <c r="C22" s="10" t="inlineStr">
        <is>
          <t>Definir, validar e manter: Frequencia</t>
        </is>
      </c>
      <c r="D22" s="11" t="n"/>
      <c r="E22" s="12" t="inlineStr">
        <is>
          <t>baixa</t>
        </is>
      </c>
    </row>
    <row r="23">
      <c r="A23" s="9" t="inlineStr">
        <is>
          <t>D08-DOC-MOP-001.SLA.SERVICO</t>
        </is>
      </c>
      <c r="B23" s="10" t="inlineStr">
        <is>
          <t>servico</t>
        </is>
      </c>
      <c r="C23" s="10" t="inlineStr">
        <is>
          <t>Definir, validar e manter: Servico</t>
        </is>
      </c>
      <c r="D23" s="11" t="n"/>
      <c r="E23" s="12" t="inlineStr">
        <is>
          <t>baixa</t>
        </is>
      </c>
    </row>
    <row r="24">
      <c r="A24" s="9" t="inlineStr">
        <is>
          <t>D08-DOC-MOP-001.SLA.META</t>
        </is>
      </c>
      <c r="B24" s="10" t="inlineStr">
        <is>
          <t>meta</t>
        </is>
      </c>
      <c r="C24" s="10" t="inlineStr">
        <is>
          <t>Definir, validar e manter: Meta</t>
        </is>
      </c>
      <c r="D24" s="11" t="n"/>
      <c r="E24" s="12" t="inlineStr">
        <is>
          <t>baixa</t>
        </is>
      </c>
    </row>
    <row r="25">
      <c r="A25" s="9" t="inlineStr">
        <is>
          <t>D08-DOC-MOP-001.HANDOFFS.ORIGEM</t>
        </is>
      </c>
      <c r="B25" s="10" t="inlineStr">
        <is>
          <t>origem</t>
        </is>
      </c>
      <c r="C25" s="10" t="inlineStr">
        <is>
          <t>Definir, validar e manter: Origem</t>
        </is>
      </c>
      <c r="D25" s="11" t="n"/>
      <c r="E25" s="12" t="inlineStr">
        <is>
          <t>baixa</t>
        </is>
      </c>
    </row>
    <row r="26">
      <c r="A26" s="9" t="inlineStr">
        <is>
          <t>D08-DOC-MOP-001.HANDOFFS.DESTINO</t>
        </is>
      </c>
      <c r="B26" s="10" t="inlineStr">
        <is>
          <t>destino</t>
        </is>
      </c>
      <c r="C26" s="10" t="inlineStr">
        <is>
          <t>Definir, validar e manter: Destino</t>
        </is>
      </c>
      <c r="D26" s="11" t="n"/>
      <c r="E26" s="12" t="inlineStr">
        <is>
          <t>baixa</t>
        </is>
      </c>
    </row>
    <row r="27">
      <c r="A27" s="9" t="inlineStr">
        <is>
          <t>D08-DOC-MOP-001.INCIDENTS.TIPO</t>
        </is>
      </c>
      <c r="B27" s="10" t="inlineStr">
        <is>
          <t>tipo</t>
        </is>
      </c>
      <c r="C27" s="10" t="inlineStr">
        <is>
          <t>Definir, validar e manter: Tipo</t>
        </is>
      </c>
      <c r="D27" s="11" t="n"/>
      <c r="E27" s="12" t="inlineStr">
        <is>
          <t>baixa</t>
        </is>
      </c>
    </row>
    <row r="28">
      <c r="A28" s="9" t="inlineStr">
        <is>
          <t>D08-DOC-MOP-001.INCIDENTS.RESPOSTA</t>
        </is>
      </c>
      <c r="B28" s="10" t="inlineStr">
        <is>
          <t>resposta</t>
        </is>
      </c>
      <c r="C28" s="10" t="inlineStr">
        <is>
          <t>Definir, validar e manter: Resposta</t>
        </is>
      </c>
      <c r="D28" s="11" t="n"/>
      <c r="E28" s="12" t="inlineStr">
        <is>
          <t>baixa</t>
        </is>
      </c>
    </row>
    <row r="29">
      <c r="A29" s="9" t="inlineStr">
        <is>
          <t>D08-DOC-MOP-001.CONTINUITY.BACKUP</t>
        </is>
      </c>
      <c r="B29" s="10" t="inlineStr">
        <is>
          <t>backup</t>
        </is>
      </c>
      <c r="C29" s="10" t="inlineStr">
        <is>
          <t>Definir, validar e manter: Backup</t>
        </is>
      </c>
      <c r="D29" s="11" t="n"/>
      <c r="E29" s="12" t="inlineStr">
        <is>
          <t>media</t>
        </is>
      </c>
    </row>
    <row r="30">
      <c r="A30" s="9" t="inlineStr">
        <is>
          <t>D08-DOC-MOP-001.CONTINUITY.CONTINGENCIA</t>
        </is>
      </c>
      <c r="B30" s="10" t="inlineStr">
        <is>
          <t>contingencia</t>
        </is>
      </c>
      <c r="C30" s="10" t="inlineStr">
        <is>
          <t>Definir, validar e manter: Contingencia</t>
        </is>
      </c>
      <c r="D30" s="11" t="n"/>
      <c r="E30" s="12" t="inlineStr">
        <is>
          <t>media</t>
        </is>
      </c>
    </row>
    <row r="31">
      <c r="A31" s="9" t="inlineStr">
        <is>
          <t>D08-DOC-MOP-001.METRICS.VOLUME</t>
        </is>
      </c>
      <c r="B31" s="10" t="inlineStr">
        <is>
          <t>volume</t>
        </is>
      </c>
      <c r="C31" s="10" t="inlineStr">
        <is>
          <t>Definir, validar e manter: Volume</t>
        </is>
      </c>
      <c r="D31" s="11" t="n"/>
      <c r="E31" s="12" t="inlineStr">
        <is>
          <t>baixa</t>
        </is>
      </c>
    </row>
    <row r="32">
      <c r="A32" s="9" t="inlineStr">
        <is>
          <t>D08-DOC-MOP-001.METRICS.TEMPO</t>
        </is>
      </c>
      <c r="B32" s="10" t="inlineStr">
        <is>
          <t>tempo</t>
        </is>
      </c>
      <c r="C32" s="10" t="inlineStr">
        <is>
          <t>Definir, validar e manter: Tempo</t>
        </is>
      </c>
      <c r="D32" s="11" t="n"/>
      <c r="E32" s="12" t="inlineStr">
        <is>
          <t>baixa</t>
        </is>
      </c>
    </row>
    <row r="33">
      <c r="A33" s="9" t="inlineStr">
        <is>
          <t>D08-DOC-MOP-001.METRICS.ERRO</t>
        </is>
      </c>
      <c r="B33" s="10" t="inlineStr">
        <is>
          <t>erro</t>
        </is>
      </c>
      <c r="C33" s="10" t="inlineStr">
        <is>
          <t>Definir, validar e manter: Erro</t>
        </is>
      </c>
      <c r="D33" s="11" t="n"/>
      <c r="E33" s="12" t="inlineStr">
        <is>
          <t>baixa</t>
        </is>
      </c>
    </row>
    <row r="34">
      <c r="A34" s="9" t="inlineStr">
        <is>
          <t>D08-DOC-MOP-001.METRICS.QUALIDADE</t>
        </is>
      </c>
      <c r="B34" s="10" t="inlineStr">
        <is>
          <t>qualidade</t>
        </is>
      </c>
      <c r="C34" s="10" t="inlineStr">
        <is>
          <t>Definir, validar e manter: Qualidade</t>
        </is>
      </c>
      <c r="D34" s="11" t="n"/>
      <c r="E34" s="12" t="inlineStr">
        <is>
          <t>alta</t>
        </is>
      </c>
    </row>
    <row r="35">
      <c r="A35" s="8" t="inlineStr">
        <is>
          <t>Artefato D08-DOC-RUN-001 — Runbook Operacional do Ecossistema</t>
        </is>
      </c>
      <c r="B35" s="6" t="n"/>
      <c r="C35" s="6" t="n"/>
      <c r="D35" s="6" t="n"/>
      <c r="E35" s="7" t="n"/>
    </row>
    <row r="36">
      <c r="A36" s="9" t="inlineStr">
        <is>
          <t>D08-DOC-RUN-001.SCHEMA.RUNBOOK_ID</t>
        </is>
      </c>
      <c r="B36" s="10" t="inlineStr">
        <is>
          <t>runbook_id</t>
        </is>
      </c>
      <c r="C36" s="10" t="inlineStr">
        <is>
          <t>Definir, validar e manter: Runbook ID</t>
        </is>
      </c>
      <c r="D36" s="11" t="n"/>
      <c r="E36" s="12" t="inlineStr">
        <is>
          <t>baixa</t>
        </is>
      </c>
    </row>
    <row r="37">
      <c r="A37" s="9" t="inlineStr">
        <is>
          <t>D08-DOC-RUN-001.SCHEMA.NOME</t>
        </is>
      </c>
      <c r="B37" s="10" t="inlineStr">
        <is>
          <t>nome</t>
        </is>
      </c>
      <c r="C37" s="10" t="inlineStr">
        <is>
          <t>Definir, validar e manter: Nome</t>
        </is>
      </c>
      <c r="D37" s="11" t="n"/>
      <c r="E37" s="12" t="inlineStr">
        <is>
          <t>baixa</t>
        </is>
      </c>
    </row>
    <row r="38">
      <c r="A38" s="9" t="inlineStr">
        <is>
          <t>D08-DOC-RUN-001.SCHEMA.OBJETIVO</t>
        </is>
      </c>
      <c r="B38" s="10" t="inlineStr">
        <is>
          <t>objetivo</t>
        </is>
      </c>
      <c r="C38" s="10" t="inlineStr">
        <is>
          <t>Definir, validar e manter: Objetivo</t>
        </is>
      </c>
      <c r="D38" s="11" t="n"/>
      <c r="E38" s="12" t="inlineStr">
        <is>
          <t>baixa</t>
        </is>
      </c>
    </row>
    <row r="39">
      <c r="A39" s="9" t="inlineStr">
        <is>
          <t>D08-DOC-RUN-001.SCHEMA.TRIGGER</t>
        </is>
      </c>
      <c r="B39" s="10" t="inlineStr">
        <is>
          <t>trigger</t>
        </is>
      </c>
      <c r="C39" s="10" t="inlineStr">
        <is>
          <t>Definir, validar e manter: Trigger</t>
        </is>
      </c>
      <c r="D39" s="11" t="n"/>
      <c r="E39" s="12" t="inlineStr">
        <is>
          <t>baixa</t>
        </is>
      </c>
    </row>
    <row r="40">
      <c r="A40" s="9" t="inlineStr">
        <is>
          <t>D08-DOC-RUN-001.SCHEMA.PRECONDICOES</t>
        </is>
      </c>
      <c r="B40" s="10" t="inlineStr">
        <is>
          <t>precondicoes</t>
        </is>
      </c>
      <c r="C40" s="10" t="inlineStr">
        <is>
          <t>Definir, validar e manter: Precondicoes</t>
        </is>
      </c>
      <c r="D40" s="11" t="n"/>
      <c r="E40" s="12" t="inlineStr">
        <is>
          <t>baixa</t>
        </is>
      </c>
    </row>
    <row r="41">
      <c r="A41" s="9" t="inlineStr">
        <is>
          <t>D08-DOC-RUN-001.SCHEMA.SISTEMAS</t>
        </is>
      </c>
      <c r="B41" s="10" t="inlineStr">
        <is>
          <t>sistemas</t>
        </is>
      </c>
      <c r="C41" s="10" t="inlineStr">
        <is>
          <t>Definir, validar e manter: Sistemas</t>
        </is>
      </c>
      <c r="D41" s="11" t="n"/>
      <c r="E41" s="12" t="inlineStr">
        <is>
          <t>baixa</t>
        </is>
      </c>
    </row>
    <row r="42">
      <c r="A42" s="9" t="inlineStr">
        <is>
          <t>D08-DOC-RUN-001.SCHEMA.CREDENCIAIS_NECESSARIAS</t>
        </is>
      </c>
      <c r="B42" s="10" t="inlineStr">
        <is>
          <t>credenciais_necessarias</t>
        </is>
      </c>
      <c r="C42" s="10" t="inlineStr">
        <is>
          <t>Definir, validar e manter: Credenciais Necessarias</t>
        </is>
      </c>
      <c r="D42" s="11" t="n"/>
      <c r="E42" s="12" t="inlineStr">
        <is>
          <t>baixa</t>
        </is>
      </c>
    </row>
    <row r="43">
      <c r="A43" s="9" t="inlineStr">
        <is>
          <t>D08-DOC-RUN-001.SCHEMA.PASSOS</t>
        </is>
      </c>
      <c r="B43" s="10" t="inlineStr">
        <is>
          <t>passos</t>
        </is>
      </c>
      <c r="C43" s="10" t="inlineStr">
        <is>
          <t>Definir, validar e manter: Passos</t>
        </is>
      </c>
      <c r="D43" s="11" t="n"/>
      <c r="E43" s="12" t="inlineStr">
        <is>
          <t>baixa</t>
        </is>
      </c>
    </row>
    <row r="44">
      <c r="A44" s="9" t="inlineStr">
        <is>
          <t>D08-DOC-RUN-001.SCHEMA.RESULTADO_ESPERADO</t>
        </is>
      </c>
      <c r="B44" s="10" t="inlineStr">
        <is>
          <t>resultado_esperado</t>
        </is>
      </c>
      <c r="C44" s="10" t="inlineStr">
        <is>
          <t>Definir, validar e manter: Resultado Esperado</t>
        </is>
      </c>
      <c r="D44" s="11" t="n"/>
      <c r="E44" s="12" t="inlineStr">
        <is>
          <t>baixa</t>
        </is>
      </c>
    </row>
    <row r="45">
      <c r="A45" s="9" t="inlineStr">
        <is>
          <t>D08-DOC-RUN-001.SCHEMA.VERIFICACAO</t>
        </is>
      </c>
      <c r="B45" s="10" t="inlineStr">
        <is>
          <t>verificacao</t>
        </is>
      </c>
      <c r="C45" s="10" t="inlineStr">
        <is>
          <t>Definir, validar e manter: Verificacao</t>
        </is>
      </c>
      <c r="D45" s="11" t="n"/>
      <c r="E45" s="12" t="inlineStr">
        <is>
          <t>media</t>
        </is>
      </c>
    </row>
    <row r="46">
      <c r="A46" s="9" t="inlineStr">
        <is>
          <t>D08-DOC-RUN-001.SCHEMA.EVIDENCIA</t>
        </is>
      </c>
      <c r="B46" s="10" t="inlineStr">
        <is>
          <t>evidencia</t>
        </is>
      </c>
      <c r="C46" s="10" t="inlineStr">
        <is>
          <t>Definir, validar e manter: Evidencia</t>
        </is>
      </c>
      <c r="D46" s="11" t="n"/>
      <c r="E46" s="12" t="inlineStr">
        <is>
          <t>baixa</t>
        </is>
      </c>
    </row>
    <row r="47">
      <c r="A47" s="9" t="inlineStr">
        <is>
          <t>D08-DOC-RUN-001.SCHEMA.EXCECOES</t>
        </is>
      </c>
      <c r="B47" s="10" t="inlineStr">
        <is>
          <t>excecoes</t>
        </is>
      </c>
      <c r="C47" s="10" t="inlineStr">
        <is>
          <t>Definir, validar e manter: Excecoes</t>
        </is>
      </c>
      <c r="D47" s="11" t="n"/>
      <c r="E47" s="12" t="inlineStr">
        <is>
          <t>alta</t>
        </is>
      </c>
    </row>
    <row r="48">
      <c r="A48" s="9" t="inlineStr">
        <is>
          <t>D08-DOC-RUN-001.SCHEMA.ROLLBACK</t>
        </is>
      </c>
      <c r="B48" s="10" t="inlineStr">
        <is>
          <t>rollback</t>
        </is>
      </c>
      <c r="C48" s="10" t="inlineStr">
        <is>
          <t>Definir, validar e manter: Rollback</t>
        </is>
      </c>
      <c r="D48" s="11" t="n"/>
      <c r="E48" s="12" t="inlineStr">
        <is>
          <t>baixa</t>
        </is>
      </c>
    </row>
    <row r="49">
      <c r="A49" s="9" t="inlineStr">
        <is>
          <t>D08-DOC-RUN-001.SCHEMA.ESCALACAO</t>
        </is>
      </c>
      <c r="B49" s="10" t="inlineStr">
        <is>
          <t>escalacao</t>
        </is>
      </c>
      <c r="C49" s="10" t="inlineStr">
        <is>
          <t>Definir, validar e manter: Escalacao</t>
        </is>
      </c>
      <c r="D49" s="11" t="n"/>
      <c r="E49" s="12" t="inlineStr">
        <is>
          <t>media</t>
        </is>
      </c>
    </row>
    <row r="50">
      <c r="A50" s="9" t="inlineStr">
        <is>
          <t>D08-DOC-RUN-001.SCHEMA.OWNER</t>
        </is>
      </c>
      <c r="B50" s="10" t="inlineStr">
        <is>
          <t>owner</t>
        </is>
      </c>
      <c r="C50" s="10" t="inlineStr">
        <is>
          <t>Definir, validar e manter: Owner</t>
        </is>
      </c>
      <c r="D50" s="11" t="n"/>
      <c r="E50" s="12" t="inlineStr">
        <is>
          <t>baixa</t>
        </is>
      </c>
    </row>
    <row r="51">
      <c r="A51" s="9" t="inlineStr">
        <is>
          <t>D08-DOC-RUN-001.SCHEMA.FREQUENCIA</t>
        </is>
      </c>
      <c r="B51" s="10" t="inlineStr">
        <is>
          <t>frequencia</t>
        </is>
      </c>
      <c r="C51" s="10" t="inlineStr">
        <is>
          <t>Definir, validar e manter: Frequencia</t>
        </is>
      </c>
      <c r="D51" s="11" t="n"/>
      <c r="E51" s="12" t="inlineStr">
        <is>
          <t>baixa</t>
        </is>
      </c>
    </row>
  </sheetData>
  <mergeCells count="4">
    <mergeCell ref="A6:E6"/>
    <mergeCell ref="A7:E7"/>
    <mergeCell ref="A4:E4"/>
    <mergeCell ref="A35:E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G156"/>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COUNTA(D7:D157)&amp;" / 142"</f>
        <v/>
      </c>
    </row>
    <row r="4">
      <c r="A4" s="5" t="inlineStr">
        <is>
          <t>A06 — Dados, Pesquisa e Conhecimento</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D05 — Dados</t>
        </is>
      </c>
      <c r="B6" s="6" t="n"/>
      <c r="C6" s="6" t="n"/>
      <c r="D6" s="6" t="n"/>
      <c r="E6" s="7" t="n"/>
    </row>
    <row r="7">
      <c r="A7" s="8" t="inlineStr">
        <is>
          <t>Artefato D05-DOC-EPGD-001 — Estratégia e Plano de Gestão de Dados</t>
        </is>
      </c>
      <c r="B7" s="6" t="n"/>
      <c r="C7" s="6" t="n"/>
      <c r="D7" s="6" t="n"/>
      <c r="E7" s="7" t="n"/>
    </row>
    <row r="8">
      <c r="A8" s="9" t="inlineStr">
        <is>
          <t>D05-DOC-EPGD-001.DATA_DOMAINS.DOMINIO</t>
        </is>
      </c>
      <c r="B8" s="10" t="inlineStr">
        <is>
          <t>dominio</t>
        </is>
      </c>
      <c r="C8" s="10" t="inlineStr">
        <is>
          <t>Definir, validar e manter: Dominio</t>
        </is>
      </c>
      <c r="D8" s="11" t="n"/>
      <c r="E8" s="12" t="inlineStr">
        <is>
          <t>baixa</t>
        </is>
      </c>
    </row>
    <row r="9">
      <c r="A9" s="9" t="inlineStr">
        <is>
          <t>D05-DOC-EPGD-001.DATA_DOMAINS.DESCRICAO</t>
        </is>
      </c>
      <c r="B9" s="10" t="inlineStr">
        <is>
          <t>descricao</t>
        </is>
      </c>
      <c r="C9" s="10" t="inlineStr">
        <is>
          <t>Definir, validar e manter: Descricao</t>
        </is>
      </c>
      <c r="D9" s="11" t="n"/>
      <c r="E9" s="12" t="inlineStr">
        <is>
          <t>baixa</t>
        </is>
      </c>
    </row>
    <row r="10">
      <c r="A10" s="9" t="inlineStr">
        <is>
          <t>D05-DOC-EPGD-001.DATA_DOMAINS.OWNER</t>
        </is>
      </c>
      <c r="B10" s="10" t="inlineStr">
        <is>
          <t>owner</t>
        </is>
      </c>
      <c r="C10" s="10" t="inlineStr">
        <is>
          <t>Definir, validar e manter: Owner</t>
        </is>
      </c>
      <c r="D10" s="11" t="n"/>
      <c r="E10" s="12" t="inlineStr">
        <is>
          <t>baixa</t>
        </is>
      </c>
    </row>
    <row r="11">
      <c r="A11" s="9" t="inlineStr">
        <is>
          <t>D05-DOC-EPGD-001.SOURCES.FONTE</t>
        </is>
      </c>
      <c r="B11" s="10" t="inlineStr">
        <is>
          <t>fonte</t>
        </is>
      </c>
      <c r="C11" s="10" t="inlineStr">
        <is>
          <t>Definir, validar e manter: Fonte</t>
        </is>
      </c>
      <c r="D11" s="11" t="n"/>
      <c r="E11" s="12" t="inlineStr">
        <is>
          <t>baixa</t>
        </is>
      </c>
    </row>
    <row r="12">
      <c r="A12" s="9" t="inlineStr">
        <is>
          <t>D05-DOC-EPGD-001.SOURCES.SISTEMA</t>
        </is>
      </c>
      <c r="B12" s="10" t="inlineStr">
        <is>
          <t>sistema</t>
        </is>
      </c>
      <c r="C12" s="10" t="inlineStr">
        <is>
          <t>Definir, validar e manter: Sistema</t>
        </is>
      </c>
      <c r="D12" s="11" t="n"/>
      <c r="E12" s="12" t="inlineStr">
        <is>
          <t>baixa</t>
        </is>
      </c>
    </row>
    <row r="13">
      <c r="A13" s="9" t="inlineStr">
        <is>
          <t>D05-DOC-EPGD-001.SOURCES.ORIGEM</t>
        </is>
      </c>
      <c r="B13" s="10" t="inlineStr">
        <is>
          <t>origem</t>
        </is>
      </c>
      <c r="C13" s="10" t="inlineStr">
        <is>
          <t>Definir, validar e manter: Origem</t>
        </is>
      </c>
      <c r="D13" s="11" t="n"/>
      <c r="E13" s="12" t="inlineStr">
        <is>
          <t>baixa</t>
        </is>
      </c>
    </row>
    <row r="14">
      <c r="A14" s="9" t="inlineStr">
        <is>
          <t>D05-DOC-EPGD-001.INGESTION.METODO</t>
        </is>
      </c>
      <c r="B14" s="10" t="inlineStr">
        <is>
          <t>metodo</t>
        </is>
      </c>
      <c r="C14" s="10" t="inlineStr">
        <is>
          <t>Definir, validar e manter: Metodo</t>
        </is>
      </c>
      <c r="D14" s="11" t="n"/>
      <c r="E14" s="12" t="inlineStr">
        <is>
          <t>baixa</t>
        </is>
      </c>
    </row>
    <row r="15">
      <c r="A15" s="9" t="inlineStr">
        <is>
          <t>D05-DOC-EPGD-001.INGESTION.FREQUENCIA</t>
        </is>
      </c>
      <c r="B15" s="10" t="inlineStr">
        <is>
          <t>frequencia</t>
        </is>
      </c>
      <c r="C15" s="10" t="inlineStr">
        <is>
          <t>Definir, validar e manter: Frequencia</t>
        </is>
      </c>
      <c r="D15" s="11" t="n"/>
      <c r="E15" s="12" t="inlineStr">
        <is>
          <t>baixa</t>
        </is>
      </c>
    </row>
    <row r="16">
      <c r="A16" s="9" t="inlineStr">
        <is>
          <t>D05-DOC-EPGD-001.STORAGE.BANCO</t>
        </is>
      </c>
      <c r="B16" s="10" t="inlineStr">
        <is>
          <t>banco</t>
        </is>
      </c>
      <c r="C16" s="10" t="inlineStr">
        <is>
          <t>Definir, validar e manter: Banco</t>
        </is>
      </c>
      <c r="D16" s="11" t="n"/>
      <c r="E16" s="12" t="inlineStr">
        <is>
          <t>baixa</t>
        </is>
      </c>
    </row>
    <row r="17">
      <c r="A17" s="9" t="inlineStr">
        <is>
          <t>D05-DOC-EPGD-001.STORAGE.REPOSITORIO</t>
        </is>
      </c>
      <c r="B17" s="10" t="inlineStr">
        <is>
          <t>repositorio</t>
        </is>
      </c>
      <c r="C17" s="10" t="inlineStr">
        <is>
          <t>Definir, validar e manter: Repositorio</t>
        </is>
      </c>
      <c r="D17" s="11" t="n"/>
      <c r="E17" s="12" t="inlineStr">
        <is>
          <t>baixa</t>
        </is>
      </c>
    </row>
    <row r="18">
      <c r="A18" s="9" t="inlineStr">
        <is>
          <t>D05-DOC-EPGD-001.STORAGE.FORMATO</t>
        </is>
      </c>
      <c r="B18" s="10" t="inlineStr">
        <is>
          <t>formato</t>
        </is>
      </c>
      <c r="C18" s="10" t="inlineStr">
        <is>
          <t>Definir, validar e manter: Formato</t>
        </is>
      </c>
      <c r="D18" s="11" t="n"/>
      <c r="E18" s="12" t="inlineStr">
        <is>
          <t>baixa</t>
        </is>
      </c>
    </row>
    <row r="19">
      <c r="A19" s="9" t="inlineStr">
        <is>
          <t>D05-DOC-EPGD-001.SCHEMAS.SCHEMA</t>
        </is>
      </c>
      <c r="B19" s="10" t="inlineStr">
        <is>
          <t>schema</t>
        </is>
      </c>
      <c r="C19" s="10" t="inlineStr">
        <is>
          <t>Definir, validar e manter: Schema</t>
        </is>
      </c>
      <c r="D19" s="11" t="n"/>
      <c r="E19" s="12" t="inlineStr">
        <is>
          <t>baixa</t>
        </is>
      </c>
    </row>
    <row r="20">
      <c r="A20" s="9" t="inlineStr">
        <is>
          <t>D05-DOC-EPGD-001.SCHEMAS.VERSAO</t>
        </is>
      </c>
      <c r="B20" s="10" t="inlineStr">
        <is>
          <t>versao</t>
        </is>
      </c>
      <c r="C20" s="10" t="inlineStr">
        <is>
          <t>Definir, validar e manter: Versao</t>
        </is>
      </c>
      <c r="D20" s="11" t="n"/>
      <c r="E20" s="12" t="inlineStr">
        <is>
          <t>baixa</t>
        </is>
      </c>
    </row>
    <row r="21">
      <c r="A21" s="9" t="inlineStr">
        <is>
          <t>D05-DOC-EPGD-001.SCHEMAS.CONTRATO</t>
        </is>
      </c>
      <c r="B21" s="10" t="inlineStr">
        <is>
          <t>contrato</t>
        </is>
      </c>
      <c r="C21" s="10" t="inlineStr">
        <is>
          <t>Definir, validar e manter: Contrato</t>
        </is>
      </c>
      <c r="D21" s="11" t="n"/>
      <c r="E21" s="12" t="inlineStr">
        <is>
          <t>baixa</t>
        </is>
      </c>
    </row>
    <row r="22">
      <c r="A22" s="9" t="inlineStr">
        <is>
          <t>D05-DOC-EPGD-001.QUALITY.COMPLETUDE</t>
        </is>
      </c>
      <c r="B22" s="10" t="inlineStr">
        <is>
          <t>completude</t>
        </is>
      </c>
      <c r="C22" s="10" t="inlineStr">
        <is>
          <t>Definir, validar e manter: Completude</t>
        </is>
      </c>
      <c r="D22" s="11" t="n"/>
      <c r="E22" s="12" t="inlineStr">
        <is>
          <t>media</t>
        </is>
      </c>
    </row>
    <row r="23">
      <c r="A23" s="9" t="inlineStr">
        <is>
          <t>D05-DOC-EPGD-001.QUALITY.VALIDADE</t>
        </is>
      </c>
      <c r="B23" s="10" t="inlineStr">
        <is>
          <t>validade</t>
        </is>
      </c>
      <c r="C23" s="10" t="inlineStr">
        <is>
          <t>Definir, validar e manter: Validade</t>
        </is>
      </c>
      <c r="D23" s="11" t="n"/>
      <c r="E23" s="12" t="inlineStr">
        <is>
          <t>media</t>
        </is>
      </c>
    </row>
    <row r="24">
      <c r="A24" s="9" t="inlineStr">
        <is>
          <t>D05-DOC-EPGD-001.QUALITY.CONSISTENCIA</t>
        </is>
      </c>
      <c r="B24" s="10" t="inlineStr">
        <is>
          <t>consistencia</t>
        </is>
      </c>
      <c r="C24" s="10" t="inlineStr">
        <is>
          <t>Definir, validar e manter: Consistencia</t>
        </is>
      </c>
      <c r="D24" s="11" t="n"/>
      <c r="E24" s="12" t="inlineStr">
        <is>
          <t>media</t>
        </is>
      </c>
    </row>
    <row r="25">
      <c r="A25" s="9" t="inlineStr">
        <is>
          <t>D05-DOC-EPGD-001.QUALITY.UNICIDADE</t>
        </is>
      </c>
      <c r="B25" s="10" t="inlineStr">
        <is>
          <t>unicidade</t>
        </is>
      </c>
      <c r="C25" s="10" t="inlineStr">
        <is>
          <t>Definir, validar e manter: Unicidade</t>
        </is>
      </c>
      <c r="D25" s="11" t="n"/>
      <c r="E25" s="12" t="inlineStr">
        <is>
          <t>media</t>
        </is>
      </c>
    </row>
    <row r="26">
      <c r="A26" s="9" t="inlineStr">
        <is>
          <t>D05-DOC-EPGD-001.LINEAGE.ORIGEM</t>
        </is>
      </c>
      <c r="B26" s="10" t="inlineStr">
        <is>
          <t>origem</t>
        </is>
      </c>
      <c r="C26" s="10" t="inlineStr">
        <is>
          <t>Definir, validar e manter: Origem</t>
        </is>
      </c>
      <c r="D26" s="11" t="n"/>
      <c r="E26" s="12" t="inlineStr">
        <is>
          <t>baixa</t>
        </is>
      </c>
    </row>
    <row r="27">
      <c r="A27" s="9" t="inlineStr">
        <is>
          <t>D05-DOC-EPGD-001.LINEAGE.TRANSFORMACOES</t>
        </is>
      </c>
      <c r="B27" s="10" t="inlineStr">
        <is>
          <t>transformacoes</t>
        </is>
      </c>
      <c r="C27" s="10" t="inlineStr">
        <is>
          <t>Definir, validar e manter: Transformacoes</t>
        </is>
      </c>
      <c r="D27" s="11" t="n"/>
      <c r="E27" s="12" t="inlineStr">
        <is>
          <t>baixa</t>
        </is>
      </c>
    </row>
    <row r="28">
      <c r="A28" s="9" t="inlineStr">
        <is>
          <t>D05-DOC-EPGD-001.LINEAGE.DESTINO</t>
        </is>
      </c>
      <c r="B28" s="10" t="inlineStr">
        <is>
          <t>destino</t>
        </is>
      </c>
      <c r="C28" s="10" t="inlineStr">
        <is>
          <t>Definir, validar e manter: Destino</t>
        </is>
      </c>
      <c r="D28" s="11" t="n"/>
      <c r="E28" s="12" t="inlineStr">
        <is>
          <t>baixa</t>
        </is>
      </c>
    </row>
    <row r="29">
      <c r="A29" s="9" t="inlineStr">
        <is>
          <t>D05-DOC-EPGD-001.ACCESS.PERFIL</t>
        </is>
      </c>
      <c r="B29" s="10" t="inlineStr">
        <is>
          <t>perfil</t>
        </is>
      </c>
      <c r="C29" s="10" t="inlineStr">
        <is>
          <t>Definir, validar e manter: Perfil</t>
        </is>
      </c>
      <c r="D29" s="11" t="n"/>
      <c r="E29" s="12" t="inlineStr">
        <is>
          <t>baixa</t>
        </is>
      </c>
    </row>
    <row r="30">
      <c r="A30" s="9" t="inlineStr">
        <is>
          <t>D05-DOC-EPGD-001.ACCESS.PERMISSAO</t>
        </is>
      </c>
      <c r="B30" s="10" t="inlineStr">
        <is>
          <t>permissao</t>
        </is>
      </c>
      <c r="C30" s="10" t="inlineStr">
        <is>
          <t>Definir, validar e manter: Permissao</t>
        </is>
      </c>
      <c r="D30" s="11" t="n"/>
      <c r="E30" s="12" t="inlineStr">
        <is>
          <t>baixa</t>
        </is>
      </c>
    </row>
    <row r="31">
      <c r="A31" s="9" t="inlineStr">
        <is>
          <t>D05-DOC-EPGD-001.SECURITY.CLASSIFICACAO</t>
        </is>
      </c>
      <c r="B31" s="10" t="inlineStr">
        <is>
          <t>classificacao</t>
        </is>
      </c>
      <c r="C31" s="10" t="inlineStr">
        <is>
          <t>Definir, validar e manter: Classificacao</t>
        </is>
      </c>
      <c r="D31" s="11" t="n"/>
      <c r="E31" s="12" t="inlineStr">
        <is>
          <t>media</t>
        </is>
      </c>
    </row>
    <row r="32">
      <c r="A32" s="9" t="inlineStr">
        <is>
          <t>D05-DOC-EPGD-001.SECURITY.PROTECAO</t>
        </is>
      </c>
      <c r="B32" s="10" t="inlineStr">
        <is>
          <t>protecao</t>
        </is>
      </c>
      <c r="C32" s="10" t="inlineStr">
        <is>
          <t>Definir, validar e manter: Protecao</t>
        </is>
      </c>
      <c r="D32" s="11" t="n"/>
      <c r="E32" s="12" t="inlineStr">
        <is>
          <t>baixa</t>
        </is>
      </c>
    </row>
    <row r="33">
      <c r="A33" s="9" t="inlineStr">
        <is>
          <t>D05-DOC-EPGD-001.PRIVACY.DADOS_PESSOAIS</t>
        </is>
      </c>
      <c r="B33" s="10" t="inlineStr">
        <is>
          <t>dados_pessoais</t>
        </is>
      </c>
      <c r="C33" s="10" t="inlineStr">
        <is>
          <t>Definir, validar e manter: Dados Pessoais</t>
        </is>
      </c>
      <c r="D33" s="11" t="n"/>
      <c r="E33" s="12" t="inlineStr">
        <is>
          <t>media</t>
        </is>
      </c>
    </row>
    <row r="34">
      <c r="A34" s="9" t="inlineStr">
        <is>
          <t>D05-DOC-EPGD-001.PRIVACY.FINALIDADE</t>
        </is>
      </c>
      <c r="B34" s="10" t="inlineStr">
        <is>
          <t>finalidade</t>
        </is>
      </c>
      <c r="C34" s="10" t="inlineStr">
        <is>
          <t>Definir, validar e manter: Finalidade</t>
        </is>
      </c>
      <c r="D34" s="11" t="n"/>
      <c r="E34" s="12" t="inlineStr">
        <is>
          <t>baixa</t>
        </is>
      </c>
    </row>
    <row r="35">
      <c r="A35" s="9" t="inlineStr">
        <is>
          <t>D05-DOC-EPGD-001.LIFECYCLE.CRIACAO</t>
        </is>
      </c>
      <c r="B35" s="10" t="inlineStr">
        <is>
          <t>criacao</t>
        </is>
      </c>
      <c r="C35" s="10" t="inlineStr">
        <is>
          <t>Definir, validar e manter: Criacao</t>
        </is>
      </c>
      <c r="D35" s="11" t="n"/>
      <c r="E35" s="12" t="inlineStr">
        <is>
          <t>baixa</t>
        </is>
      </c>
    </row>
    <row r="36">
      <c r="A36" s="9" t="inlineStr">
        <is>
          <t>D05-DOC-EPGD-001.LIFECYCLE.USO</t>
        </is>
      </c>
      <c r="B36" s="10" t="inlineStr">
        <is>
          <t>uso</t>
        </is>
      </c>
      <c r="C36" s="10" t="inlineStr">
        <is>
          <t>Definir, validar e manter: Uso</t>
        </is>
      </c>
      <c r="D36" s="11" t="n"/>
      <c r="E36" s="12" t="inlineStr">
        <is>
          <t>baixa</t>
        </is>
      </c>
    </row>
    <row r="37">
      <c r="A37" s="9" t="inlineStr">
        <is>
          <t>D05-DOC-EPGD-001.LIFECYCLE.RETENCAO</t>
        </is>
      </c>
      <c r="B37" s="10" t="inlineStr">
        <is>
          <t>retencao</t>
        </is>
      </c>
      <c r="C37" s="10" t="inlineStr">
        <is>
          <t>Definir, validar e manter: Retencao</t>
        </is>
      </c>
      <c r="D37" s="11" t="n"/>
      <c r="E37" s="12" t="inlineStr">
        <is>
          <t>media</t>
        </is>
      </c>
    </row>
    <row r="38">
      <c r="A38" s="9" t="inlineStr">
        <is>
          <t>D05-DOC-EPGD-001.LIFECYCLE.DESCARTE</t>
        </is>
      </c>
      <c r="B38" s="10" t="inlineStr">
        <is>
          <t>descarte</t>
        </is>
      </c>
      <c r="C38" s="10" t="inlineStr">
        <is>
          <t>Definir, validar e manter: Descarte</t>
        </is>
      </c>
      <c r="D38" s="11" t="n"/>
      <c r="E38" s="12" t="inlineStr">
        <is>
          <t>baixa</t>
        </is>
      </c>
    </row>
    <row r="39">
      <c r="A39" s="9" t="inlineStr">
        <is>
          <t>D05-DOC-EPGD-001.ANALYTICS.DATASETS</t>
        </is>
      </c>
      <c r="B39" s="10" t="inlineStr">
        <is>
          <t>datasets</t>
        </is>
      </c>
      <c r="C39" s="10" t="inlineStr">
        <is>
          <t>Definir, validar e manter: Datasets</t>
        </is>
      </c>
      <c r="D39" s="11" t="n"/>
      <c r="E39" s="12" t="inlineStr">
        <is>
          <t>baixa</t>
        </is>
      </c>
    </row>
    <row r="40">
      <c r="A40" s="9" t="inlineStr">
        <is>
          <t>D05-DOC-EPGD-001.ANALYTICS.INDICADORES</t>
        </is>
      </c>
      <c r="B40" s="10" t="inlineStr">
        <is>
          <t>indicadores</t>
        </is>
      </c>
      <c r="C40" s="10" t="inlineStr">
        <is>
          <t>Definir, validar e manter: Indicadores</t>
        </is>
      </c>
      <c r="D40" s="11" t="n"/>
      <c r="E40" s="12" t="inlineStr">
        <is>
          <t>baixa</t>
        </is>
      </c>
    </row>
    <row r="41">
      <c r="A41" s="9" t="inlineStr">
        <is>
          <t>D05-DOC-EPGD-001.GOVERNANCE.OWNERS</t>
        </is>
      </c>
      <c r="B41" s="10" t="inlineStr">
        <is>
          <t>owners</t>
        </is>
      </c>
      <c r="C41" s="10" t="inlineStr">
        <is>
          <t>Definir, validar e manter: Owners</t>
        </is>
      </c>
      <c r="D41" s="11" t="n"/>
      <c r="E41" s="12" t="inlineStr">
        <is>
          <t>baixa</t>
        </is>
      </c>
    </row>
    <row r="42">
      <c r="A42" s="9" t="inlineStr">
        <is>
          <t>D05-DOC-EPGD-001.GOVERNANCE.STEWARDS</t>
        </is>
      </c>
      <c r="B42" s="10" t="inlineStr">
        <is>
          <t>stewards</t>
        </is>
      </c>
      <c r="C42" s="10" t="inlineStr">
        <is>
          <t>Definir, validar e manter: Stewards</t>
        </is>
      </c>
      <c r="D42" s="11" t="n"/>
      <c r="E42" s="12" t="inlineStr">
        <is>
          <t>baixa</t>
        </is>
      </c>
    </row>
    <row r="43">
      <c r="A43" s="9" t="inlineStr">
        <is>
          <t>D05-DOC-EPGD-001.GOVERNANCE.APROVACAO</t>
        </is>
      </c>
      <c r="B43" s="10" t="inlineStr">
        <is>
          <t>aprovacao</t>
        </is>
      </c>
      <c r="C43" s="10" t="inlineStr">
        <is>
          <t>Definir, validar e manter: Aprovacao</t>
        </is>
      </c>
      <c r="D43" s="11" t="n"/>
      <c r="E43" s="12" t="inlineStr">
        <is>
          <t>baixa</t>
        </is>
      </c>
    </row>
    <row r="44">
      <c r="A44" s="8" t="inlineStr">
        <is>
          <t>Artefato D05-DOC-DCM-001 — Dicionário de Dados e Catálogo de Métricas</t>
        </is>
      </c>
      <c r="B44" s="6" t="n"/>
      <c r="C44" s="6" t="n"/>
      <c r="D44" s="6" t="n"/>
      <c r="E44" s="7" t="n"/>
    </row>
    <row r="45">
      <c r="A45" s="9" t="inlineStr">
        <is>
          <t>D05-DOC-DCM-001.SCHEMA.METRIC_OR_FIELD_ID</t>
        </is>
      </c>
      <c r="B45" s="10" t="inlineStr">
        <is>
          <t>metric_or_field_id</t>
        </is>
      </c>
      <c r="C45" s="10" t="inlineStr">
        <is>
          <t>Definir, validar e manter: Metric Or Field ID</t>
        </is>
      </c>
      <c r="D45" s="11" t="n"/>
      <c r="E45" s="12" t="inlineStr">
        <is>
          <t>baixa</t>
        </is>
      </c>
    </row>
    <row r="46">
      <c r="A46" s="9" t="inlineStr">
        <is>
          <t>D05-DOC-DCM-001.SCHEMA.NOME</t>
        </is>
      </c>
      <c r="B46" s="10" t="inlineStr">
        <is>
          <t>nome</t>
        </is>
      </c>
      <c r="C46" s="10" t="inlineStr">
        <is>
          <t>Definir, validar e manter: Nome</t>
        </is>
      </c>
      <c r="D46" s="11" t="n"/>
      <c r="E46" s="12" t="inlineStr">
        <is>
          <t>baixa</t>
        </is>
      </c>
    </row>
    <row r="47">
      <c r="A47" s="9" t="inlineStr">
        <is>
          <t>D05-DOC-DCM-001.SCHEMA.TIPO</t>
        </is>
      </c>
      <c r="B47" s="10" t="inlineStr">
        <is>
          <t>tipo</t>
        </is>
      </c>
      <c r="C47" s="10" t="inlineStr">
        <is>
          <t>Definir, validar e manter: Tipo</t>
        </is>
      </c>
      <c r="D47" s="11" t="n"/>
      <c r="E47" s="12" t="inlineStr">
        <is>
          <t>baixa</t>
        </is>
      </c>
    </row>
    <row r="48">
      <c r="A48" s="9" t="inlineStr">
        <is>
          <t>D05-DOC-DCM-001.SCHEMA.DEFINICAO</t>
        </is>
      </c>
      <c r="B48" s="10" t="inlineStr">
        <is>
          <t>definicao</t>
        </is>
      </c>
      <c r="C48" s="10" t="inlineStr">
        <is>
          <t>Definir, validar e manter: Definicao</t>
        </is>
      </c>
      <c r="D48" s="11" t="n"/>
      <c r="E48" s="12" t="inlineStr">
        <is>
          <t>baixa</t>
        </is>
      </c>
    </row>
    <row r="49">
      <c r="A49" s="9" t="inlineStr">
        <is>
          <t>D05-DOC-DCM-001.SCHEMA.FORMULA</t>
        </is>
      </c>
      <c r="B49" s="10" t="inlineStr">
        <is>
          <t>formula</t>
        </is>
      </c>
      <c r="C49" s="10" t="inlineStr">
        <is>
          <t>Definir, validar e manter: Formula</t>
        </is>
      </c>
      <c r="D49" s="11" t="n"/>
      <c r="E49" s="12" t="inlineStr">
        <is>
          <t>baixa</t>
        </is>
      </c>
    </row>
    <row r="50">
      <c r="A50" s="9" t="inlineStr">
        <is>
          <t>D05-DOC-DCM-001.SCHEMA.UNIDADE</t>
        </is>
      </c>
      <c r="B50" s="10" t="inlineStr">
        <is>
          <t>unidade</t>
        </is>
      </c>
      <c r="C50" s="10" t="inlineStr">
        <is>
          <t>Definir, validar e manter: Unidade</t>
        </is>
      </c>
      <c r="D50" s="11" t="n"/>
      <c r="E50" s="12" t="inlineStr">
        <is>
          <t>baixa</t>
        </is>
      </c>
    </row>
    <row r="51">
      <c r="A51" s="9" t="inlineStr">
        <is>
          <t>D05-DOC-DCM-001.SCHEMA.GRANULARIDADE</t>
        </is>
      </c>
      <c r="B51" s="10" t="inlineStr">
        <is>
          <t>granularidade</t>
        </is>
      </c>
      <c r="C51" s="10" t="inlineStr">
        <is>
          <t>Definir, validar e manter: Granularidade</t>
        </is>
      </c>
      <c r="D51" s="11" t="n"/>
      <c r="E51" s="12" t="inlineStr">
        <is>
          <t>baixa</t>
        </is>
      </c>
    </row>
    <row r="52">
      <c r="A52" s="9" t="inlineStr">
        <is>
          <t>D05-DOC-DCM-001.SCHEMA.FONTE</t>
        </is>
      </c>
      <c r="B52" s="10" t="inlineStr">
        <is>
          <t>fonte</t>
        </is>
      </c>
      <c r="C52" s="10" t="inlineStr">
        <is>
          <t>Definir, validar e manter: Fonte</t>
        </is>
      </c>
      <c r="D52" s="11" t="n"/>
      <c r="E52" s="12" t="inlineStr">
        <is>
          <t>baixa</t>
        </is>
      </c>
    </row>
    <row r="53">
      <c r="A53" s="9" t="inlineStr">
        <is>
          <t>D05-DOC-DCM-001.SCHEMA.TABELA_DATASET</t>
        </is>
      </c>
      <c r="B53" s="10" t="inlineStr">
        <is>
          <t>tabela_dataset</t>
        </is>
      </c>
      <c r="C53" s="10" t="inlineStr">
        <is>
          <t>Definir, validar e manter: Tabela Dataset</t>
        </is>
      </c>
      <c r="D53" s="11" t="n"/>
      <c r="E53" s="12" t="inlineStr">
        <is>
          <t>baixa</t>
        </is>
      </c>
    </row>
    <row r="54">
      <c r="A54" s="9" t="inlineStr">
        <is>
          <t>D05-DOC-DCM-001.SCHEMA.CAMPO_EVENTO</t>
        </is>
      </c>
      <c r="B54" s="10" t="inlineStr">
        <is>
          <t>campo_evento</t>
        </is>
      </c>
      <c r="C54" s="10" t="inlineStr">
        <is>
          <t>Definir, validar e manter: Campo Evento</t>
        </is>
      </c>
      <c r="D54" s="11" t="n"/>
      <c r="E54" s="12" t="inlineStr">
        <is>
          <t>baixa</t>
        </is>
      </c>
    </row>
    <row r="55">
      <c r="A55" s="9" t="inlineStr">
        <is>
          <t>D05-DOC-DCM-001.SCHEMA.DIMENSOES</t>
        </is>
      </c>
      <c r="B55" s="10" t="inlineStr">
        <is>
          <t>dimensoes</t>
        </is>
      </c>
      <c r="C55" s="10" t="inlineStr">
        <is>
          <t>Definir, validar e manter: Dimensoes</t>
        </is>
      </c>
      <c r="D55" s="11" t="n"/>
      <c r="E55" s="12" t="inlineStr">
        <is>
          <t>baixa</t>
        </is>
      </c>
    </row>
    <row r="56">
      <c r="A56" s="9" t="inlineStr">
        <is>
          <t>D05-DOC-DCM-001.SCHEMA.OWNER</t>
        </is>
      </c>
      <c r="B56" s="10" t="inlineStr">
        <is>
          <t>owner</t>
        </is>
      </c>
      <c r="C56" s="10" t="inlineStr">
        <is>
          <t>Definir, validar e manter: Owner</t>
        </is>
      </c>
      <c r="D56" s="11" t="n"/>
      <c r="E56" s="12" t="inlineStr">
        <is>
          <t>baixa</t>
        </is>
      </c>
    </row>
    <row r="57">
      <c r="A57" s="9" t="inlineStr">
        <is>
          <t>D05-DOC-DCM-001.SCHEMA.FREQUENCIA</t>
        </is>
      </c>
      <c r="B57" s="10" t="inlineStr">
        <is>
          <t>frequencia</t>
        </is>
      </c>
      <c r="C57" s="10" t="inlineStr">
        <is>
          <t>Definir, validar e manter: Frequencia</t>
        </is>
      </c>
      <c r="D57" s="11" t="n"/>
      <c r="E57" s="12" t="inlineStr">
        <is>
          <t>baixa</t>
        </is>
      </c>
    </row>
    <row r="58">
      <c r="A58" s="9" t="inlineStr">
        <is>
          <t>D05-DOC-DCM-001.SCHEMA.FRESHNESS</t>
        </is>
      </c>
      <c r="B58" s="10" t="inlineStr">
        <is>
          <t>freshness</t>
        </is>
      </c>
      <c r="C58" s="10" t="inlineStr">
        <is>
          <t>Definir, validar e manter: Freshness</t>
        </is>
      </c>
      <c r="D58" s="11" t="n"/>
      <c r="E58" s="12" t="inlineStr">
        <is>
          <t>baixa</t>
        </is>
      </c>
    </row>
    <row r="59">
      <c r="A59" s="9" t="inlineStr">
        <is>
          <t>D05-DOC-DCM-001.SCHEMA.REGRA_DE_QUALIDADE</t>
        </is>
      </c>
      <c r="B59" s="10" t="inlineStr">
        <is>
          <t>regra_de_qualidade</t>
        </is>
      </c>
      <c r="C59" s="10" t="inlineStr">
        <is>
          <t>Definir, validar e manter: Regra De Qualidade</t>
        </is>
      </c>
      <c r="D59" s="11" t="n"/>
      <c r="E59" s="12" t="inlineStr">
        <is>
          <t>media</t>
        </is>
      </c>
    </row>
    <row r="60">
      <c r="A60" s="9" t="inlineStr">
        <is>
          <t>D05-DOC-DCM-001.SCHEMA.CLASSIFICACAO</t>
        </is>
      </c>
      <c r="B60" s="10" t="inlineStr">
        <is>
          <t>classificacao</t>
        </is>
      </c>
      <c r="C60" s="10" t="inlineStr">
        <is>
          <t>Definir, validar e manter: Classificacao</t>
        </is>
      </c>
      <c r="D60" s="11" t="n"/>
      <c r="E60" s="12" t="inlineStr">
        <is>
          <t>media</t>
        </is>
      </c>
    </row>
    <row r="61">
      <c r="A61" s="9" t="inlineStr">
        <is>
          <t>D05-DOC-DCM-001.SCHEMA.RETENCAO</t>
        </is>
      </c>
      <c r="B61" s="10" t="inlineStr">
        <is>
          <t>retencao</t>
        </is>
      </c>
      <c r="C61" s="10" t="inlineStr">
        <is>
          <t>Definir, validar e manter: Retencao</t>
        </is>
      </c>
      <c r="D61" s="11" t="n"/>
      <c r="E61" s="12" t="inlineStr">
        <is>
          <t>media</t>
        </is>
      </c>
    </row>
    <row r="62">
      <c r="A62" s="9" t="inlineStr">
        <is>
          <t>D05-DOC-DCM-001.SCHEMA.CONSUMIDORES</t>
        </is>
      </c>
      <c r="B62" s="10" t="inlineStr">
        <is>
          <t>consumidores</t>
        </is>
      </c>
      <c r="C62" s="10" t="inlineStr">
        <is>
          <t>Definir, validar e manter: Consumidores</t>
        </is>
      </c>
      <c r="D62" s="11" t="n"/>
      <c r="E62" s="12" t="inlineStr">
        <is>
          <t>baixa</t>
        </is>
      </c>
    </row>
    <row r="63">
      <c r="A63" s="8" t="inlineStr">
        <is>
          <t>Domínio D06 — Conhecimento e Busca Corporativa</t>
        </is>
      </c>
      <c r="B63" s="6" t="n"/>
      <c r="C63" s="6" t="n"/>
      <c r="D63" s="6" t="n"/>
      <c r="E63" s="7" t="n"/>
    </row>
    <row r="64">
      <c r="A64" s="8" t="inlineStr">
        <is>
          <t>Artefato D06-DOC-EGC-001 — Estratégia de Gestão do Conhecimento</t>
        </is>
      </c>
      <c r="B64" s="6" t="n"/>
      <c r="C64" s="6" t="n"/>
      <c r="D64" s="6" t="n"/>
      <c r="E64" s="7" t="n"/>
    </row>
    <row r="65">
      <c r="A65" s="9" t="inlineStr">
        <is>
          <t>D06-DOC-EGC-001.TAXONOMY.DOMINIOS</t>
        </is>
      </c>
      <c r="B65" s="10" t="inlineStr">
        <is>
          <t>dominios</t>
        </is>
      </c>
      <c r="C65" s="10" t="inlineStr">
        <is>
          <t>Definir, validar e manter: Dominios</t>
        </is>
      </c>
      <c r="D65" s="11" t="n"/>
      <c r="E65" s="12" t="inlineStr">
        <is>
          <t>alta</t>
        </is>
      </c>
    </row>
    <row r="66">
      <c r="A66" s="9" t="inlineStr">
        <is>
          <t>D06-DOC-EGC-001.TAXONOMY.SUBAREAS</t>
        </is>
      </c>
      <c r="B66" s="10" t="inlineStr">
        <is>
          <t>subareas</t>
        </is>
      </c>
      <c r="C66" s="10" t="inlineStr">
        <is>
          <t>Definir, validar e manter: Subareas</t>
        </is>
      </c>
      <c r="D66" s="11" t="n"/>
      <c r="E66" s="12" t="inlineStr">
        <is>
          <t>baixa</t>
        </is>
      </c>
    </row>
    <row r="67">
      <c r="A67" s="9" t="inlineStr">
        <is>
          <t>D06-DOC-EGC-001.TAXONOMY.CLASSES_DOCUMENTAIS</t>
        </is>
      </c>
      <c r="B67" s="10" t="inlineStr">
        <is>
          <t>classes_documentais</t>
        </is>
      </c>
      <c r="C67" s="10" t="inlineStr">
        <is>
          <t>Definir, validar e manter: Classes Documentais</t>
        </is>
      </c>
      <c r="D67" s="11" t="n"/>
      <c r="E67" s="12" t="inlineStr">
        <is>
          <t>baixa</t>
        </is>
      </c>
    </row>
    <row r="68">
      <c r="A68" s="9" t="inlineStr">
        <is>
          <t>D06-DOC-EGC-001.ONTOLOGY.OBJETOS</t>
        </is>
      </c>
      <c r="B68" s="10" t="inlineStr">
        <is>
          <t>objetos</t>
        </is>
      </c>
      <c r="C68" s="10" t="inlineStr">
        <is>
          <t>Definir, validar e manter: Objetos</t>
        </is>
      </c>
      <c r="D68" s="11" t="n"/>
      <c r="E68" s="12" t="inlineStr">
        <is>
          <t>baixa</t>
        </is>
      </c>
    </row>
    <row r="69">
      <c r="A69" s="9" t="inlineStr">
        <is>
          <t>D06-DOC-EGC-001.ONTOLOGY.RELACOES</t>
        </is>
      </c>
      <c r="B69" s="10" t="inlineStr">
        <is>
          <t>relacoes</t>
        </is>
      </c>
      <c r="C69" s="10" t="inlineStr">
        <is>
          <t>Definir, validar e manter: Relacoes</t>
        </is>
      </c>
      <c r="D69" s="11" t="n"/>
      <c r="E69" s="12" t="inlineStr">
        <is>
          <t>baixa</t>
        </is>
      </c>
    </row>
    <row r="70">
      <c r="A70" s="9" t="inlineStr">
        <is>
          <t>D06-DOC-EGC-001.REPOSITORIES.REPOSITORIO</t>
        </is>
      </c>
      <c r="B70" s="10" t="inlineStr">
        <is>
          <t>repositorio</t>
        </is>
      </c>
      <c r="C70" s="10" t="inlineStr">
        <is>
          <t>Definir, validar e manter: Repositorio</t>
        </is>
      </c>
      <c r="D70" s="11" t="n"/>
      <c r="E70" s="12" t="inlineStr">
        <is>
          <t>baixa</t>
        </is>
      </c>
    </row>
    <row r="71">
      <c r="A71" s="9" t="inlineStr">
        <is>
          <t>D06-DOC-EGC-001.REPOSITORIES.FINALIDADE</t>
        </is>
      </c>
      <c r="B71" s="10" t="inlineStr">
        <is>
          <t>finalidade</t>
        </is>
      </c>
      <c r="C71" s="10" t="inlineStr">
        <is>
          <t>Definir, validar e manter: Finalidade</t>
        </is>
      </c>
      <c r="D71" s="11" t="n"/>
      <c r="E71" s="12" t="inlineStr">
        <is>
          <t>baixa</t>
        </is>
      </c>
    </row>
    <row r="72">
      <c r="A72" s="9" t="inlineStr">
        <is>
          <t>D06-DOC-EGC-001.REPOSITORIES.OWNER</t>
        </is>
      </c>
      <c r="B72" s="10" t="inlineStr">
        <is>
          <t>owner</t>
        </is>
      </c>
      <c r="C72" s="10" t="inlineStr">
        <is>
          <t>Definir, validar e manter: Owner</t>
        </is>
      </c>
      <c r="D72" s="11" t="n"/>
      <c r="E72" s="12" t="inlineStr">
        <is>
          <t>baixa</t>
        </is>
      </c>
    </row>
    <row r="73">
      <c r="A73" s="9" t="inlineStr">
        <is>
          <t>D06-DOC-EGC-001.SOURCES_OF_TRUTH.OBJETO</t>
        </is>
      </c>
      <c r="B73" s="10" t="inlineStr">
        <is>
          <t>objeto</t>
        </is>
      </c>
      <c r="C73" s="10" t="inlineStr">
        <is>
          <t>Definir, validar e manter: Objeto</t>
        </is>
      </c>
      <c r="D73" s="11" t="n"/>
      <c r="E73" s="12" t="inlineStr">
        <is>
          <t>alta</t>
        </is>
      </c>
    </row>
    <row r="74">
      <c r="A74" s="9" t="inlineStr">
        <is>
          <t>D06-DOC-EGC-001.SOURCES_OF_TRUTH.FONTE_CANONICA</t>
        </is>
      </c>
      <c r="B74" s="10" t="inlineStr">
        <is>
          <t>fonte_canonica</t>
        </is>
      </c>
      <c r="C74" s="10" t="inlineStr">
        <is>
          <t>Definir, validar e manter: Fonte Canonica</t>
        </is>
      </c>
      <c r="D74" s="11" t="n"/>
      <c r="E74" s="12" t="inlineStr">
        <is>
          <t>baixa</t>
        </is>
      </c>
    </row>
    <row r="75">
      <c r="A75" s="9" t="inlineStr">
        <is>
          <t>D06-DOC-EGC-001.IDENTITY.PADRAO_DE_IDS</t>
        </is>
      </c>
      <c r="B75" s="10" t="inlineStr">
        <is>
          <t>padrao_de_ids</t>
        </is>
      </c>
      <c r="C75" s="10" t="inlineStr">
        <is>
          <t>Definir, validar e manter: Padrao De Ids</t>
        </is>
      </c>
      <c r="D75" s="11" t="n"/>
      <c r="E75" s="12" t="inlineStr">
        <is>
          <t>alta</t>
        </is>
      </c>
    </row>
    <row r="76">
      <c r="A76" s="9" t="inlineStr">
        <is>
          <t>D06-DOC-EGC-001.IDENTITY.NAMING</t>
        </is>
      </c>
      <c r="B76" s="10" t="inlineStr">
        <is>
          <t>naming</t>
        </is>
      </c>
      <c r="C76" s="10" t="inlineStr">
        <is>
          <t>Definir, validar e manter: Naming</t>
        </is>
      </c>
      <c r="D76" s="11" t="n"/>
      <c r="E76" s="12" t="inlineStr">
        <is>
          <t>baixa</t>
        </is>
      </c>
    </row>
    <row r="77">
      <c r="A77" s="9" t="inlineStr">
        <is>
          <t>D06-DOC-EGC-001.VERSIONING.VERSAO</t>
        </is>
      </c>
      <c r="B77" s="10" t="inlineStr">
        <is>
          <t>versao</t>
        </is>
      </c>
      <c r="C77" s="10" t="inlineStr">
        <is>
          <t>Definir, validar e manter: Versao</t>
        </is>
      </c>
      <c r="D77" s="11" t="n"/>
      <c r="E77" s="12" t="inlineStr">
        <is>
          <t>baixa</t>
        </is>
      </c>
    </row>
    <row r="78">
      <c r="A78" s="9" t="inlineStr">
        <is>
          <t>D06-DOC-EGC-001.VERSIONING.HISTORICO</t>
        </is>
      </c>
      <c r="B78" s="10" t="inlineStr">
        <is>
          <t>historico</t>
        </is>
      </c>
      <c r="C78" s="10" t="inlineStr">
        <is>
          <t>Definir, validar e manter: Historico</t>
        </is>
      </c>
      <c r="D78" s="11" t="n"/>
      <c r="E78" s="12" t="inlineStr">
        <is>
          <t>baixa</t>
        </is>
      </c>
    </row>
    <row r="79">
      <c r="A79" s="9" t="inlineStr">
        <is>
          <t>D06-DOC-EGC-001.VERSIONING.SUPERSEDE</t>
        </is>
      </c>
      <c r="B79" s="10" t="inlineStr">
        <is>
          <t>supersede</t>
        </is>
      </c>
      <c r="C79" s="10" t="inlineStr">
        <is>
          <t>Definir, validar e manter: Supersede</t>
        </is>
      </c>
      <c r="D79" s="11" t="n"/>
      <c r="E79" s="12" t="inlineStr">
        <is>
          <t>baixa</t>
        </is>
      </c>
    </row>
    <row r="80">
      <c r="A80" s="9" t="inlineStr">
        <is>
          <t>D06-DOC-EGC-001.INGESTION.ENTRADA</t>
        </is>
      </c>
      <c r="B80" s="10" t="inlineStr">
        <is>
          <t>entrada</t>
        </is>
      </c>
      <c r="C80" s="10" t="inlineStr">
        <is>
          <t>Definir, validar e manter: Entrada</t>
        </is>
      </c>
      <c r="D80" s="11" t="n"/>
      <c r="E80" s="12" t="inlineStr">
        <is>
          <t>baixa</t>
        </is>
      </c>
    </row>
    <row r="81">
      <c r="A81" s="9" t="inlineStr">
        <is>
          <t>D06-DOC-EGC-001.INGESTION.CLASSIFICACAO</t>
        </is>
      </c>
      <c r="B81" s="10" t="inlineStr">
        <is>
          <t>classificacao</t>
        </is>
      </c>
      <c r="C81" s="10" t="inlineStr">
        <is>
          <t>Definir, validar e manter: Classificacao</t>
        </is>
      </c>
      <c r="D81" s="11" t="n"/>
      <c r="E81" s="12" t="inlineStr">
        <is>
          <t>media</t>
        </is>
      </c>
    </row>
    <row r="82">
      <c r="A82" s="9" t="inlineStr">
        <is>
          <t>D06-DOC-EGC-001.INGESTION.PROCESSAMENTO</t>
        </is>
      </c>
      <c r="B82" s="10" t="inlineStr">
        <is>
          <t>processamento</t>
        </is>
      </c>
      <c r="C82" s="10" t="inlineStr">
        <is>
          <t>Definir, validar e manter: Processamento</t>
        </is>
      </c>
      <c r="D82" s="11" t="n"/>
      <c r="E82" s="12" t="inlineStr">
        <is>
          <t>baixa</t>
        </is>
      </c>
    </row>
    <row r="83">
      <c r="A83" s="9" t="inlineStr">
        <is>
          <t>D06-DOC-EGC-001.RETRIEVAL.BUSCA</t>
        </is>
      </c>
      <c r="B83" s="10" t="inlineStr">
        <is>
          <t>busca</t>
        </is>
      </c>
      <c r="C83" s="10" t="inlineStr">
        <is>
          <t>Definir, validar e manter: Busca</t>
        </is>
      </c>
      <c r="D83" s="11" t="n"/>
      <c r="E83" s="12" t="inlineStr">
        <is>
          <t>baixa</t>
        </is>
      </c>
    </row>
    <row r="84">
      <c r="A84" s="9" t="inlineStr">
        <is>
          <t>D06-DOC-EGC-001.RETRIEVAL.FILTROS</t>
        </is>
      </c>
      <c r="B84" s="10" t="inlineStr">
        <is>
          <t>filtros</t>
        </is>
      </c>
      <c r="C84" s="10" t="inlineStr">
        <is>
          <t>Definir, validar e manter: Filtros</t>
        </is>
      </c>
      <c r="D84" s="11" t="n"/>
      <c r="E84" s="12" t="inlineStr">
        <is>
          <t>baixa</t>
        </is>
      </c>
    </row>
    <row r="85">
      <c r="A85" s="9" t="inlineStr">
        <is>
          <t>D06-DOC-EGC-001.RETRIEVAL.INDEXACAO</t>
        </is>
      </c>
      <c r="B85" s="10" t="inlineStr">
        <is>
          <t>indexacao</t>
        </is>
      </c>
      <c r="C85" s="10" t="inlineStr">
        <is>
          <t>Definir, validar e manter: Indexacao</t>
        </is>
      </c>
      <c r="D85" s="11" t="n"/>
      <c r="E85" s="12" t="inlineStr">
        <is>
          <t>baixa</t>
        </is>
      </c>
    </row>
    <row r="86">
      <c r="A86" s="9" t="inlineStr">
        <is>
          <t>D06-DOC-EGC-001.CURATION.REVISAO</t>
        </is>
      </c>
      <c r="B86" s="10" t="inlineStr">
        <is>
          <t>revisao</t>
        </is>
      </c>
      <c r="C86" s="10" t="inlineStr">
        <is>
          <t>Definir, validar e manter: Revisao</t>
        </is>
      </c>
      <c r="D86" s="11" t="n"/>
      <c r="E86" s="12" t="inlineStr">
        <is>
          <t>baixa</t>
        </is>
      </c>
    </row>
    <row r="87">
      <c r="A87" s="9" t="inlineStr">
        <is>
          <t>D06-DOC-EGC-001.CURATION.APROVACAO</t>
        </is>
      </c>
      <c r="B87" s="10" t="inlineStr">
        <is>
          <t>aprovacao</t>
        </is>
      </c>
      <c r="C87" s="10" t="inlineStr">
        <is>
          <t>Definir, validar e manter: Aprovacao</t>
        </is>
      </c>
      <c r="D87" s="11" t="n"/>
      <c r="E87" s="12" t="inlineStr">
        <is>
          <t>baixa</t>
        </is>
      </c>
    </row>
    <row r="88">
      <c r="A88" s="9" t="inlineStr">
        <is>
          <t>D06-DOC-EGC-001.ARCHIVAL.ARQUIVAMENTO</t>
        </is>
      </c>
      <c r="B88" s="10" t="inlineStr">
        <is>
          <t>arquivamento</t>
        </is>
      </c>
      <c r="C88" s="10" t="inlineStr">
        <is>
          <t>Definir, validar e manter: Arquivamento</t>
        </is>
      </c>
      <c r="D88" s="11" t="n"/>
      <c r="E88" s="12" t="inlineStr">
        <is>
          <t>baixa</t>
        </is>
      </c>
    </row>
    <row r="89">
      <c r="A89" s="9" t="inlineStr">
        <is>
          <t>D06-DOC-EGC-001.ARCHIVAL.DESCARTE</t>
        </is>
      </c>
      <c r="B89" s="10" t="inlineStr">
        <is>
          <t>descarte</t>
        </is>
      </c>
      <c r="C89" s="10" t="inlineStr">
        <is>
          <t>Definir, validar e manter: Descarte</t>
        </is>
      </c>
      <c r="D89" s="11" t="n"/>
      <c r="E89" s="12" t="inlineStr">
        <is>
          <t>baixa</t>
        </is>
      </c>
    </row>
    <row r="90">
      <c r="A90" s="9" t="inlineStr">
        <is>
          <t>D06-DOC-EGC-001.CROSSLINKING.RELACOES_ENTRE_DOCUMENTOS</t>
        </is>
      </c>
      <c r="B90" s="10" t="inlineStr">
        <is>
          <t>relacoes_entre_documentos</t>
        </is>
      </c>
      <c r="C90" s="10" t="inlineStr">
        <is>
          <t>Definir, validar e manter: Relacoes Entre Documentos</t>
        </is>
      </c>
      <c r="D90" s="11" t="n"/>
      <c r="E90" s="12" t="inlineStr">
        <is>
          <t>baixa</t>
        </is>
      </c>
    </row>
    <row r="91">
      <c r="A91" s="9" t="inlineStr">
        <is>
          <t>D06-DOC-EGC-001.GOVERNANCE.OWNER</t>
        </is>
      </c>
      <c r="B91" s="10" t="inlineStr">
        <is>
          <t>owner</t>
        </is>
      </c>
      <c r="C91" s="10" t="inlineStr">
        <is>
          <t>Definir, validar e manter: Owner</t>
        </is>
      </c>
      <c r="D91" s="11" t="n"/>
      <c r="E91" s="12" t="inlineStr">
        <is>
          <t>alta</t>
        </is>
      </c>
    </row>
    <row r="92">
      <c r="A92" s="9" t="inlineStr">
        <is>
          <t>D06-DOC-EGC-001.GOVERNANCE.ESTADO</t>
        </is>
      </c>
      <c r="B92" s="10" t="inlineStr">
        <is>
          <t>estado</t>
        </is>
      </c>
      <c r="C92" s="10" t="inlineStr">
        <is>
          <t>Definir, validar e manter: Estado</t>
        </is>
      </c>
      <c r="D92" s="11" t="n"/>
      <c r="E92" s="12" t="inlineStr">
        <is>
          <t>alta</t>
        </is>
      </c>
    </row>
    <row r="93">
      <c r="A93" s="9" t="inlineStr">
        <is>
          <t>D06-DOC-EGC-001.GOVERNANCE.EVIDENCIA</t>
        </is>
      </c>
      <c r="B93" s="10" t="inlineStr">
        <is>
          <t>evidencia</t>
        </is>
      </c>
      <c r="C93" s="10" t="inlineStr">
        <is>
          <t>Definir, validar e manter: Evidencia</t>
        </is>
      </c>
      <c r="D93" s="11" t="n"/>
      <c r="E93" s="12" t="inlineStr">
        <is>
          <t>baixa</t>
        </is>
      </c>
    </row>
    <row r="94">
      <c r="A94" s="8" t="inlineStr">
        <is>
          <t>Artefato D06-DOC-RMI-001 — Registro Mestre de Identidades</t>
        </is>
      </c>
      <c r="B94" s="6" t="n"/>
      <c r="C94" s="6" t="n"/>
      <c r="D94" s="6" t="n"/>
      <c r="E94" s="7" t="n"/>
    </row>
    <row r="95">
      <c r="A95" s="9" t="inlineStr">
        <is>
          <t>D06-DOC-RMI-001.SCHEMA.CANONICAL_ID</t>
        </is>
      </c>
      <c r="B95" s="10" t="inlineStr">
        <is>
          <t>canonical_id</t>
        </is>
      </c>
      <c r="C95" s="10" t="inlineStr">
        <is>
          <t>Definir, validar e manter: Canonical ID</t>
        </is>
      </c>
      <c r="D95" s="11" t="n"/>
      <c r="E95" s="12" t="inlineStr">
        <is>
          <t>baixa</t>
        </is>
      </c>
    </row>
    <row r="96">
      <c r="A96" s="9" t="inlineStr">
        <is>
          <t>D06-DOC-RMI-001.SCHEMA.OBJECT_TYPE</t>
        </is>
      </c>
      <c r="B96" s="10" t="inlineStr">
        <is>
          <t>object_type</t>
        </is>
      </c>
      <c r="C96" s="10" t="inlineStr">
        <is>
          <t>Definir, validar e manter: Object Type</t>
        </is>
      </c>
      <c r="D96" s="11" t="n"/>
      <c r="E96" s="12" t="inlineStr">
        <is>
          <t>baixa</t>
        </is>
      </c>
    </row>
    <row r="97">
      <c r="A97" s="9" t="inlineStr">
        <is>
          <t>D06-DOC-RMI-001.SCHEMA.DOMAIN_ID</t>
        </is>
      </c>
      <c r="B97" s="10" t="inlineStr">
        <is>
          <t>domain_id</t>
        </is>
      </c>
      <c r="C97" s="10" t="inlineStr">
        <is>
          <t>Definir, validar e manter: Domain ID</t>
        </is>
      </c>
      <c r="D97" s="11" t="n"/>
      <c r="E97" s="12" t="inlineStr">
        <is>
          <t>baixa</t>
        </is>
      </c>
    </row>
    <row r="98">
      <c r="A98" s="9" t="inlineStr">
        <is>
          <t>D06-DOC-RMI-001.SCHEMA.SUBAREA_ID</t>
        </is>
      </c>
      <c r="B98" s="10" t="inlineStr">
        <is>
          <t>subarea_id</t>
        </is>
      </c>
      <c r="C98" s="10" t="inlineStr">
        <is>
          <t>Definir, validar e manter: Subarea ID</t>
        </is>
      </c>
      <c r="D98" s="11" t="n"/>
      <c r="E98" s="12" t="inlineStr">
        <is>
          <t>baixa</t>
        </is>
      </c>
    </row>
    <row r="99">
      <c r="A99" s="9" t="inlineStr">
        <is>
          <t>D06-DOC-RMI-001.SCHEMA.PARENT_ID</t>
        </is>
      </c>
      <c r="B99" s="10" t="inlineStr">
        <is>
          <t>parent_id</t>
        </is>
      </c>
      <c r="C99" s="10" t="inlineStr">
        <is>
          <t>Definir, validar e manter: Parent ID</t>
        </is>
      </c>
      <c r="D99" s="11" t="n"/>
      <c r="E99" s="12" t="inlineStr">
        <is>
          <t>baixa</t>
        </is>
      </c>
    </row>
    <row r="100">
      <c r="A100" s="9" t="inlineStr">
        <is>
          <t>D06-DOC-RMI-001.SCHEMA.CANONICAL_NAME</t>
        </is>
      </c>
      <c r="B100" s="10" t="inlineStr">
        <is>
          <t>canonical_name</t>
        </is>
      </c>
      <c r="C100" s="10" t="inlineStr">
        <is>
          <t>Definir, validar e manter: Canonical Name</t>
        </is>
      </c>
      <c r="D100" s="11" t="n"/>
      <c r="E100" s="12" t="inlineStr">
        <is>
          <t>baixa</t>
        </is>
      </c>
    </row>
    <row r="101">
      <c r="A101" s="9" t="inlineStr">
        <is>
          <t>D06-DOC-RMI-001.SCHEMA.ALIASES</t>
        </is>
      </c>
      <c r="B101" s="10" t="inlineStr">
        <is>
          <t>aliases</t>
        </is>
      </c>
      <c r="C101" s="10" t="inlineStr">
        <is>
          <t>Definir, validar e manter: Aliases</t>
        </is>
      </c>
      <c r="D101" s="11" t="n"/>
      <c r="E101" s="12" t="inlineStr">
        <is>
          <t>baixa</t>
        </is>
      </c>
    </row>
    <row r="102">
      <c r="A102" s="9" t="inlineStr">
        <is>
          <t>D06-DOC-RMI-001.SCHEMA.VERSION</t>
        </is>
      </c>
      <c r="B102" s="10" t="inlineStr">
        <is>
          <t>version</t>
        </is>
      </c>
      <c r="C102" s="10" t="inlineStr">
        <is>
          <t>Definir, validar e manter: Version</t>
        </is>
      </c>
      <c r="D102" s="11" t="n"/>
      <c r="E102" s="12" t="inlineStr">
        <is>
          <t>baixa</t>
        </is>
      </c>
    </row>
    <row r="103">
      <c r="A103" s="9" t="inlineStr">
        <is>
          <t>D06-DOC-RMI-001.SCHEMA.STATUS</t>
        </is>
      </c>
      <c r="B103" s="10" t="inlineStr">
        <is>
          <t>status</t>
        </is>
      </c>
      <c r="C103" s="10" t="inlineStr">
        <is>
          <t>Definir, validar e manter: Status</t>
        </is>
      </c>
      <c r="D103" s="11" t="n"/>
      <c r="E103" s="12" t="inlineStr">
        <is>
          <t>baixa</t>
        </is>
      </c>
    </row>
    <row r="104">
      <c r="A104" s="9" t="inlineStr">
        <is>
          <t>D06-DOC-RMI-001.SCHEMA.OWNER</t>
        </is>
      </c>
      <c r="B104" s="10" t="inlineStr">
        <is>
          <t>owner</t>
        </is>
      </c>
      <c r="C104" s="10" t="inlineStr">
        <is>
          <t>Definir, validar e manter: Owner</t>
        </is>
      </c>
      <c r="D104" s="11" t="n"/>
      <c r="E104" s="12" t="inlineStr">
        <is>
          <t>baixa</t>
        </is>
      </c>
    </row>
    <row r="105">
      <c r="A105" s="9" t="inlineStr">
        <is>
          <t>D06-DOC-RMI-001.SCHEMA.SOURCE</t>
        </is>
      </c>
      <c r="B105" s="10" t="inlineStr">
        <is>
          <t>source</t>
        </is>
      </c>
      <c r="C105" s="10" t="inlineStr">
        <is>
          <t>Definir, validar e manter: Source</t>
        </is>
      </c>
      <c r="D105" s="11" t="n"/>
      <c r="E105" s="12" t="inlineStr">
        <is>
          <t>baixa</t>
        </is>
      </c>
    </row>
    <row r="106">
      <c r="A106" s="9" t="inlineStr">
        <is>
          <t>D06-DOC-RMI-001.SCHEMA.EVIDENCE</t>
        </is>
      </c>
      <c r="B106" s="10" t="inlineStr">
        <is>
          <t>evidence</t>
        </is>
      </c>
      <c r="C106" s="10" t="inlineStr">
        <is>
          <t>Definir, validar e manter: Evidence</t>
        </is>
      </c>
      <c r="D106" s="11" t="n"/>
      <c r="E106" s="12" t="inlineStr">
        <is>
          <t>baixa</t>
        </is>
      </c>
    </row>
    <row r="107">
      <c r="A107" s="9" t="inlineStr">
        <is>
          <t>D06-DOC-RMI-001.SCHEMA.REPOSITORY</t>
        </is>
      </c>
      <c r="B107" s="10" t="inlineStr">
        <is>
          <t>repository</t>
        </is>
      </c>
      <c r="C107" s="10" t="inlineStr">
        <is>
          <t>Definir, validar e manter: Repository</t>
        </is>
      </c>
      <c r="D107" s="11" t="n"/>
      <c r="E107" s="12" t="inlineStr">
        <is>
          <t>baixa</t>
        </is>
      </c>
    </row>
    <row r="108">
      <c r="A108" s="9" t="inlineStr">
        <is>
          <t>D06-DOC-RMI-001.SCHEMA.LOCATION</t>
        </is>
      </c>
      <c r="B108" s="10" t="inlineStr">
        <is>
          <t>location</t>
        </is>
      </c>
      <c r="C108" s="10" t="inlineStr">
        <is>
          <t>Definir, validar e manter: Location</t>
        </is>
      </c>
      <c r="D108" s="11" t="n"/>
      <c r="E108" s="12" t="inlineStr">
        <is>
          <t>baixa</t>
        </is>
      </c>
    </row>
    <row r="109">
      <c r="A109" s="9" t="inlineStr">
        <is>
          <t>D06-DOC-RMI-001.SCHEMA.DEPENDS_ON</t>
        </is>
      </c>
      <c r="B109" s="10" t="inlineStr">
        <is>
          <t>depends_on</t>
        </is>
      </c>
      <c r="C109" s="10" t="inlineStr">
        <is>
          <t>Definir, validar e manter: Depends On</t>
        </is>
      </c>
      <c r="D109" s="11" t="n"/>
      <c r="E109" s="12" t="inlineStr">
        <is>
          <t>baixa</t>
        </is>
      </c>
    </row>
    <row r="110">
      <c r="A110" s="9" t="inlineStr">
        <is>
          <t>D06-DOC-RMI-001.SCHEMA.BLOCKS</t>
        </is>
      </c>
      <c r="B110" s="10" t="inlineStr">
        <is>
          <t>blocks</t>
        </is>
      </c>
      <c r="C110" s="10" t="inlineStr">
        <is>
          <t>Definir, validar e manter: Blocks</t>
        </is>
      </c>
      <c r="D110" s="11" t="n"/>
      <c r="E110" s="12" t="inlineStr">
        <is>
          <t>baixa</t>
        </is>
      </c>
    </row>
    <row r="111">
      <c r="A111" s="9" t="inlineStr">
        <is>
          <t>D06-DOC-RMI-001.SCHEMA.SUPERSEDES</t>
        </is>
      </c>
      <c r="B111" s="10" t="inlineStr">
        <is>
          <t>supersedes</t>
        </is>
      </c>
      <c r="C111" s="10" t="inlineStr">
        <is>
          <t>Definir, validar e manter: Supersedes</t>
        </is>
      </c>
      <c r="D111" s="11" t="n"/>
      <c r="E111" s="12" t="inlineStr">
        <is>
          <t>baixa</t>
        </is>
      </c>
    </row>
    <row r="112">
      <c r="A112" s="9" t="inlineStr">
        <is>
          <t>D06-DOC-RMI-001.SCHEMA.CREATED_AT</t>
        </is>
      </c>
      <c r="B112" s="10" t="inlineStr">
        <is>
          <t>created_at</t>
        </is>
      </c>
      <c r="C112" s="10" t="inlineStr">
        <is>
          <t>Definir, validar e manter: Created At</t>
        </is>
      </c>
      <c r="D112" s="11" t="n"/>
      <c r="E112" s="12" t="inlineStr">
        <is>
          <t>baixa</t>
        </is>
      </c>
    </row>
    <row r="113">
      <c r="A113" s="9" t="inlineStr">
        <is>
          <t>D06-DOC-RMI-001.SCHEMA.UPDATED_AT</t>
        </is>
      </c>
      <c r="B113" s="10" t="inlineStr">
        <is>
          <t>updated_at</t>
        </is>
      </c>
      <c r="C113" s="10" t="inlineStr">
        <is>
          <t>Definir, validar e manter: Updated At</t>
        </is>
      </c>
      <c r="D113" s="11" t="n"/>
      <c r="E113" s="12" t="inlineStr">
        <is>
          <t>baixa</t>
        </is>
      </c>
    </row>
    <row r="114">
      <c r="A114" s="8" t="inlineStr">
        <is>
          <t>Domínio D09 — Pesquisa e Inovação</t>
        </is>
      </c>
      <c r="B114" s="6" t="n"/>
      <c r="C114" s="6" t="n"/>
      <c r="D114" s="6" t="n"/>
      <c r="E114" s="7" t="n"/>
    </row>
    <row r="115">
      <c r="A115" s="8" t="inlineStr">
        <is>
          <t>Artefato D09-DOC-PPE-001 — Plano de Pesquisa e Experimentação</t>
        </is>
      </c>
      <c r="B115" s="6" t="n"/>
      <c r="C115" s="6" t="n"/>
      <c r="D115" s="6" t="n"/>
      <c r="E115" s="7" t="n"/>
    </row>
    <row r="116">
      <c r="A116" s="9" t="inlineStr">
        <is>
          <t>D09-DOC-PPE-001.QUESTION.PERGUNTA_DE_PESQUISA</t>
        </is>
      </c>
      <c r="B116" s="10" t="inlineStr">
        <is>
          <t>pergunta_de_pesquisa</t>
        </is>
      </c>
      <c r="C116" s="10" t="inlineStr">
        <is>
          <t>Definir, validar e manter: Pergunta De Pesquisa</t>
        </is>
      </c>
      <c r="D116" s="11" t="n"/>
      <c r="E116" s="12" t="inlineStr">
        <is>
          <t>baixa</t>
        </is>
      </c>
    </row>
    <row r="117">
      <c r="A117" s="9" t="inlineStr">
        <is>
          <t>D09-DOC-PPE-001.HYPOTHESIS.HIPOTESE</t>
        </is>
      </c>
      <c r="B117" s="10" t="inlineStr">
        <is>
          <t>hipotese</t>
        </is>
      </c>
      <c r="C117" s="10" t="inlineStr">
        <is>
          <t>Definir, validar e manter: Hipotese</t>
        </is>
      </c>
      <c r="D117" s="11" t="n"/>
      <c r="E117" s="12" t="inlineStr">
        <is>
          <t>alta</t>
        </is>
      </c>
    </row>
    <row r="118">
      <c r="A118" s="9" t="inlineStr">
        <is>
          <t>D09-DOC-PPE-001.HYPOTHESIS.PRESSUPOSTOS</t>
        </is>
      </c>
      <c r="B118" s="10" t="inlineStr">
        <is>
          <t>pressupostos</t>
        </is>
      </c>
      <c r="C118" s="10" t="inlineStr">
        <is>
          <t>Definir, validar e manter: Pressupostos</t>
        </is>
      </c>
      <c r="D118" s="11" t="n"/>
      <c r="E118" s="12" t="inlineStr">
        <is>
          <t>baixa</t>
        </is>
      </c>
    </row>
    <row r="119">
      <c r="A119" s="9" t="inlineStr">
        <is>
          <t>D09-DOC-PPE-001.EVIDENCE_REVIEW.FONTES_EXISTENTES</t>
        </is>
      </c>
      <c r="B119" s="10" t="inlineStr">
        <is>
          <t>fontes_existentes</t>
        </is>
      </c>
      <c r="C119" s="10" t="inlineStr">
        <is>
          <t>Definir, validar e manter: Fontes Existentes</t>
        </is>
      </c>
      <c r="D119" s="11" t="n"/>
      <c r="E119" s="12" t="inlineStr">
        <is>
          <t>baixa</t>
        </is>
      </c>
    </row>
    <row r="120">
      <c r="A120" s="9" t="inlineStr">
        <is>
          <t>D09-DOC-PPE-001.EVIDENCE_REVIEW.LACUNAS</t>
        </is>
      </c>
      <c r="B120" s="10" t="inlineStr">
        <is>
          <t>lacunas</t>
        </is>
      </c>
      <c r="C120" s="10" t="inlineStr">
        <is>
          <t>Definir, validar e manter: Lacunas</t>
        </is>
      </c>
      <c r="D120" s="11" t="n"/>
      <c r="E120" s="12" t="inlineStr">
        <is>
          <t>baixa</t>
        </is>
      </c>
    </row>
    <row r="121">
      <c r="A121" s="9" t="inlineStr">
        <is>
          <t>D09-DOC-PPE-001.METHOD.METODO</t>
        </is>
      </c>
      <c r="B121" s="10" t="inlineStr">
        <is>
          <t>metodo</t>
        </is>
      </c>
      <c r="C121" s="10" t="inlineStr">
        <is>
          <t>Definir, validar e manter: Metodo</t>
        </is>
      </c>
      <c r="D121" s="11" t="n"/>
      <c r="E121" s="12" t="inlineStr">
        <is>
          <t>baixa</t>
        </is>
      </c>
    </row>
    <row r="122">
      <c r="A122" s="9" t="inlineStr">
        <is>
          <t>D09-DOC-PPE-001.METHOD.DESENHO</t>
        </is>
      </c>
      <c r="B122" s="10" t="inlineStr">
        <is>
          <t>desenho</t>
        </is>
      </c>
      <c r="C122" s="10" t="inlineStr">
        <is>
          <t>Definir, validar e manter: Desenho</t>
        </is>
      </c>
      <c r="D122" s="11" t="n"/>
      <c r="E122" s="12" t="inlineStr">
        <is>
          <t>baixa</t>
        </is>
      </c>
    </row>
    <row r="123">
      <c r="A123" s="9" t="inlineStr">
        <is>
          <t>D09-DOC-PPE-001.POPULATION.PUBLICO</t>
        </is>
      </c>
      <c r="B123" s="10" t="inlineStr">
        <is>
          <t>publico</t>
        </is>
      </c>
      <c r="C123" s="10" t="inlineStr">
        <is>
          <t>Definir, validar e manter: Publico</t>
        </is>
      </c>
      <c r="D123" s="11" t="n"/>
      <c r="E123" s="12" t="inlineStr">
        <is>
          <t>baixa</t>
        </is>
      </c>
    </row>
    <row r="124">
      <c r="A124" s="9" t="inlineStr">
        <is>
          <t>D09-DOC-PPE-001.POPULATION.AMOSTRA</t>
        </is>
      </c>
      <c r="B124" s="10" t="inlineStr">
        <is>
          <t>amostra</t>
        </is>
      </c>
      <c r="C124" s="10" t="inlineStr">
        <is>
          <t>Definir, validar e manter: Amostra</t>
        </is>
      </c>
      <c r="D124" s="11" t="n"/>
      <c r="E124" s="12" t="inlineStr">
        <is>
          <t>baixa</t>
        </is>
      </c>
    </row>
    <row r="125">
      <c r="A125" s="9" t="inlineStr">
        <is>
          <t>D09-DOC-PPE-001.VARIABLES.INDEPENDENTE</t>
        </is>
      </c>
      <c r="B125" s="10" t="inlineStr">
        <is>
          <t>independente</t>
        </is>
      </c>
      <c r="C125" s="10" t="inlineStr">
        <is>
          <t>Definir, validar e manter: Independente</t>
        </is>
      </c>
      <c r="D125" s="11" t="n"/>
      <c r="E125" s="12" t="inlineStr">
        <is>
          <t>baixa</t>
        </is>
      </c>
    </row>
    <row r="126">
      <c r="A126" s="9" t="inlineStr">
        <is>
          <t>D09-DOC-PPE-001.VARIABLES.DEPENDENTE</t>
        </is>
      </c>
      <c r="B126" s="10" t="inlineStr">
        <is>
          <t>dependente</t>
        </is>
      </c>
      <c r="C126" s="10" t="inlineStr">
        <is>
          <t>Definir, validar e manter: Dependente</t>
        </is>
      </c>
      <c r="D126" s="11" t="n"/>
      <c r="E126" s="12" t="inlineStr">
        <is>
          <t>baixa</t>
        </is>
      </c>
    </row>
    <row r="127">
      <c r="A127" s="9" t="inlineStr">
        <is>
          <t>D09-DOC-PPE-001.VARIABLES.CONTROLE</t>
        </is>
      </c>
      <c r="B127" s="10" t="inlineStr">
        <is>
          <t>controle</t>
        </is>
      </c>
      <c r="C127" s="10" t="inlineStr">
        <is>
          <t>Definir, validar e manter: Controle</t>
        </is>
      </c>
      <c r="D127" s="11" t="n"/>
      <c r="E127" s="12" t="inlineStr">
        <is>
          <t>baixa</t>
        </is>
      </c>
    </row>
    <row r="128">
      <c r="A128" s="9" t="inlineStr">
        <is>
          <t>D09-DOC-PPE-001.PROTOCOL.PROCEDIMENTO</t>
        </is>
      </c>
      <c r="B128" s="10" t="inlineStr">
        <is>
          <t>procedimento</t>
        </is>
      </c>
      <c r="C128" s="10" t="inlineStr">
        <is>
          <t>Definir, validar e manter: Procedimento</t>
        </is>
      </c>
      <c r="D128" s="11" t="n"/>
      <c r="E128" s="12" t="inlineStr">
        <is>
          <t>baixa</t>
        </is>
      </c>
    </row>
    <row r="129">
      <c r="A129" s="9" t="inlineStr">
        <is>
          <t>D09-DOC-PPE-001.EXPERIMENT.INTERVENCAO</t>
        </is>
      </c>
      <c r="B129" s="10" t="inlineStr">
        <is>
          <t>intervencao</t>
        </is>
      </c>
      <c r="C129" s="10" t="inlineStr">
        <is>
          <t>Definir, validar e manter: Intervencao</t>
        </is>
      </c>
      <c r="D129" s="11" t="n"/>
      <c r="E129" s="12" t="inlineStr">
        <is>
          <t>baixa</t>
        </is>
      </c>
    </row>
    <row r="130">
      <c r="A130" s="9" t="inlineStr">
        <is>
          <t>D09-DOC-PPE-001.EXPERIMENT.COMPARACAO</t>
        </is>
      </c>
      <c r="B130" s="10" t="inlineStr">
        <is>
          <t>comparacao</t>
        </is>
      </c>
      <c r="C130" s="10" t="inlineStr">
        <is>
          <t>Definir, validar e manter: Comparacao</t>
        </is>
      </c>
      <c r="D130" s="11" t="n"/>
      <c r="E130" s="12" t="inlineStr">
        <is>
          <t>baixa</t>
        </is>
      </c>
    </row>
    <row r="131">
      <c r="A131" s="9" t="inlineStr">
        <is>
          <t>D09-DOC-PPE-001.MEASUREMENT.METRICAS</t>
        </is>
      </c>
      <c r="B131" s="10" t="inlineStr">
        <is>
          <t>metricas</t>
        </is>
      </c>
      <c r="C131" s="10" t="inlineStr">
        <is>
          <t>Definir, validar e manter: Metricas</t>
        </is>
      </c>
      <c r="D131" s="11" t="n"/>
      <c r="E131" s="12" t="inlineStr">
        <is>
          <t>baixa</t>
        </is>
      </c>
    </row>
    <row r="132">
      <c r="A132" s="9" t="inlineStr">
        <is>
          <t>D09-DOC-PPE-001.MEASUREMENT.INSTRUMENTOS</t>
        </is>
      </c>
      <c r="B132" s="10" t="inlineStr">
        <is>
          <t>instrumentos</t>
        </is>
      </c>
      <c r="C132" s="10" t="inlineStr">
        <is>
          <t>Definir, validar e manter: Instrumentos</t>
        </is>
      </c>
      <c r="D132" s="11" t="n"/>
      <c r="E132" s="12" t="inlineStr">
        <is>
          <t>baixa</t>
        </is>
      </c>
    </row>
    <row r="133">
      <c r="A133" s="9" t="inlineStr">
        <is>
          <t>D09-DOC-PPE-001.ANALYSIS.METODO_DE_ANALISE</t>
        </is>
      </c>
      <c r="B133" s="10" t="inlineStr">
        <is>
          <t>metodo_de_analise</t>
        </is>
      </c>
      <c r="C133" s="10" t="inlineStr">
        <is>
          <t>Definir, validar e manter: Metodo De Analise</t>
        </is>
      </c>
      <c r="D133" s="11" t="n"/>
      <c r="E133" s="12" t="inlineStr">
        <is>
          <t>baixa</t>
        </is>
      </c>
    </row>
    <row r="134">
      <c r="A134" s="9" t="inlineStr">
        <is>
          <t>D09-DOC-PPE-001.CRITERIA.SUCESSO</t>
        </is>
      </c>
      <c r="B134" s="10" t="inlineStr">
        <is>
          <t>sucesso</t>
        </is>
      </c>
      <c r="C134" s="10" t="inlineStr">
        <is>
          <t>Definir, validar e manter: Sucesso</t>
        </is>
      </c>
      <c r="D134" s="11" t="n"/>
      <c r="E134" s="12" t="inlineStr">
        <is>
          <t>baixa</t>
        </is>
      </c>
    </row>
    <row r="135">
      <c r="A135" s="9" t="inlineStr">
        <is>
          <t>D09-DOC-PPE-001.CRITERIA.FALHA</t>
        </is>
      </c>
      <c r="B135" s="10" t="inlineStr">
        <is>
          <t>falha</t>
        </is>
      </c>
      <c r="C135" s="10" t="inlineStr">
        <is>
          <t>Definir, validar e manter: Falha</t>
        </is>
      </c>
      <c r="D135" s="11" t="n"/>
      <c r="E135" s="12" t="inlineStr">
        <is>
          <t>baixa</t>
        </is>
      </c>
    </row>
    <row r="136">
      <c r="A136" s="9" t="inlineStr">
        <is>
          <t>D09-DOC-PPE-001.CRITERIA.INCONCLUSIVO</t>
        </is>
      </c>
      <c r="B136" s="10" t="inlineStr">
        <is>
          <t>inconclusivo</t>
        </is>
      </c>
      <c r="C136" s="10" t="inlineStr">
        <is>
          <t>Definir, validar e manter: Inconclusivo</t>
        </is>
      </c>
      <c r="D136" s="11" t="n"/>
      <c r="E136" s="12" t="inlineStr">
        <is>
          <t>baixa</t>
        </is>
      </c>
    </row>
    <row r="137">
      <c r="A137" s="9" t="inlineStr">
        <is>
          <t>D09-DOC-PPE-001.RESULTS.RESULTADO</t>
        </is>
      </c>
      <c r="B137" s="10" t="inlineStr">
        <is>
          <t>resultado</t>
        </is>
      </c>
      <c r="C137" s="10" t="inlineStr">
        <is>
          <t>Definir, validar e manter: Resultado</t>
        </is>
      </c>
      <c r="D137" s="11" t="n"/>
      <c r="E137" s="12" t="inlineStr">
        <is>
          <t>baixa</t>
        </is>
      </c>
    </row>
    <row r="138">
      <c r="A138" s="9" t="inlineStr">
        <is>
          <t>D09-DOC-PPE-001.RESULTS.LIMITACOES</t>
        </is>
      </c>
      <c r="B138" s="10" t="inlineStr">
        <is>
          <t>limitacoes</t>
        </is>
      </c>
      <c r="C138" s="10" t="inlineStr">
        <is>
          <t>Definir, validar e manter: Limitacoes</t>
        </is>
      </c>
      <c r="D138" s="11" t="n"/>
      <c r="E138" s="12" t="inlineStr">
        <is>
          <t>baixa</t>
        </is>
      </c>
    </row>
    <row r="139">
      <c r="A139" s="9" t="inlineStr">
        <is>
          <t>D09-DOC-PPE-001.DECISION.DECISAO_DERIVADA</t>
        </is>
      </c>
      <c r="B139" s="10" t="inlineStr">
        <is>
          <t>decisao_derivada</t>
        </is>
      </c>
      <c r="C139" s="10" t="inlineStr">
        <is>
          <t>Definir, validar e manter: Decisao Derivada</t>
        </is>
      </c>
      <c r="D139" s="11" t="n"/>
      <c r="E139" s="12" t="inlineStr">
        <is>
          <t>baixa</t>
        </is>
      </c>
    </row>
    <row r="140">
      <c r="A140" s="8" t="inlineStr">
        <is>
          <t>Artefato D09-DOC-DEB-001 — Dossiê de Evidências e Base Científica</t>
        </is>
      </c>
      <c r="B140" s="6" t="n"/>
      <c r="C140" s="6" t="n"/>
      <c r="D140" s="6" t="n"/>
      <c r="E140" s="7" t="n"/>
    </row>
    <row r="141">
      <c r="A141" s="9" t="inlineStr">
        <is>
          <t>D09-DOC-DEB-001.SCHEMA.CLAIM_ID</t>
        </is>
      </c>
      <c r="B141" s="10" t="inlineStr">
        <is>
          <t>claim_id</t>
        </is>
      </c>
      <c r="C141" s="10" t="inlineStr">
        <is>
          <t>Definir, validar e manter: Claim ID</t>
        </is>
      </c>
      <c r="D141" s="11" t="n"/>
      <c r="E141" s="12" t="inlineStr">
        <is>
          <t>baixa</t>
        </is>
      </c>
    </row>
    <row r="142">
      <c r="A142" s="9" t="inlineStr">
        <is>
          <t>D09-DOC-DEB-001.SCHEMA.CLAIM</t>
        </is>
      </c>
      <c r="B142" s="10" t="inlineStr">
        <is>
          <t>claim</t>
        </is>
      </c>
      <c r="C142" s="10" t="inlineStr">
        <is>
          <t>Definir, validar e manter: Claim</t>
        </is>
      </c>
      <c r="D142" s="11" t="n"/>
      <c r="E142" s="12" t="inlineStr">
        <is>
          <t>alta</t>
        </is>
      </c>
    </row>
    <row r="143">
      <c r="A143" s="9" t="inlineStr">
        <is>
          <t>D09-DOC-DEB-001.SCHEMA.DOMAIN</t>
        </is>
      </c>
      <c r="B143" s="10" t="inlineStr">
        <is>
          <t>domain</t>
        </is>
      </c>
      <c r="C143" s="10" t="inlineStr">
        <is>
          <t>Definir, validar e manter: Domain</t>
        </is>
      </c>
      <c r="D143" s="11" t="n"/>
      <c r="E143" s="12" t="inlineStr">
        <is>
          <t>baixa</t>
        </is>
      </c>
    </row>
    <row r="144">
      <c r="A144" s="9" t="inlineStr">
        <is>
          <t>D09-DOC-DEB-001.SCHEMA.EVIDENCE_CLASS</t>
        </is>
      </c>
      <c r="B144" s="10" t="inlineStr">
        <is>
          <t>evidence_class</t>
        </is>
      </c>
      <c r="C144" s="10" t="inlineStr">
        <is>
          <t>Definir, validar e manter: Evidence Class</t>
        </is>
      </c>
      <c r="D144" s="11" t="n"/>
      <c r="E144" s="12" t="inlineStr">
        <is>
          <t>baixa</t>
        </is>
      </c>
    </row>
    <row r="145">
      <c r="A145" s="9" t="inlineStr">
        <is>
          <t>D09-DOC-DEB-001.SCHEMA.SOURCE_ID</t>
        </is>
      </c>
      <c r="B145" s="10" t="inlineStr">
        <is>
          <t>source_id</t>
        </is>
      </c>
      <c r="C145" s="10" t="inlineStr">
        <is>
          <t>Definir, validar e manter: Source ID</t>
        </is>
      </c>
      <c r="D145" s="11" t="n"/>
      <c r="E145" s="12" t="inlineStr">
        <is>
          <t>baixa</t>
        </is>
      </c>
    </row>
    <row r="146">
      <c r="A146" s="9" t="inlineStr">
        <is>
          <t>D09-DOC-DEB-001.SCHEMA.SOURCE_TYPE</t>
        </is>
      </c>
      <c r="B146" s="10" t="inlineStr">
        <is>
          <t>source_type</t>
        </is>
      </c>
      <c r="C146" s="10" t="inlineStr">
        <is>
          <t>Definir, validar e manter: Source Type</t>
        </is>
      </c>
      <c r="D146" s="11" t="n"/>
      <c r="E146" s="12" t="inlineStr">
        <is>
          <t>baixa</t>
        </is>
      </c>
    </row>
    <row r="147">
      <c r="A147" s="9" t="inlineStr">
        <is>
          <t>D09-DOC-DEB-001.SCHEMA.CITATION</t>
        </is>
      </c>
      <c r="B147" s="10" t="inlineStr">
        <is>
          <t>citation</t>
        </is>
      </c>
      <c r="C147" s="10" t="inlineStr">
        <is>
          <t>Definir, validar e manter: Citation</t>
        </is>
      </c>
      <c r="D147" s="11" t="n"/>
      <c r="E147" s="12" t="inlineStr">
        <is>
          <t>baixa</t>
        </is>
      </c>
    </row>
    <row r="148">
      <c r="A148" s="9" t="inlineStr">
        <is>
          <t>D09-DOC-DEB-001.SCHEMA.LOCATOR</t>
        </is>
      </c>
      <c r="B148" s="10" t="inlineStr">
        <is>
          <t>locator</t>
        </is>
      </c>
      <c r="C148" s="10" t="inlineStr">
        <is>
          <t>Definir, validar e manter: Locator</t>
        </is>
      </c>
      <c r="D148" s="11" t="n"/>
      <c r="E148" s="12" t="inlineStr">
        <is>
          <t>baixa</t>
        </is>
      </c>
    </row>
    <row r="149">
      <c r="A149" s="9" t="inlineStr">
        <is>
          <t>D09-DOC-DEB-001.SCHEMA.PUBLICATION_DATE</t>
        </is>
      </c>
      <c r="B149" s="10" t="inlineStr">
        <is>
          <t>publication_date</t>
        </is>
      </c>
      <c r="C149" s="10" t="inlineStr">
        <is>
          <t>Definir, validar e manter: Publication Date</t>
        </is>
      </c>
      <c r="D149" s="11" t="n"/>
      <c r="E149" s="12" t="inlineStr">
        <is>
          <t>baixa</t>
        </is>
      </c>
    </row>
    <row r="150">
      <c r="A150" s="9" t="inlineStr">
        <is>
          <t>D09-DOC-DEB-001.SCHEMA.POPULATION</t>
        </is>
      </c>
      <c r="B150" s="10" t="inlineStr">
        <is>
          <t>population</t>
        </is>
      </c>
      <c r="C150" s="10" t="inlineStr">
        <is>
          <t>Definir, validar e manter: Population</t>
        </is>
      </c>
      <c r="D150" s="11" t="n"/>
      <c r="E150" s="12" t="inlineStr">
        <is>
          <t>baixa</t>
        </is>
      </c>
    </row>
    <row r="151">
      <c r="A151" s="9" t="inlineStr">
        <is>
          <t>D09-DOC-DEB-001.SCHEMA.FINDING</t>
        </is>
      </c>
      <c r="B151" s="10" t="inlineStr">
        <is>
          <t>finding</t>
        </is>
      </c>
      <c r="C151" s="10" t="inlineStr">
        <is>
          <t>Definir, validar e manter: Finding</t>
        </is>
      </c>
      <c r="D151" s="11" t="n"/>
      <c r="E151" s="12" t="inlineStr">
        <is>
          <t>baixa</t>
        </is>
      </c>
    </row>
    <row r="152">
      <c r="A152" s="9" t="inlineStr">
        <is>
          <t>D09-DOC-DEB-001.SCHEMA.LIMITATION</t>
        </is>
      </c>
      <c r="B152" s="10" t="inlineStr">
        <is>
          <t>limitation</t>
        </is>
      </c>
      <c r="C152" s="10" t="inlineStr">
        <is>
          <t>Definir, validar e manter: Limitation</t>
        </is>
      </c>
      <c r="D152" s="11" t="n"/>
      <c r="E152" s="12" t="inlineStr">
        <is>
          <t>baixa</t>
        </is>
      </c>
    </row>
    <row r="153">
      <c r="A153" s="9" t="inlineStr">
        <is>
          <t>D09-DOC-DEB-001.SCHEMA.CONTRADICTORY_EVIDENCE</t>
        </is>
      </c>
      <c r="B153" s="10" t="inlineStr">
        <is>
          <t>contradictory_evidence</t>
        </is>
      </c>
      <c r="C153" s="10" t="inlineStr">
        <is>
          <t>Definir, validar e manter: Contradictory Evidence</t>
        </is>
      </c>
      <c r="D153" s="11" t="n"/>
      <c r="E153" s="12" t="inlineStr">
        <is>
          <t>baixa</t>
        </is>
      </c>
    </row>
    <row r="154">
      <c r="A154" s="9" t="inlineStr">
        <is>
          <t>D09-DOC-DEB-001.SCHEMA.SUPPORTED_DOCUMENTS</t>
        </is>
      </c>
      <c r="B154" s="10" t="inlineStr">
        <is>
          <t>supported_documents</t>
        </is>
      </c>
      <c r="C154" s="10" t="inlineStr">
        <is>
          <t>Definir, validar e manter: Supported Documents</t>
        </is>
      </c>
      <c r="D154" s="11" t="n"/>
      <c r="E154" s="12" t="inlineStr">
        <is>
          <t>baixa</t>
        </is>
      </c>
    </row>
    <row r="155">
      <c r="A155" s="9" t="inlineStr">
        <is>
          <t>D09-DOC-DEB-001.SCHEMA.CONFIDENCE</t>
        </is>
      </c>
      <c r="B155" s="10" t="inlineStr">
        <is>
          <t>confidence</t>
        </is>
      </c>
      <c r="C155" s="10" t="inlineStr">
        <is>
          <t>Definir, validar e manter: Confidence</t>
        </is>
      </c>
      <c r="D155" s="11" t="n"/>
      <c r="E155" s="12" t="inlineStr">
        <is>
          <t>baixa</t>
        </is>
      </c>
    </row>
    <row r="156">
      <c r="A156" s="9" t="inlineStr">
        <is>
          <t>D09-DOC-DEB-001.SCHEMA.STATUS</t>
        </is>
      </c>
      <c r="B156" s="10" t="inlineStr">
        <is>
          <t>status</t>
        </is>
      </c>
      <c r="C156" s="10" t="inlineStr">
        <is>
          <t>Definir, validar e manter: Status</t>
        </is>
      </c>
      <c r="D156" s="11" t="n"/>
      <c r="E156" s="12" t="inlineStr">
        <is>
          <t>baixa</t>
        </is>
      </c>
    </row>
  </sheetData>
  <mergeCells count="10">
    <mergeCell ref="A140:E140"/>
    <mergeCell ref="A114:E114"/>
    <mergeCell ref="A4:E4"/>
    <mergeCell ref="A64:E64"/>
    <mergeCell ref="A7:E7"/>
    <mergeCell ref="A63:E63"/>
    <mergeCell ref="A94:E94"/>
    <mergeCell ref="A115:E115"/>
    <mergeCell ref="A44:E44"/>
    <mergeCell ref="A6:E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G46"/>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COUNTA(D7:D47)&amp;" / 39"</f>
        <v/>
      </c>
    </row>
    <row r="4">
      <c r="A4" s="5" t="inlineStr">
        <is>
          <t>A07 — Corporativo e Suporte</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D04 — Pessoas e Recursos Humanos</t>
        </is>
      </c>
      <c r="B6" s="6" t="n"/>
      <c r="C6" s="6" t="n"/>
      <c r="D6" s="6" t="n"/>
      <c r="E6" s="7" t="n"/>
    </row>
    <row r="7">
      <c r="A7" s="8" t="inlineStr">
        <is>
          <t>Artefato D04-DOC-PPC-001 — Plano de Pessoas e Capacidade</t>
        </is>
      </c>
      <c r="B7" s="6" t="n"/>
      <c r="C7" s="6" t="n"/>
      <c r="D7" s="6" t="n"/>
      <c r="E7" s="7" t="n"/>
    </row>
    <row r="8">
      <c r="A8" s="9" t="inlineStr">
        <is>
          <t>D04-DOC-PPC-001.ORGANIZATION.ESTRUTURA</t>
        </is>
      </c>
      <c r="B8" s="10" t="inlineStr">
        <is>
          <t>estrutura</t>
        </is>
      </c>
      <c r="C8" s="10" t="inlineStr">
        <is>
          <t>Definir, validar e manter: Estrutura</t>
        </is>
      </c>
      <c r="D8" s="11" t="n"/>
      <c r="E8" s="12" t="inlineStr">
        <is>
          <t>baixa</t>
        </is>
      </c>
    </row>
    <row r="9">
      <c r="A9" s="9" t="inlineStr">
        <is>
          <t>D04-DOC-PPC-001.ORGANIZATION.EQUIPES</t>
        </is>
      </c>
      <c r="B9" s="10" t="inlineStr">
        <is>
          <t>equipes</t>
        </is>
      </c>
      <c r="C9" s="10" t="inlineStr">
        <is>
          <t>Definir, validar e manter: Equipes</t>
        </is>
      </c>
      <c r="D9" s="11" t="n"/>
      <c r="E9" s="12" t="inlineStr">
        <is>
          <t>baixa</t>
        </is>
      </c>
    </row>
    <row r="10">
      <c r="A10" s="9" t="inlineStr">
        <is>
          <t>D04-DOC-PPC-001.ORGANIZATION.FUNCOES</t>
        </is>
      </c>
      <c r="B10" s="10" t="inlineStr">
        <is>
          <t>funcoes</t>
        </is>
      </c>
      <c r="C10" s="10" t="inlineStr">
        <is>
          <t>Definir, validar e manter: Funcoes</t>
        </is>
      </c>
      <c r="D10" s="11" t="n"/>
      <c r="E10" s="12" t="inlineStr">
        <is>
          <t>baixa</t>
        </is>
      </c>
    </row>
    <row r="11">
      <c r="A11" s="9" t="inlineStr">
        <is>
          <t>D04-DOC-PPC-001.ROLES.PAPEL</t>
        </is>
      </c>
      <c r="B11" s="10" t="inlineStr">
        <is>
          <t>papel</t>
        </is>
      </c>
      <c r="C11" s="10" t="inlineStr">
        <is>
          <t>Definir, validar e manter: Papel</t>
        </is>
      </c>
      <c r="D11" s="11" t="n"/>
      <c r="E11" s="12" t="inlineStr">
        <is>
          <t>baixa</t>
        </is>
      </c>
    </row>
    <row r="12">
      <c r="A12" s="9" t="inlineStr">
        <is>
          <t>D04-DOC-PPC-001.ROLES.RESPONSABILIDADES</t>
        </is>
      </c>
      <c r="B12" s="10" t="inlineStr">
        <is>
          <t>responsabilidades</t>
        </is>
      </c>
      <c r="C12" s="10" t="inlineStr">
        <is>
          <t>Definir, validar e manter: Responsabilidades</t>
        </is>
      </c>
      <c r="D12" s="11" t="n"/>
      <c r="E12" s="12" t="inlineStr">
        <is>
          <t>baixa</t>
        </is>
      </c>
    </row>
    <row r="13">
      <c r="A13" s="9" t="inlineStr">
        <is>
          <t>D04-DOC-PPC-001.ROLES.AUTORIDADE</t>
        </is>
      </c>
      <c r="B13" s="10" t="inlineStr">
        <is>
          <t>autoridade</t>
        </is>
      </c>
      <c r="C13" s="10" t="inlineStr">
        <is>
          <t>Definir, validar e manter: Autoridade</t>
        </is>
      </c>
      <c r="D13" s="11" t="n"/>
      <c r="E13" s="12" t="inlineStr">
        <is>
          <t>baixa</t>
        </is>
      </c>
    </row>
    <row r="14">
      <c r="A14" s="9" t="inlineStr">
        <is>
          <t>D04-DOC-PPC-001.RACI.ATIVIDADE</t>
        </is>
      </c>
      <c r="B14" s="10" t="inlineStr">
        <is>
          <t>atividade</t>
        </is>
      </c>
      <c r="C14" s="10" t="inlineStr">
        <is>
          <t>Definir, validar e manter: Atividade</t>
        </is>
      </c>
      <c r="D14" s="11" t="n"/>
      <c r="E14" s="12" t="inlineStr">
        <is>
          <t>baixa</t>
        </is>
      </c>
    </row>
    <row r="15">
      <c r="A15" s="9" t="inlineStr">
        <is>
          <t>D04-DOC-PPC-001.RACI.RESPONSAVEL</t>
        </is>
      </c>
      <c r="B15" s="10" t="inlineStr">
        <is>
          <t>responsavel</t>
        </is>
      </c>
      <c r="C15" s="10" t="inlineStr">
        <is>
          <t>Definir, validar e manter: Responsavel</t>
        </is>
      </c>
      <c r="D15" s="11" t="n"/>
      <c r="E15" s="12" t="inlineStr">
        <is>
          <t>media</t>
        </is>
      </c>
    </row>
    <row r="16">
      <c r="A16" s="9" t="inlineStr">
        <is>
          <t>D04-DOC-PPC-001.RACI.APROVADOR</t>
        </is>
      </c>
      <c r="B16" s="10" t="inlineStr">
        <is>
          <t>aprovador</t>
        </is>
      </c>
      <c r="C16" s="10" t="inlineStr">
        <is>
          <t>Definir, validar e manter: Aprovador</t>
        </is>
      </c>
      <c r="D16" s="11" t="n"/>
      <c r="E16" s="12" t="inlineStr">
        <is>
          <t>media</t>
        </is>
      </c>
    </row>
    <row r="17">
      <c r="A17" s="9" t="inlineStr">
        <is>
          <t>D04-DOC-PPC-001.RACI.CONSULTADO</t>
        </is>
      </c>
      <c r="B17" s="10" t="inlineStr">
        <is>
          <t>consultado</t>
        </is>
      </c>
      <c r="C17" s="10" t="inlineStr">
        <is>
          <t>Definir, validar e manter: Consultado</t>
        </is>
      </c>
      <c r="D17" s="11" t="n"/>
      <c r="E17" s="12" t="inlineStr">
        <is>
          <t>media</t>
        </is>
      </c>
    </row>
    <row r="18">
      <c r="A18" s="9" t="inlineStr">
        <is>
          <t>D04-DOC-PPC-001.RACI.INFORMADO</t>
        </is>
      </c>
      <c r="B18" s="10" t="inlineStr">
        <is>
          <t>informado</t>
        </is>
      </c>
      <c r="C18" s="10" t="inlineStr">
        <is>
          <t>Definir, validar e manter: Informado</t>
        </is>
      </c>
      <c r="D18" s="11" t="n"/>
      <c r="E18" s="12" t="inlineStr">
        <is>
          <t>media</t>
        </is>
      </c>
    </row>
    <row r="19">
      <c r="A19" s="9" t="inlineStr">
        <is>
          <t>D04-DOC-PPC-001.PEOPLE.PESSOA</t>
        </is>
      </c>
      <c r="B19" s="10" t="inlineStr">
        <is>
          <t>pessoa</t>
        </is>
      </c>
      <c r="C19" s="10" t="inlineStr">
        <is>
          <t>Definir, validar e manter: Pessoa</t>
        </is>
      </c>
      <c r="D19" s="11" t="n"/>
      <c r="E19" s="12" t="inlineStr">
        <is>
          <t>media</t>
        </is>
      </c>
    </row>
    <row r="20">
      <c r="A20" s="9" t="inlineStr">
        <is>
          <t>D04-DOC-PPC-001.PEOPLE.FUNCAO</t>
        </is>
      </c>
      <c r="B20" s="10" t="inlineStr">
        <is>
          <t>funcao</t>
        </is>
      </c>
      <c r="C20" s="10" t="inlineStr">
        <is>
          <t>Definir, validar e manter: Funcao</t>
        </is>
      </c>
      <c r="D20" s="11" t="n"/>
      <c r="E20" s="12" t="inlineStr">
        <is>
          <t>baixa</t>
        </is>
      </c>
    </row>
    <row r="21">
      <c r="A21" s="9" t="inlineStr">
        <is>
          <t>D04-DOC-PPC-001.PEOPLE.DISPONIBILIDADE</t>
        </is>
      </c>
      <c r="B21" s="10" t="inlineStr">
        <is>
          <t>disponibilidade</t>
        </is>
      </c>
      <c r="C21" s="10" t="inlineStr">
        <is>
          <t>Definir, validar e manter: Disponibilidade</t>
        </is>
      </c>
      <c r="D21" s="11" t="n"/>
      <c r="E21" s="12" t="inlineStr">
        <is>
          <t>baixa</t>
        </is>
      </c>
    </row>
    <row r="22">
      <c r="A22" s="9" t="inlineStr">
        <is>
          <t>D04-DOC-PPC-001.COMPETENCIES.COMPETENCIA</t>
        </is>
      </c>
      <c r="B22" s="10" t="inlineStr">
        <is>
          <t>competencia</t>
        </is>
      </c>
      <c r="C22" s="10" t="inlineStr">
        <is>
          <t>Definir, validar e manter: Competencia</t>
        </is>
      </c>
      <c r="D22" s="11" t="n"/>
      <c r="E22" s="12" t="inlineStr">
        <is>
          <t>baixa</t>
        </is>
      </c>
    </row>
    <row r="23">
      <c r="A23" s="9" t="inlineStr">
        <is>
          <t>D04-DOC-PPC-001.COMPETENCIES.NIVEL</t>
        </is>
      </c>
      <c r="B23" s="10" t="inlineStr">
        <is>
          <t>nivel</t>
        </is>
      </c>
      <c r="C23" s="10" t="inlineStr">
        <is>
          <t>Definir, validar e manter: Nivel</t>
        </is>
      </c>
      <c r="D23" s="11" t="n"/>
      <c r="E23" s="12" t="inlineStr">
        <is>
          <t>baixa</t>
        </is>
      </c>
    </row>
    <row r="24">
      <c r="A24" s="9" t="inlineStr">
        <is>
          <t>D04-DOC-PPC-001.COMPETENCIES.NECESSIDADE</t>
        </is>
      </c>
      <c r="B24" s="10" t="inlineStr">
        <is>
          <t>necessidade</t>
        </is>
      </c>
      <c r="C24" s="10" t="inlineStr">
        <is>
          <t>Definir, validar e manter: Necessidade</t>
        </is>
      </c>
      <c r="D24" s="11" t="n"/>
      <c r="E24" s="12" t="inlineStr">
        <is>
          <t>baixa</t>
        </is>
      </c>
    </row>
    <row r="25">
      <c r="A25" s="9" t="inlineStr">
        <is>
          <t>D04-DOC-PPC-001.CAPACITY.HORAS_DISPONIVEIS</t>
        </is>
      </c>
      <c r="B25" s="10" t="inlineStr">
        <is>
          <t>horas_disponiveis</t>
        </is>
      </c>
      <c r="C25" s="10" t="inlineStr">
        <is>
          <t>Definir, validar e manter: Horas Disponiveis</t>
        </is>
      </c>
      <c r="D25" s="11" t="n"/>
      <c r="E25" s="12" t="inlineStr">
        <is>
          <t>baixa</t>
        </is>
      </c>
    </row>
    <row r="26">
      <c r="A26" s="9" t="inlineStr">
        <is>
          <t>D04-DOC-PPC-001.CAPACITY.CAPACIDADE_LIQUIDA</t>
        </is>
      </c>
      <c r="B26" s="10" t="inlineStr">
        <is>
          <t>capacidade_liquida</t>
        </is>
      </c>
      <c r="C26" s="10" t="inlineStr">
        <is>
          <t>Definir, validar e manter: Capacidade Liquida</t>
        </is>
      </c>
      <c r="D26" s="11" t="n"/>
      <c r="E26" s="12" t="inlineStr">
        <is>
          <t>baixa</t>
        </is>
      </c>
    </row>
    <row r="27">
      <c r="A27" s="9" t="inlineStr">
        <is>
          <t>D04-DOC-PPC-001.CAPACITY.RESTRICOES</t>
        </is>
      </c>
      <c r="B27" s="10" t="inlineStr">
        <is>
          <t>restricoes</t>
        </is>
      </c>
      <c r="C27" s="10" t="inlineStr">
        <is>
          <t>Definir, validar e manter: Restricoes</t>
        </is>
      </c>
      <c r="D27" s="11" t="n"/>
      <c r="E27" s="12" t="inlineStr">
        <is>
          <t>baixa</t>
        </is>
      </c>
    </row>
    <row r="28">
      <c r="A28" s="9" t="inlineStr">
        <is>
          <t>D04-DOC-PPC-001.WORKLOAD.DEMANDA</t>
        </is>
      </c>
      <c r="B28" s="10" t="inlineStr">
        <is>
          <t>demanda</t>
        </is>
      </c>
      <c r="C28" s="10" t="inlineStr">
        <is>
          <t>Definir, validar e manter: Demanda</t>
        </is>
      </c>
      <c r="D28" s="11" t="n"/>
      <c r="E28" s="12" t="inlineStr">
        <is>
          <t>baixa</t>
        </is>
      </c>
    </row>
    <row r="29">
      <c r="A29" s="9" t="inlineStr">
        <is>
          <t>D04-DOC-PPC-001.WORKLOAD.CAPACIDADE</t>
        </is>
      </c>
      <c r="B29" s="10" t="inlineStr">
        <is>
          <t>capacidade</t>
        </is>
      </c>
      <c r="C29" s="10" t="inlineStr">
        <is>
          <t>Definir, validar e manter: Capacidade</t>
        </is>
      </c>
      <c r="D29" s="11" t="n"/>
      <c r="E29" s="12" t="inlineStr">
        <is>
          <t>baixa</t>
        </is>
      </c>
    </row>
    <row r="30">
      <c r="A30" s="9" t="inlineStr">
        <is>
          <t>D04-DOC-PPC-001.WORKLOAD.DEFICIT</t>
        </is>
      </c>
      <c r="B30" s="10" t="inlineStr">
        <is>
          <t>deficit</t>
        </is>
      </c>
      <c r="C30" s="10" t="inlineStr">
        <is>
          <t>Definir, validar e manter: Deficit</t>
        </is>
      </c>
      <c r="D30" s="11" t="n"/>
      <c r="E30" s="12" t="inlineStr">
        <is>
          <t>baixa</t>
        </is>
      </c>
    </row>
    <row r="31">
      <c r="A31" s="9" t="inlineStr">
        <is>
          <t>D04-DOC-PPC-001.GAPS.LACUNA</t>
        </is>
      </c>
      <c r="B31" s="10" t="inlineStr">
        <is>
          <t>lacuna</t>
        </is>
      </c>
      <c r="C31" s="10" t="inlineStr">
        <is>
          <t>Definir, validar e manter: Lacuna</t>
        </is>
      </c>
      <c r="D31" s="11" t="n"/>
      <c r="E31" s="12" t="inlineStr">
        <is>
          <t>baixa</t>
        </is>
      </c>
    </row>
    <row r="32">
      <c r="A32" s="9" t="inlineStr">
        <is>
          <t>D04-DOC-PPC-001.GAPS.IMPACTO</t>
        </is>
      </c>
      <c r="B32" s="10" t="inlineStr">
        <is>
          <t>impacto</t>
        </is>
      </c>
      <c r="C32" s="10" t="inlineStr">
        <is>
          <t>Definir, validar e manter: Impacto</t>
        </is>
      </c>
      <c r="D32" s="11" t="n"/>
      <c r="E32" s="12" t="inlineStr">
        <is>
          <t>baixa</t>
        </is>
      </c>
    </row>
    <row r="33">
      <c r="A33" s="9" t="inlineStr">
        <is>
          <t>D04-DOC-PPC-001.GAPS.PRIORIDADE</t>
        </is>
      </c>
      <c r="B33" s="10" t="inlineStr">
        <is>
          <t>prioridade</t>
        </is>
      </c>
      <c r="C33" s="10" t="inlineStr">
        <is>
          <t>Definir, validar e manter: Prioridade</t>
        </is>
      </c>
      <c r="D33" s="11" t="n"/>
      <c r="E33" s="12" t="inlineStr">
        <is>
          <t>media</t>
        </is>
      </c>
    </row>
    <row r="34">
      <c r="A34" s="9" t="inlineStr">
        <is>
          <t>D04-DOC-PPC-001.HIRING.NECESSIDADES_FUTURAS</t>
        </is>
      </c>
      <c r="B34" s="10" t="inlineStr">
        <is>
          <t>necessidades_futuras</t>
        </is>
      </c>
      <c r="C34" s="10" t="inlineStr">
        <is>
          <t>Definir, validar e manter: Necessidades Futuras</t>
        </is>
      </c>
      <c r="D34" s="11" t="n"/>
      <c r="E34" s="12" t="inlineStr">
        <is>
          <t>baixa</t>
        </is>
      </c>
    </row>
    <row r="35">
      <c r="A35" s="9" t="inlineStr">
        <is>
          <t>D04-DOC-PPC-001.HIRING.PERFIL</t>
        </is>
      </c>
      <c r="B35" s="10" t="inlineStr">
        <is>
          <t>perfil</t>
        </is>
      </c>
      <c r="C35" s="10" t="inlineStr">
        <is>
          <t>Definir, validar e manter: Perfil</t>
        </is>
      </c>
      <c r="D35" s="11" t="n"/>
      <c r="E35" s="12" t="inlineStr">
        <is>
          <t>baixa</t>
        </is>
      </c>
    </row>
    <row r="36">
      <c r="A36" s="9" t="inlineStr">
        <is>
          <t>D04-DOC-PPC-001.ONBOARDING.ENTRADA</t>
        </is>
      </c>
      <c r="B36" s="10" t="inlineStr">
        <is>
          <t>entrada</t>
        </is>
      </c>
      <c r="C36" s="10" t="inlineStr">
        <is>
          <t>Definir, validar e manter: Entrada</t>
        </is>
      </c>
      <c r="D36" s="11" t="n"/>
      <c r="E36" s="12" t="inlineStr">
        <is>
          <t>baixa</t>
        </is>
      </c>
    </row>
    <row r="37">
      <c r="A37" s="9" t="inlineStr">
        <is>
          <t>D04-DOC-PPC-001.ONBOARDING.TREINAMENTO</t>
        </is>
      </c>
      <c r="B37" s="10" t="inlineStr">
        <is>
          <t>treinamento</t>
        </is>
      </c>
      <c r="C37" s="10" t="inlineStr">
        <is>
          <t>Definir, validar e manter: Treinamento</t>
        </is>
      </c>
      <c r="D37" s="11" t="n"/>
      <c r="E37" s="12" t="inlineStr">
        <is>
          <t>baixa</t>
        </is>
      </c>
    </row>
    <row r="38">
      <c r="A38" s="9" t="inlineStr">
        <is>
          <t>D04-DOC-PPC-001.ONBOARDING.ACESSO</t>
        </is>
      </c>
      <c r="B38" s="10" t="inlineStr">
        <is>
          <t>acesso</t>
        </is>
      </c>
      <c r="C38" s="10" t="inlineStr">
        <is>
          <t>Definir, validar e manter: Acesso</t>
        </is>
      </c>
      <c r="D38" s="11" t="n"/>
      <c r="E38" s="12" t="inlineStr">
        <is>
          <t>baixa</t>
        </is>
      </c>
    </row>
    <row r="39">
      <c r="A39" s="9" t="inlineStr">
        <is>
          <t>D04-DOC-PPC-001.DEVELOPMENT.FORMACAO</t>
        </is>
      </c>
      <c r="B39" s="10" t="inlineStr">
        <is>
          <t>formacao</t>
        </is>
      </c>
      <c r="C39" s="10" t="inlineStr">
        <is>
          <t>Definir, validar e manter: Formacao</t>
        </is>
      </c>
      <c r="D39" s="11" t="n"/>
      <c r="E39" s="12" t="inlineStr">
        <is>
          <t>baixa</t>
        </is>
      </c>
    </row>
    <row r="40">
      <c r="A40" s="9" t="inlineStr">
        <is>
          <t>D04-DOC-PPC-001.DEVELOPMENT.CAPACITACAO</t>
        </is>
      </c>
      <c r="B40" s="10" t="inlineStr">
        <is>
          <t>capacitacao</t>
        </is>
      </c>
      <c r="C40" s="10" t="inlineStr">
        <is>
          <t>Definir, validar e manter: Capacitacao</t>
        </is>
      </c>
      <c r="D40" s="11" t="n"/>
      <c r="E40" s="12" t="inlineStr">
        <is>
          <t>baixa</t>
        </is>
      </c>
    </row>
    <row r="41">
      <c r="A41" s="9" t="inlineStr">
        <is>
          <t>D04-DOC-PPC-001.CONTINUITY.DEPENDENCIA_DE_PESSOA</t>
        </is>
      </c>
      <c r="B41" s="10" t="inlineStr">
        <is>
          <t>dependencia_de_pessoa</t>
        </is>
      </c>
      <c r="C41" s="10" t="inlineStr">
        <is>
          <t>Definir, validar e manter: Dependencia De Pessoa</t>
        </is>
      </c>
      <c r="D41" s="11" t="n"/>
      <c r="E41" s="12" t="inlineStr">
        <is>
          <t>baixa</t>
        </is>
      </c>
    </row>
    <row r="42">
      <c r="A42" s="9" t="inlineStr">
        <is>
          <t>D04-DOC-PPC-001.CONTINUITY.SUBSTITUICAO</t>
        </is>
      </c>
      <c r="B42" s="10" t="inlineStr">
        <is>
          <t>substituicao</t>
        </is>
      </c>
      <c r="C42" s="10" t="inlineStr">
        <is>
          <t>Definir, validar e manter: Substituicao</t>
        </is>
      </c>
      <c r="D42" s="11" t="n"/>
      <c r="E42" s="12" t="inlineStr">
        <is>
          <t>baixa</t>
        </is>
      </c>
    </row>
    <row r="43">
      <c r="A43" s="9" t="inlineStr">
        <is>
          <t>D04-DOC-PPC-001.METRICS.UTILIZACAO</t>
        </is>
      </c>
      <c r="B43" s="10" t="inlineStr">
        <is>
          <t>utilizacao</t>
        </is>
      </c>
      <c r="C43" s="10" t="inlineStr">
        <is>
          <t>Definir, validar e manter: Utilizacao</t>
        </is>
      </c>
      <c r="D43" s="11" t="n"/>
      <c r="E43" s="12" t="inlineStr">
        <is>
          <t>baixa</t>
        </is>
      </c>
    </row>
    <row r="44">
      <c r="A44" s="9" t="inlineStr">
        <is>
          <t>D04-DOC-PPC-001.METRICS.CAPACIDADE</t>
        </is>
      </c>
      <c r="B44" s="10" t="inlineStr">
        <is>
          <t>capacidade</t>
        </is>
      </c>
      <c r="C44" s="10" t="inlineStr">
        <is>
          <t>Definir, validar e manter: Capacidade</t>
        </is>
      </c>
      <c r="D44" s="11" t="n"/>
      <c r="E44" s="12" t="inlineStr">
        <is>
          <t>baixa</t>
        </is>
      </c>
    </row>
    <row r="45">
      <c r="A45" s="9" t="inlineStr">
        <is>
          <t>D04-DOC-PPC-001.METRICS.TURNOVER</t>
        </is>
      </c>
      <c r="B45" s="10" t="inlineStr">
        <is>
          <t>turnover</t>
        </is>
      </c>
      <c r="C45" s="10" t="inlineStr">
        <is>
          <t>Definir, validar e manter: Turnover</t>
        </is>
      </c>
      <c r="D45" s="11" t="n"/>
      <c r="E45" s="12" t="inlineStr">
        <is>
          <t>baixa</t>
        </is>
      </c>
    </row>
    <row r="46">
      <c r="A46" s="9" t="inlineStr">
        <is>
          <t>D04-DOC-PPC-001.METRICS.GAPS</t>
        </is>
      </c>
      <c r="B46" s="10" t="inlineStr">
        <is>
          <t>gaps</t>
        </is>
      </c>
      <c r="C46" s="10" t="inlineStr">
        <is>
          <t>Definir, validar e manter: Gaps</t>
        </is>
      </c>
      <c r="D46" s="11" t="n"/>
      <c r="E46" s="12" t="inlineStr">
        <is>
          <t>baixa</t>
        </is>
      </c>
    </row>
  </sheetData>
  <mergeCells count="3">
    <mergeCell ref="A6:E6"/>
    <mergeCell ref="A7:E7"/>
    <mergeCell ref="A4:E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G43"/>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COUNTA(D7:D44)&amp;" / 36"</f>
        <v/>
      </c>
    </row>
    <row r="4">
      <c r="A4" s="5" t="inlineStr">
        <is>
          <t>A08 — Conteúdo, Comunicação e Growth</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D16 — Mídias Sociais e Distribuição Digital (alias: Mídias Sociais e Estratégias)</t>
        </is>
      </c>
      <c r="B6" s="6" t="n"/>
      <c r="C6" s="6" t="n"/>
      <c r="D6" s="6" t="n"/>
      <c r="E6" s="7" t="n"/>
    </row>
    <row r="7">
      <c r="A7" s="8" t="inlineStr">
        <is>
          <t>Artefato D16-DOC-PEM-001 — Plano Estratégico de Mídias Sociais</t>
        </is>
      </c>
      <c r="B7" s="6" t="n"/>
      <c r="C7" s="6" t="n"/>
      <c r="D7" s="6" t="n"/>
      <c r="E7" s="7" t="n"/>
    </row>
    <row r="8">
      <c r="A8" s="9" t="inlineStr">
        <is>
          <t>D16-DOC-PEM-001.OBJECTIVES.OBJETIVOS</t>
        </is>
      </c>
      <c r="B8" s="10" t="inlineStr">
        <is>
          <t>objetivos</t>
        </is>
      </c>
      <c r="C8" s="10" t="inlineStr">
        <is>
          <t>Definir, validar e manter: Objetivos</t>
        </is>
      </c>
      <c r="D8" s="11" t="n"/>
      <c r="E8" s="12" t="inlineStr">
        <is>
          <t>baixa</t>
        </is>
      </c>
    </row>
    <row r="9">
      <c r="A9" s="9" t="inlineStr">
        <is>
          <t>D16-DOC-PEM-001.AUDIENCE.PUBLICOS</t>
        </is>
      </c>
      <c r="B9" s="10" t="inlineStr">
        <is>
          <t>publicos</t>
        </is>
      </c>
      <c r="C9" s="10" t="inlineStr">
        <is>
          <t>Definir, validar e manter: Publicos</t>
        </is>
      </c>
      <c r="D9" s="11" t="n"/>
      <c r="E9" s="12" t="inlineStr">
        <is>
          <t>baixa</t>
        </is>
      </c>
    </row>
    <row r="10">
      <c r="A10" s="9" t="inlineStr">
        <is>
          <t>D16-DOC-PEM-001.CHANNELS.CANAL</t>
        </is>
      </c>
      <c r="B10" s="10" t="inlineStr">
        <is>
          <t>canal</t>
        </is>
      </c>
      <c r="C10" s="10" t="inlineStr">
        <is>
          <t>Definir, validar e manter: Canal</t>
        </is>
      </c>
      <c r="D10" s="11" t="n"/>
      <c r="E10" s="12" t="inlineStr">
        <is>
          <t>baixa</t>
        </is>
      </c>
    </row>
    <row r="11">
      <c r="A11" s="9" t="inlineStr">
        <is>
          <t>D16-DOC-PEM-001.CHANNELS.FUNCAO</t>
        </is>
      </c>
      <c r="B11" s="10" t="inlineStr">
        <is>
          <t>funcao</t>
        </is>
      </c>
      <c r="C11" s="10" t="inlineStr">
        <is>
          <t>Definir, validar e manter: Funcao</t>
        </is>
      </c>
      <c r="D11" s="11" t="n"/>
      <c r="E11" s="12" t="inlineStr">
        <is>
          <t>baixa</t>
        </is>
      </c>
    </row>
    <row r="12">
      <c r="A12" s="9" t="inlineStr">
        <is>
          <t>D16-DOC-PEM-001.CONTENT_PILLARS.PILAR</t>
        </is>
      </c>
      <c r="B12" s="10" t="inlineStr">
        <is>
          <t>pilar</t>
        </is>
      </c>
      <c r="C12" s="10" t="inlineStr">
        <is>
          <t>Definir, validar e manter: Pilar</t>
        </is>
      </c>
      <c r="D12" s="11" t="n"/>
      <c r="E12" s="12" t="inlineStr">
        <is>
          <t>alta</t>
        </is>
      </c>
    </row>
    <row r="13">
      <c r="A13" s="9" t="inlineStr">
        <is>
          <t>D16-DOC-PEM-001.CONTENT_PILLARS.TESE</t>
        </is>
      </c>
      <c r="B13" s="10" t="inlineStr">
        <is>
          <t>tese</t>
        </is>
      </c>
      <c r="C13" s="10" t="inlineStr">
        <is>
          <t>Definir, validar e manter: Tese</t>
        </is>
      </c>
      <c r="D13" s="11" t="n"/>
      <c r="E13" s="12" t="inlineStr">
        <is>
          <t>baixa</t>
        </is>
      </c>
    </row>
    <row r="14">
      <c r="A14" s="9" t="inlineStr">
        <is>
          <t>D16-DOC-PEM-001.FORMATS.ARTIGO</t>
        </is>
      </c>
      <c r="B14" s="10" t="inlineStr">
        <is>
          <t>artigo</t>
        </is>
      </c>
      <c r="C14" s="10" t="inlineStr">
        <is>
          <t>Definir, validar e manter: Artigo</t>
        </is>
      </c>
      <c r="D14" s="11" t="n"/>
      <c r="E14" s="12" t="inlineStr">
        <is>
          <t>baixa</t>
        </is>
      </c>
    </row>
    <row r="15">
      <c r="A15" s="9" t="inlineStr">
        <is>
          <t>D16-DOC-PEM-001.FORMATS.VIDEO</t>
        </is>
      </c>
      <c r="B15" s="10" t="inlineStr">
        <is>
          <t>video</t>
        </is>
      </c>
      <c r="C15" s="10" t="inlineStr">
        <is>
          <t>Definir, validar e manter: Video</t>
        </is>
      </c>
      <c r="D15" s="11" t="n"/>
      <c r="E15" s="12" t="inlineStr">
        <is>
          <t>baixa</t>
        </is>
      </c>
    </row>
    <row r="16">
      <c r="A16" s="9" t="inlineStr">
        <is>
          <t>D16-DOC-PEM-001.FORMATS.CARROSSEL</t>
        </is>
      </c>
      <c r="B16" s="10" t="inlineStr">
        <is>
          <t>carrossel</t>
        </is>
      </c>
      <c r="C16" s="10" t="inlineStr">
        <is>
          <t>Definir, validar e manter: Carrossel</t>
        </is>
      </c>
      <c r="D16" s="11" t="n"/>
      <c r="E16" s="12" t="inlineStr">
        <is>
          <t>baixa</t>
        </is>
      </c>
    </row>
    <row r="17">
      <c r="A17" s="9" t="inlineStr">
        <is>
          <t>D16-DOC-PEM-001.FORMATS.STORY</t>
        </is>
      </c>
      <c r="B17" s="10" t="inlineStr">
        <is>
          <t>story</t>
        </is>
      </c>
      <c r="C17" s="10" t="inlineStr">
        <is>
          <t>Definir, validar e manter: Story</t>
        </is>
      </c>
      <c r="D17" s="11" t="n"/>
      <c r="E17" s="12" t="inlineStr">
        <is>
          <t>baixa</t>
        </is>
      </c>
    </row>
    <row r="18">
      <c r="A18" s="9" t="inlineStr">
        <is>
          <t>D16-DOC-PEM-001.FORMATS.NEWSLETTER</t>
        </is>
      </c>
      <c r="B18" s="10" t="inlineStr">
        <is>
          <t>newsletter</t>
        </is>
      </c>
      <c r="C18" s="10" t="inlineStr">
        <is>
          <t>Definir, validar e manter: Newsletter</t>
        </is>
      </c>
      <c r="D18" s="11" t="n"/>
      <c r="E18" s="12" t="inlineStr">
        <is>
          <t>baixa</t>
        </is>
      </c>
    </row>
    <row r="19">
      <c r="A19" s="9" t="inlineStr">
        <is>
          <t>D16-DOC-PEM-001.EDITORIAL_CALENDAR.DATA</t>
        </is>
      </c>
      <c r="B19" s="10" t="inlineStr">
        <is>
          <t>data</t>
        </is>
      </c>
      <c r="C19" s="10" t="inlineStr">
        <is>
          <t>Definir, validar e manter: Data</t>
        </is>
      </c>
      <c r="D19" s="11" t="n"/>
      <c r="E19" s="12" t="inlineStr">
        <is>
          <t>baixa</t>
        </is>
      </c>
    </row>
    <row r="20">
      <c r="A20" s="9" t="inlineStr">
        <is>
          <t>D16-DOC-PEM-001.EDITORIAL_CALENDAR.TEMA</t>
        </is>
      </c>
      <c r="B20" s="10" t="inlineStr">
        <is>
          <t>tema</t>
        </is>
      </c>
      <c r="C20" s="10" t="inlineStr">
        <is>
          <t>Definir, validar e manter: Tema</t>
        </is>
      </c>
      <c r="D20" s="11" t="n"/>
      <c r="E20" s="12" t="inlineStr">
        <is>
          <t>baixa</t>
        </is>
      </c>
    </row>
    <row r="21">
      <c r="A21" s="9" t="inlineStr">
        <is>
          <t>D16-DOC-PEM-001.EDITORIAL_CALENDAR.CANAL</t>
        </is>
      </c>
      <c r="B21" s="10" t="inlineStr">
        <is>
          <t>canal</t>
        </is>
      </c>
      <c r="C21" s="10" t="inlineStr">
        <is>
          <t>Definir, validar e manter: Canal</t>
        </is>
      </c>
      <c r="D21" s="11" t="n"/>
      <c r="E21" s="12" t="inlineStr">
        <is>
          <t>baixa</t>
        </is>
      </c>
    </row>
    <row r="22">
      <c r="A22" s="9" t="inlineStr">
        <is>
          <t>D16-DOC-PEM-001.PRODUCTION.PESQUISA</t>
        </is>
      </c>
      <c r="B22" s="10" t="inlineStr">
        <is>
          <t>pesquisa</t>
        </is>
      </c>
      <c r="C22" s="10" t="inlineStr">
        <is>
          <t>Definir, validar e manter: Pesquisa</t>
        </is>
      </c>
      <c r="D22" s="11" t="n"/>
      <c r="E22" s="12" t="inlineStr">
        <is>
          <t>alta</t>
        </is>
      </c>
    </row>
    <row r="23">
      <c r="A23" s="9" t="inlineStr">
        <is>
          <t>D16-DOC-PEM-001.PRODUCTION.TEXTO</t>
        </is>
      </c>
      <c r="B23" s="10" t="inlineStr">
        <is>
          <t>texto</t>
        </is>
      </c>
      <c r="C23" s="10" t="inlineStr">
        <is>
          <t>Definir, validar e manter: Texto</t>
        </is>
      </c>
      <c r="D23" s="11" t="n"/>
      <c r="E23" s="12" t="inlineStr">
        <is>
          <t>baixa</t>
        </is>
      </c>
    </row>
    <row r="24">
      <c r="A24" s="9" t="inlineStr">
        <is>
          <t>D16-DOC-PEM-001.PRODUCTION.VISUAL</t>
        </is>
      </c>
      <c r="B24" s="10" t="inlineStr">
        <is>
          <t>visual</t>
        </is>
      </c>
      <c r="C24" s="10" t="inlineStr">
        <is>
          <t>Definir, validar e manter: Visual</t>
        </is>
      </c>
      <c r="D24" s="11" t="n"/>
      <c r="E24" s="12" t="inlineStr">
        <is>
          <t>baixa</t>
        </is>
      </c>
    </row>
    <row r="25">
      <c r="A25" s="9" t="inlineStr">
        <is>
          <t>D16-DOC-PEM-001.PRODUCTION.REVISAO</t>
        </is>
      </c>
      <c r="B25" s="10" t="inlineStr">
        <is>
          <t>revisao</t>
        </is>
      </c>
      <c r="C25" s="10" t="inlineStr">
        <is>
          <t>Definir, validar e manter: Revisao</t>
        </is>
      </c>
      <c r="D25" s="11" t="n"/>
      <c r="E25" s="12" t="inlineStr">
        <is>
          <t>alta</t>
        </is>
      </c>
    </row>
    <row r="26">
      <c r="A26" s="9" t="inlineStr">
        <is>
          <t>D16-DOC-PEM-001.REPURPOSING.FONTE</t>
        </is>
      </c>
      <c r="B26" s="10" t="inlineStr">
        <is>
          <t>fonte</t>
        </is>
      </c>
      <c r="C26" s="10" t="inlineStr">
        <is>
          <t>Definir, validar e manter: Fonte</t>
        </is>
      </c>
      <c r="D26" s="11" t="n"/>
      <c r="E26" s="12" t="inlineStr">
        <is>
          <t>baixa</t>
        </is>
      </c>
    </row>
    <row r="27">
      <c r="A27" s="9" t="inlineStr">
        <is>
          <t>D16-DOC-PEM-001.REPURPOSING.DERIVADOS</t>
        </is>
      </c>
      <c r="B27" s="10" t="inlineStr">
        <is>
          <t>derivados</t>
        </is>
      </c>
      <c r="C27" s="10" t="inlineStr">
        <is>
          <t>Definir, validar e manter: Derivados</t>
        </is>
      </c>
      <c r="D27" s="11" t="n"/>
      <c r="E27" s="12" t="inlineStr">
        <is>
          <t>baixa</t>
        </is>
      </c>
    </row>
    <row r="28">
      <c r="A28" s="9" t="inlineStr">
        <is>
          <t>D16-DOC-PEM-001.DISTRIBUTION.ORGANICO</t>
        </is>
      </c>
      <c r="B28" s="10" t="inlineStr">
        <is>
          <t>organico</t>
        </is>
      </c>
      <c r="C28" s="10" t="inlineStr">
        <is>
          <t>Definir, validar e manter: Organico</t>
        </is>
      </c>
      <c r="D28" s="11" t="n"/>
      <c r="E28" s="12" t="inlineStr">
        <is>
          <t>baixa</t>
        </is>
      </c>
    </row>
    <row r="29">
      <c r="A29" s="9" t="inlineStr">
        <is>
          <t>D16-DOC-PEM-001.DISTRIBUTION.COMUNIDADE</t>
        </is>
      </c>
      <c r="B29" s="10" t="inlineStr">
        <is>
          <t>comunidade</t>
        </is>
      </c>
      <c r="C29" s="10" t="inlineStr">
        <is>
          <t>Definir, validar e manter: Comunidade</t>
        </is>
      </c>
      <c r="D29" s="11" t="n"/>
      <c r="E29" s="12" t="inlineStr">
        <is>
          <t>baixa</t>
        </is>
      </c>
    </row>
    <row r="30">
      <c r="A30" s="9" t="inlineStr">
        <is>
          <t>D16-DOC-PEM-001.DISTRIBUTION.PARCERIA</t>
        </is>
      </c>
      <c r="B30" s="10" t="inlineStr">
        <is>
          <t>parceria</t>
        </is>
      </c>
      <c r="C30" s="10" t="inlineStr">
        <is>
          <t>Definir, validar e manter: Parceria</t>
        </is>
      </c>
      <c r="D30" s="11" t="n"/>
      <c r="E30" s="12" t="inlineStr">
        <is>
          <t>baixa</t>
        </is>
      </c>
    </row>
    <row r="31">
      <c r="A31" s="9" t="inlineStr">
        <is>
          <t>D16-DOC-PEM-001.CTA.CTA</t>
        </is>
      </c>
      <c r="B31" s="10" t="inlineStr">
        <is>
          <t>cta</t>
        </is>
      </c>
      <c r="C31" s="10" t="inlineStr">
        <is>
          <t>Definir, validar e manter: CTA</t>
        </is>
      </c>
      <c r="D31" s="11" t="n"/>
      <c r="E31" s="12" t="inlineStr">
        <is>
          <t>baixa</t>
        </is>
      </c>
    </row>
    <row r="32">
      <c r="A32" s="9" t="inlineStr">
        <is>
          <t>D16-DOC-PEM-001.CTA.DESTINO</t>
        </is>
      </c>
      <c r="B32" s="10" t="inlineStr">
        <is>
          <t>destino</t>
        </is>
      </c>
      <c r="C32" s="10" t="inlineStr">
        <is>
          <t>Definir, validar e manter: Destino</t>
        </is>
      </c>
      <c r="D32" s="11" t="n"/>
      <c r="E32" s="12" t="inlineStr">
        <is>
          <t>baixa</t>
        </is>
      </c>
    </row>
    <row r="33">
      <c r="A33" s="9" t="inlineStr">
        <is>
          <t>D16-DOC-PEM-001.COMMUNITY.RESPOSTA</t>
        </is>
      </c>
      <c r="B33" s="10" t="inlineStr">
        <is>
          <t>resposta</t>
        </is>
      </c>
      <c r="C33" s="10" t="inlineStr">
        <is>
          <t>Definir, validar e manter: Resposta</t>
        </is>
      </c>
      <c r="D33" s="11" t="n"/>
      <c r="E33" s="12" t="inlineStr">
        <is>
          <t>baixa</t>
        </is>
      </c>
    </row>
    <row r="34">
      <c r="A34" s="9" t="inlineStr">
        <is>
          <t>D16-DOC-PEM-001.COMMUNITY.MODERACAO</t>
        </is>
      </c>
      <c r="B34" s="10" t="inlineStr">
        <is>
          <t>moderacao</t>
        </is>
      </c>
      <c r="C34" s="10" t="inlineStr">
        <is>
          <t>Definir, validar e manter: Moderacao</t>
        </is>
      </c>
      <c r="D34" s="11" t="n"/>
      <c r="E34" s="12" t="inlineStr">
        <is>
          <t>baixa</t>
        </is>
      </c>
    </row>
    <row r="35">
      <c r="A35" s="9" t="inlineStr">
        <is>
          <t>D16-DOC-PEM-001.MEASUREMENT.ALCANCE</t>
        </is>
      </c>
      <c r="B35" s="10" t="inlineStr">
        <is>
          <t>alcance</t>
        </is>
      </c>
      <c r="C35" s="10" t="inlineStr">
        <is>
          <t>Definir, validar e manter: Alcance</t>
        </is>
      </c>
      <c r="D35" s="11" t="n"/>
      <c r="E35" s="12" t="inlineStr">
        <is>
          <t>baixa</t>
        </is>
      </c>
    </row>
    <row r="36">
      <c r="A36" s="9" t="inlineStr">
        <is>
          <t>D16-DOC-PEM-001.MEASUREMENT.ENGAJAMENTO</t>
        </is>
      </c>
      <c r="B36" s="10" t="inlineStr">
        <is>
          <t>engajamento</t>
        </is>
      </c>
      <c r="C36" s="10" t="inlineStr">
        <is>
          <t>Definir, validar e manter: Engajamento</t>
        </is>
      </c>
      <c r="D36" s="11" t="n"/>
      <c r="E36" s="12" t="inlineStr">
        <is>
          <t>baixa</t>
        </is>
      </c>
    </row>
    <row r="37">
      <c r="A37" s="9" t="inlineStr">
        <is>
          <t>D16-DOC-PEM-001.MEASUREMENT.CLIQUE</t>
        </is>
      </c>
      <c r="B37" s="10" t="inlineStr">
        <is>
          <t>clique</t>
        </is>
      </c>
      <c r="C37" s="10" t="inlineStr">
        <is>
          <t>Definir, validar e manter: Clique</t>
        </is>
      </c>
      <c r="D37" s="11" t="n"/>
      <c r="E37" s="12" t="inlineStr">
        <is>
          <t>baixa</t>
        </is>
      </c>
    </row>
    <row r="38">
      <c r="A38" s="9" t="inlineStr">
        <is>
          <t>D16-DOC-PEM-001.MEASUREMENT.CONVERSAO</t>
        </is>
      </c>
      <c r="B38" s="10" t="inlineStr">
        <is>
          <t>conversao</t>
        </is>
      </c>
      <c r="C38" s="10" t="inlineStr">
        <is>
          <t>Definir, validar e manter: Conversao</t>
        </is>
      </c>
      <c r="D38" s="11" t="n"/>
      <c r="E38" s="12" t="inlineStr">
        <is>
          <t>baixa</t>
        </is>
      </c>
    </row>
    <row r="39">
      <c r="A39" s="9" t="inlineStr">
        <is>
          <t>D16-DOC-PEM-001.GOVERNANCE.OWNER</t>
        </is>
      </c>
      <c r="B39" s="10" t="inlineStr">
        <is>
          <t>owner</t>
        </is>
      </c>
      <c r="C39" s="10" t="inlineStr">
        <is>
          <t>Definir, validar e manter: Owner</t>
        </is>
      </c>
      <c r="D39" s="11" t="n"/>
      <c r="E39" s="12" t="inlineStr">
        <is>
          <t>baixa</t>
        </is>
      </c>
    </row>
    <row r="40">
      <c r="A40" s="9" t="inlineStr">
        <is>
          <t>D16-DOC-PEM-001.GOVERNANCE.APROVACAO</t>
        </is>
      </c>
      <c r="B40" s="10" t="inlineStr">
        <is>
          <t>aprovacao</t>
        </is>
      </c>
      <c r="C40" s="10" t="inlineStr">
        <is>
          <t>Definir, validar e manter: Aprovacao</t>
        </is>
      </c>
      <c r="D40" s="11" t="n"/>
      <c r="E40" s="12" t="inlineStr">
        <is>
          <t>baixa</t>
        </is>
      </c>
    </row>
    <row r="41">
      <c r="A41" s="9" t="inlineStr">
        <is>
          <t>D16-DOC-PEM-001.BRAND_COMPLIANCE.VOZ</t>
        </is>
      </c>
      <c r="B41" s="10" t="inlineStr">
        <is>
          <t>voz</t>
        </is>
      </c>
      <c r="C41" s="10" t="inlineStr">
        <is>
          <t>Definir, validar e manter: Voz</t>
        </is>
      </c>
      <c r="D41" s="11" t="n"/>
      <c r="E41" s="12" t="inlineStr">
        <is>
          <t>baixa</t>
        </is>
      </c>
    </row>
    <row r="42">
      <c r="A42" s="9" t="inlineStr">
        <is>
          <t>D16-DOC-PEM-001.BRAND_COMPLIANCE.VISUAL</t>
        </is>
      </c>
      <c r="B42" s="10" t="inlineStr">
        <is>
          <t>visual</t>
        </is>
      </c>
      <c r="C42" s="10" t="inlineStr">
        <is>
          <t>Definir, validar e manter: Visual</t>
        </is>
      </c>
      <c r="D42" s="11" t="n"/>
      <c r="E42" s="12" t="inlineStr">
        <is>
          <t>baixa</t>
        </is>
      </c>
    </row>
    <row r="43">
      <c r="A43" s="9" t="inlineStr">
        <is>
          <t>D16-DOC-PEM-001.BRAND_COMPLIANCE.CLAIMS</t>
        </is>
      </c>
      <c r="B43" s="10" t="inlineStr">
        <is>
          <t>claims</t>
        </is>
      </c>
      <c r="C43" s="10" t="inlineStr">
        <is>
          <t>Definir, validar e manter: Claims</t>
        </is>
      </c>
      <c r="D43" s="11" t="n"/>
      <c r="E43" s="12" t="inlineStr">
        <is>
          <t>baixa</t>
        </is>
      </c>
    </row>
  </sheetData>
  <mergeCells count="3">
    <mergeCell ref="A6:E6"/>
    <mergeCell ref="A7:E7"/>
    <mergeCell ref="A4:E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G67"/>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COUNTA(D7:D68)&amp;" / 59"</f>
        <v/>
      </c>
    </row>
    <row r="4">
      <c r="A4" s="5" t="inlineStr">
        <is>
          <t>A09 — Execução e Planejamento do Trabalho</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D07 — Produtividade e Execução</t>
        </is>
      </c>
      <c r="B6" s="6" t="n"/>
      <c r="C6" s="6" t="n"/>
      <c r="D6" s="6" t="n"/>
      <c r="E6" s="7" t="n"/>
    </row>
    <row r="7">
      <c r="A7" s="8" t="inlineStr">
        <is>
          <t>Artefato D07-DOC-PEX-001 — Plano de Execução</t>
        </is>
      </c>
      <c r="B7" s="6" t="n"/>
      <c r="C7" s="6" t="n"/>
      <c r="D7" s="6" t="n"/>
      <c r="E7" s="7" t="n"/>
    </row>
    <row r="8">
      <c r="A8" s="9" t="inlineStr">
        <is>
          <t>D07-DOC-PEX-001.OBJECTIVES.OBJETIVO</t>
        </is>
      </c>
      <c r="B8" s="10" t="inlineStr">
        <is>
          <t>objetivo</t>
        </is>
      </c>
      <c r="C8" s="10" t="inlineStr">
        <is>
          <t>Definir, validar e manter: Objetivo</t>
        </is>
      </c>
      <c r="D8" s="11" t="n"/>
      <c r="E8" s="12" t="inlineStr">
        <is>
          <t>baixa</t>
        </is>
      </c>
    </row>
    <row r="9">
      <c r="A9" s="9" t="inlineStr">
        <is>
          <t>D07-DOC-PEX-001.OBJECTIVES.RESULTADO</t>
        </is>
      </c>
      <c r="B9" s="10" t="inlineStr">
        <is>
          <t>resultado</t>
        </is>
      </c>
      <c r="C9" s="10" t="inlineStr">
        <is>
          <t>Definir, validar e manter: Resultado</t>
        </is>
      </c>
      <c r="D9" s="11" t="n"/>
      <c r="E9" s="12" t="inlineStr">
        <is>
          <t>baixa</t>
        </is>
      </c>
    </row>
    <row r="10">
      <c r="A10" s="9" t="inlineStr">
        <is>
          <t>D07-DOC-PEX-001.DELIVERABLES.ENTREGAVEL</t>
        </is>
      </c>
      <c r="B10" s="10" t="inlineStr">
        <is>
          <t>entregavel</t>
        </is>
      </c>
      <c r="C10" s="10" t="inlineStr">
        <is>
          <t>Definir, validar e manter: Entregavel</t>
        </is>
      </c>
      <c r="D10" s="11" t="n"/>
      <c r="E10" s="12" t="inlineStr">
        <is>
          <t>baixa</t>
        </is>
      </c>
    </row>
    <row r="11">
      <c r="A11" s="9" t="inlineStr">
        <is>
          <t>D07-DOC-PEX-001.DELIVERABLES.DOD</t>
        </is>
      </c>
      <c r="B11" s="10" t="inlineStr">
        <is>
          <t>dod</t>
        </is>
      </c>
      <c r="C11" s="10" t="inlineStr">
        <is>
          <t>Definir, validar e manter: Dod</t>
        </is>
      </c>
      <c r="D11" s="11" t="n"/>
      <c r="E11" s="12" t="inlineStr">
        <is>
          <t>baixa</t>
        </is>
      </c>
    </row>
    <row r="12">
      <c r="A12" s="9" t="inlineStr">
        <is>
          <t>D07-DOC-PEX-001.DELIVERABLES.EVIDENCIA</t>
        </is>
      </c>
      <c r="B12" s="10" t="inlineStr">
        <is>
          <t>evidencia</t>
        </is>
      </c>
      <c r="C12" s="10" t="inlineStr">
        <is>
          <t>Definir, validar e manter: Evidencia</t>
        </is>
      </c>
      <c r="D12" s="11" t="n"/>
      <c r="E12" s="12" t="inlineStr">
        <is>
          <t>baixa</t>
        </is>
      </c>
    </row>
    <row r="13">
      <c r="A13" s="9" t="inlineStr">
        <is>
          <t>D07-DOC-PEX-001.PORTFOLIO.PROJETO</t>
        </is>
      </c>
      <c r="B13" s="10" t="inlineStr">
        <is>
          <t>projeto</t>
        </is>
      </c>
      <c r="C13" s="10" t="inlineStr">
        <is>
          <t>Definir, validar e manter: Projeto</t>
        </is>
      </c>
      <c r="D13" s="11" t="n"/>
      <c r="E13" s="12" t="inlineStr">
        <is>
          <t>baixa</t>
        </is>
      </c>
    </row>
    <row r="14">
      <c r="A14" s="9" t="inlineStr">
        <is>
          <t>D07-DOC-PEX-001.PORTFOLIO.PRIORIDADE</t>
        </is>
      </c>
      <c r="B14" s="10" t="inlineStr">
        <is>
          <t>prioridade</t>
        </is>
      </c>
      <c r="C14" s="10" t="inlineStr">
        <is>
          <t>Definir, validar e manter: Prioridade</t>
        </is>
      </c>
      <c r="D14" s="11" t="n"/>
      <c r="E14" s="12" t="inlineStr">
        <is>
          <t>media</t>
        </is>
      </c>
    </row>
    <row r="15">
      <c r="A15" s="9" t="inlineStr">
        <is>
          <t>D07-DOC-PEX-001.PORTFOLIO.ESTADO</t>
        </is>
      </c>
      <c r="B15" s="10" t="inlineStr">
        <is>
          <t>estado</t>
        </is>
      </c>
      <c r="C15" s="10" t="inlineStr">
        <is>
          <t>Definir, validar e manter: Estado</t>
        </is>
      </c>
      <c r="D15" s="11" t="n"/>
      <c r="E15" s="12" t="inlineStr">
        <is>
          <t>baixa</t>
        </is>
      </c>
    </row>
    <row r="16">
      <c r="A16" s="9" t="inlineStr">
        <is>
          <t>D07-DOC-PEX-001.DEPENDENCIES.UPSTREAM</t>
        </is>
      </c>
      <c r="B16" s="10" t="inlineStr">
        <is>
          <t>upstream</t>
        </is>
      </c>
      <c r="C16" s="10" t="inlineStr">
        <is>
          <t>Definir, validar e manter: Upstream</t>
        </is>
      </c>
      <c r="D16" s="11" t="n"/>
      <c r="E16" s="12" t="inlineStr">
        <is>
          <t>baixa</t>
        </is>
      </c>
    </row>
    <row r="17">
      <c r="A17" s="9" t="inlineStr">
        <is>
          <t>D07-DOC-PEX-001.DEPENDENCIES.DOWNSTREAM</t>
        </is>
      </c>
      <c r="B17" s="10" t="inlineStr">
        <is>
          <t>downstream</t>
        </is>
      </c>
      <c r="C17" s="10" t="inlineStr">
        <is>
          <t>Definir, validar e manter: Downstream</t>
        </is>
      </c>
      <c r="D17" s="11" t="n"/>
      <c r="E17" s="12" t="inlineStr">
        <is>
          <t>baixa</t>
        </is>
      </c>
    </row>
    <row r="18">
      <c r="A18" s="9" t="inlineStr">
        <is>
          <t>D07-DOC-PEX-001.CAPACITY.CAPACIDADE_BRUTA</t>
        </is>
      </c>
      <c r="B18" s="10" t="inlineStr">
        <is>
          <t>capacidade_bruta</t>
        </is>
      </c>
      <c r="C18" s="10" t="inlineStr">
        <is>
          <t>Definir, validar e manter: Capacidade Bruta</t>
        </is>
      </c>
      <c r="D18" s="11" t="n"/>
      <c r="E18" s="12" t="inlineStr">
        <is>
          <t>alta</t>
        </is>
      </c>
    </row>
    <row r="19">
      <c r="A19" s="9" t="inlineStr">
        <is>
          <t>D07-DOC-PEX-001.CAPACITY.FIXA</t>
        </is>
      </c>
      <c r="B19" s="10" t="inlineStr">
        <is>
          <t>fixa</t>
        </is>
      </c>
      <c r="C19" s="10" t="inlineStr">
        <is>
          <t>Definir, validar e manter: Fixa</t>
        </is>
      </c>
      <c r="D19" s="11" t="n"/>
      <c r="E19" s="12" t="inlineStr">
        <is>
          <t>baixa</t>
        </is>
      </c>
    </row>
    <row r="20">
      <c r="A20" s="9" t="inlineStr">
        <is>
          <t>D07-DOC-PEX-001.CAPACITY.LIQUIDA</t>
        </is>
      </c>
      <c r="B20" s="10" t="inlineStr">
        <is>
          <t>liquida</t>
        </is>
      </c>
      <c r="C20" s="10" t="inlineStr">
        <is>
          <t>Definir, validar e manter: Liquida</t>
        </is>
      </c>
      <c r="D20" s="11" t="n"/>
      <c r="E20" s="12" t="inlineStr">
        <is>
          <t>baixa</t>
        </is>
      </c>
    </row>
    <row r="21">
      <c r="A21" s="9" t="inlineStr">
        <is>
          <t>D07-DOC-PEX-001.WIP.LIMITE</t>
        </is>
      </c>
      <c r="B21" s="10" t="inlineStr">
        <is>
          <t>limite</t>
        </is>
      </c>
      <c r="C21" s="10" t="inlineStr">
        <is>
          <t>Definir, validar e manter: Limite</t>
        </is>
      </c>
      <c r="D21" s="11" t="n"/>
      <c r="E21" s="12" t="inlineStr">
        <is>
          <t>baixa</t>
        </is>
      </c>
    </row>
    <row r="22">
      <c r="A22" s="9" t="inlineStr">
        <is>
          <t>D07-DOC-PEX-001.WIP.TRABALHO_ATIVO</t>
        </is>
      </c>
      <c r="B22" s="10" t="inlineStr">
        <is>
          <t>trabalho_ativo</t>
        </is>
      </c>
      <c r="C22" s="10" t="inlineStr">
        <is>
          <t>Definir, validar e manter: Trabalho Ativo</t>
        </is>
      </c>
      <c r="D22" s="11" t="n"/>
      <c r="E22" s="12" t="inlineStr">
        <is>
          <t>baixa</t>
        </is>
      </c>
    </row>
    <row r="23">
      <c r="A23" s="9" t="inlineStr">
        <is>
          <t>D07-DOC-PEX-001.BACKLOG.ITEM</t>
        </is>
      </c>
      <c r="B23" s="10" t="inlineStr">
        <is>
          <t>item</t>
        </is>
      </c>
      <c r="C23" s="10" t="inlineStr">
        <is>
          <t>Definir, validar e manter: Item</t>
        </is>
      </c>
      <c r="D23" s="11" t="n"/>
      <c r="E23" s="12" t="inlineStr">
        <is>
          <t>alta</t>
        </is>
      </c>
    </row>
    <row r="24">
      <c r="A24" s="9" t="inlineStr">
        <is>
          <t>D07-DOC-PEX-001.BACKLOG.PRIORIDADE</t>
        </is>
      </c>
      <c r="B24" s="10" t="inlineStr">
        <is>
          <t>prioridade</t>
        </is>
      </c>
      <c r="C24" s="10" t="inlineStr">
        <is>
          <t>Definir, validar e manter: Prioridade</t>
        </is>
      </c>
      <c r="D24" s="11" t="n"/>
      <c r="E24" s="12" t="inlineStr">
        <is>
          <t>media</t>
        </is>
      </c>
    </row>
    <row r="25">
      <c r="A25" s="9" t="inlineStr">
        <is>
          <t>D07-DOC-PEX-001.BACKLOG.ELEGIBILIDADE</t>
        </is>
      </c>
      <c r="B25" s="10" t="inlineStr">
        <is>
          <t>elegibilidade</t>
        </is>
      </c>
      <c r="C25" s="10" t="inlineStr">
        <is>
          <t>Definir, validar e manter: Elegibilidade</t>
        </is>
      </c>
      <c r="D25" s="11" t="n"/>
      <c r="E25" s="12" t="inlineStr">
        <is>
          <t>baixa</t>
        </is>
      </c>
    </row>
    <row r="26">
      <c r="A26" s="9" t="inlineStr">
        <is>
          <t>D07-DOC-PEX-001.SCHEDULE.CICLO</t>
        </is>
      </c>
      <c r="B26" s="10" t="inlineStr">
        <is>
          <t>ciclo</t>
        </is>
      </c>
      <c r="C26" s="10" t="inlineStr">
        <is>
          <t>Definir, validar e manter: Ciclo</t>
        </is>
      </c>
      <c r="D26" s="11" t="n"/>
      <c r="E26" s="12" t="inlineStr">
        <is>
          <t>baixa</t>
        </is>
      </c>
    </row>
    <row r="27">
      <c r="A27" s="9" t="inlineStr">
        <is>
          <t>D07-DOC-PEX-001.SCHEDULE.DATA</t>
        </is>
      </c>
      <c r="B27" s="10" t="inlineStr">
        <is>
          <t>data</t>
        </is>
      </c>
      <c r="C27" s="10" t="inlineStr">
        <is>
          <t>Definir, validar e manter: Data</t>
        </is>
      </c>
      <c r="D27" s="11" t="n"/>
      <c r="E27" s="12" t="inlineStr">
        <is>
          <t>baixa</t>
        </is>
      </c>
    </row>
    <row r="28">
      <c r="A28" s="9" t="inlineStr">
        <is>
          <t>D07-DOC-PEX-001.SCHEDULE.MARCO</t>
        </is>
      </c>
      <c r="B28" s="10" t="inlineStr">
        <is>
          <t>marco</t>
        </is>
      </c>
      <c r="C28" s="10" t="inlineStr">
        <is>
          <t>Definir, validar e manter: Marco</t>
        </is>
      </c>
      <c r="D28" s="11" t="n"/>
      <c r="E28" s="12" t="inlineStr">
        <is>
          <t>baixa</t>
        </is>
      </c>
    </row>
    <row r="29">
      <c r="A29" s="9" t="inlineStr">
        <is>
          <t>D07-DOC-PEX-001.GATES.GATE</t>
        </is>
      </c>
      <c r="B29" s="10" t="inlineStr">
        <is>
          <t>gate</t>
        </is>
      </c>
      <c r="C29" s="10" t="inlineStr">
        <is>
          <t>Definir, validar e manter: Gate</t>
        </is>
      </c>
      <c r="D29" s="11" t="n"/>
      <c r="E29" s="12" t="inlineStr">
        <is>
          <t>alta</t>
        </is>
      </c>
    </row>
    <row r="30">
      <c r="A30" s="9" t="inlineStr">
        <is>
          <t>D07-DOC-PEX-001.GATES.CRITERIO</t>
        </is>
      </c>
      <c r="B30" s="10" t="inlineStr">
        <is>
          <t>criterio</t>
        </is>
      </c>
      <c r="C30" s="10" t="inlineStr">
        <is>
          <t>Definir, validar e manter: Criterio</t>
        </is>
      </c>
      <c r="D30" s="11" t="n"/>
      <c r="E30" s="12" t="inlineStr">
        <is>
          <t>baixa</t>
        </is>
      </c>
    </row>
    <row r="31">
      <c r="A31" s="9" t="inlineStr">
        <is>
          <t>D07-DOC-PEX-001.GATES.EVIDENCIA</t>
        </is>
      </c>
      <c r="B31" s="10" t="inlineStr">
        <is>
          <t>evidencia</t>
        </is>
      </c>
      <c r="C31" s="10" t="inlineStr">
        <is>
          <t>Definir, validar e manter: Evidencia</t>
        </is>
      </c>
      <c r="D31" s="11" t="n"/>
      <c r="E31" s="12" t="inlineStr">
        <is>
          <t>baixa</t>
        </is>
      </c>
    </row>
    <row r="32">
      <c r="A32" s="9" t="inlineStr">
        <is>
          <t>D07-DOC-PEX-001.RISKS.BLOQUEIO</t>
        </is>
      </c>
      <c r="B32" s="10" t="inlineStr">
        <is>
          <t>bloqueio</t>
        </is>
      </c>
      <c r="C32" s="10" t="inlineStr">
        <is>
          <t>Definir, validar e manter: Bloqueio</t>
        </is>
      </c>
      <c r="D32" s="11" t="n"/>
      <c r="E32" s="12" t="inlineStr">
        <is>
          <t>baixa</t>
        </is>
      </c>
    </row>
    <row r="33">
      <c r="A33" s="9" t="inlineStr">
        <is>
          <t>D07-DOC-PEX-001.RISKS.IMPACTO</t>
        </is>
      </c>
      <c r="B33" s="10" t="inlineStr">
        <is>
          <t>impacto</t>
        </is>
      </c>
      <c r="C33" s="10" t="inlineStr">
        <is>
          <t>Definir, validar e manter: Impacto</t>
        </is>
      </c>
      <c r="D33" s="11" t="n"/>
      <c r="E33" s="12" t="inlineStr">
        <is>
          <t>baixa</t>
        </is>
      </c>
    </row>
    <row r="34">
      <c r="A34" s="9" t="inlineStr">
        <is>
          <t>D07-DOC-PEX-001.RISKS.RESPOSTA</t>
        </is>
      </c>
      <c r="B34" s="10" t="inlineStr">
        <is>
          <t>resposta</t>
        </is>
      </c>
      <c r="C34" s="10" t="inlineStr">
        <is>
          <t>Definir, validar e manter: Resposta</t>
        </is>
      </c>
      <c r="D34" s="11" t="n"/>
      <c r="E34" s="12" t="inlineStr">
        <is>
          <t>baixa</t>
        </is>
      </c>
    </row>
    <row r="35">
      <c r="A35" s="9" t="inlineStr">
        <is>
          <t>D07-DOC-PEX-001.VERIFICATION.CRITERIO_DE_ACEITE</t>
        </is>
      </c>
      <c r="B35" s="10" t="inlineStr">
        <is>
          <t>criterio_de_aceite</t>
        </is>
      </c>
      <c r="C35" s="10" t="inlineStr">
        <is>
          <t>Definir, validar e manter: Criterio De Aceite</t>
        </is>
      </c>
      <c r="D35" s="11" t="n"/>
      <c r="E35" s="12" t="inlineStr">
        <is>
          <t>baixa</t>
        </is>
      </c>
    </row>
    <row r="36">
      <c r="A36" s="9" t="inlineStr">
        <is>
          <t>D07-DOC-PEX-001.VERIFICATION.EVIDENCIA</t>
        </is>
      </c>
      <c r="B36" s="10" t="inlineStr">
        <is>
          <t>evidencia</t>
        </is>
      </c>
      <c r="C36" s="10" t="inlineStr">
        <is>
          <t>Definir, validar e manter: Evidencia</t>
        </is>
      </c>
      <c r="D36" s="11" t="n"/>
      <c r="E36" s="12" t="inlineStr">
        <is>
          <t>baixa</t>
        </is>
      </c>
    </row>
    <row r="37">
      <c r="A37" s="9" t="inlineStr">
        <is>
          <t>D07-DOC-PEX-001.PROGRESS.PLANEJADO</t>
        </is>
      </c>
      <c r="B37" s="10" t="inlineStr">
        <is>
          <t>planejado</t>
        </is>
      </c>
      <c r="C37" s="10" t="inlineStr">
        <is>
          <t>Definir, validar e manter: Planejado</t>
        </is>
      </c>
      <c r="D37" s="11" t="n"/>
      <c r="E37" s="12" t="inlineStr">
        <is>
          <t>baixa</t>
        </is>
      </c>
    </row>
    <row r="38">
      <c r="A38" s="9" t="inlineStr">
        <is>
          <t>D07-DOC-PEX-001.PROGRESS.REALIZADO</t>
        </is>
      </c>
      <c r="B38" s="10" t="inlineStr">
        <is>
          <t>realizado</t>
        </is>
      </c>
      <c r="C38" s="10" t="inlineStr">
        <is>
          <t>Definir, validar e manter: Realizado</t>
        </is>
      </c>
      <c r="D38" s="11" t="n"/>
      <c r="E38" s="12" t="inlineStr">
        <is>
          <t>baixa</t>
        </is>
      </c>
    </row>
    <row r="39">
      <c r="A39" s="9" t="inlineStr">
        <is>
          <t>D07-DOC-PEX-001.PROGRESS.RESTANTE</t>
        </is>
      </c>
      <c r="B39" s="10" t="inlineStr">
        <is>
          <t>restante</t>
        </is>
      </c>
      <c r="C39" s="10" t="inlineStr">
        <is>
          <t>Definir, validar e manter: Restante</t>
        </is>
      </c>
      <c r="D39" s="11" t="n"/>
      <c r="E39" s="12" t="inlineStr">
        <is>
          <t>baixa</t>
        </is>
      </c>
    </row>
    <row r="40">
      <c r="A40" s="8" t="inlineStr">
        <is>
          <t>Artefato D07-DOC-PIM-001 — Plano de Implementação e Marcos</t>
        </is>
      </c>
      <c r="B40" s="6" t="n"/>
      <c r="C40" s="6" t="n"/>
      <c r="D40" s="6" t="n"/>
      <c r="E40" s="7" t="n"/>
    </row>
    <row r="41">
      <c r="A41" s="9" t="inlineStr">
        <is>
          <t>D07-DOC-PIM-001.IMPLEMENTATION_STRATEGY.ABORDAGEM</t>
        </is>
      </c>
      <c r="B41" s="10" t="inlineStr">
        <is>
          <t>abordagem</t>
        </is>
      </c>
      <c r="C41" s="10" t="inlineStr">
        <is>
          <t>Definir, validar e manter: Abordagem</t>
        </is>
      </c>
      <c r="D41" s="11" t="n"/>
      <c r="E41" s="12" t="inlineStr">
        <is>
          <t>baixa</t>
        </is>
      </c>
    </row>
    <row r="42">
      <c r="A42" s="9" t="inlineStr">
        <is>
          <t>D07-DOC-PIM-001.IMPLEMENTATION_STRATEGY.ONDAS</t>
        </is>
      </c>
      <c r="B42" s="10" t="inlineStr">
        <is>
          <t>ondas</t>
        </is>
      </c>
      <c r="C42" s="10" t="inlineStr">
        <is>
          <t>Definir, validar e manter: Ondas</t>
        </is>
      </c>
      <c r="D42" s="11" t="n"/>
      <c r="E42" s="12" t="inlineStr">
        <is>
          <t>baixa</t>
        </is>
      </c>
    </row>
    <row r="43">
      <c r="A43" s="9" t="inlineStr">
        <is>
          <t>D07-DOC-PIM-001.MILESTONES.MARCO</t>
        </is>
      </c>
      <c r="B43" s="10" t="inlineStr">
        <is>
          <t>marco</t>
        </is>
      </c>
      <c r="C43" s="10" t="inlineStr">
        <is>
          <t>Definir, validar e manter: Marco</t>
        </is>
      </c>
      <c r="D43" s="11" t="n"/>
      <c r="E43" s="12" t="inlineStr">
        <is>
          <t>alta</t>
        </is>
      </c>
    </row>
    <row r="44">
      <c r="A44" s="9" t="inlineStr">
        <is>
          <t>D07-DOC-PIM-001.MILESTONES.RESULTADO</t>
        </is>
      </c>
      <c r="B44" s="10" t="inlineStr">
        <is>
          <t>resultado</t>
        </is>
      </c>
      <c r="C44" s="10" t="inlineStr">
        <is>
          <t>Definir, validar e manter: Resultado</t>
        </is>
      </c>
      <c r="D44" s="11" t="n"/>
      <c r="E44" s="12" t="inlineStr">
        <is>
          <t>baixa</t>
        </is>
      </c>
    </row>
    <row r="45">
      <c r="A45" s="9" t="inlineStr">
        <is>
          <t>D07-DOC-PIM-001.MILESTONES.CRITERIO</t>
        </is>
      </c>
      <c r="B45" s="10" t="inlineStr">
        <is>
          <t>criterio</t>
        </is>
      </c>
      <c r="C45" s="10" t="inlineStr">
        <is>
          <t>Definir, validar e manter: Criterio</t>
        </is>
      </c>
      <c r="D45" s="11" t="n"/>
      <c r="E45" s="12" t="inlineStr">
        <is>
          <t>baixa</t>
        </is>
      </c>
    </row>
    <row r="46">
      <c r="A46" s="9" t="inlineStr">
        <is>
          <t>D07-DOC-PIM-001.WORK_PACKAGES.PACOTE</t>
        </is>
      </c>
      <c r="B46" s="10" t="inlineStr">
        <is>
          <t>pacote</t>
        </is>
      </c>
      <c r="C46" s="10" t="inlineStr">
        <is>
          <t>Definir, validar e manter: Pacote</t>
        </is>
      </c>
      <c r="D46" s="11" t="n"/>
      <c r="E46" s="12" t="inlineStr">
        <is>
          <t>baixa</t>
        </is>
      </c>
    </row>
    <row r="47">
      <c r="A47" s="9" t="inlineStr">
        <is>
          <t>D07-DOC-PIM-001.WORK_PACKAGES.ENTREGAVEL</t>
        </is>
      </c>
      <c r="B47" s="10" t="inlineStr">
        <is>
          <t>entregavel</t>
        </is>
      </c>
      <c r="C47" s="10" t="inlineStr">
        <is>
          <t>Definir, validar e manter: Entregavel</t>
        </is>
      </c>
      <c r="D47" s="11" t="n"/>
      <c r="E47" s="12" t="inlineStr">
        <is>
          <t>baixa</t>
        </is>
      </c>
    </row>
    <row r="48">
      <c r="A48" s="9" t="inlineStr">
        <is>
          <t>D07-DOC-PIM-001.DEPENDENCIES.DEPENDENCIA</t>
        </is>
      </c>
      <c r="B48" s="10" t="inlineStr">
        <is>
          <t>dependencia</t>
        </is>
      </c>
      <c r="C48" s="10" t="inlineStr">
        <is>
          <t>Definir, validar e manter: Dependencia</t>
        </is>
      </c>
      <c r="D48" s="11" t="n"/>
      <c r="E48" s="12" t="inlineStr">
        <is>
          <t>baixa</t>
        </is>
      </c>
    </row>
    <row r="49">
      <c r="A49" s="9" t="inlineStr">
        <is>
          <t>D07-DOC-PIM-001.DEPENDENCIES.PRECONDICAO</t>
        </is>
      </c>
      <c r="B49" s="10" t="inlineStr">
        <is>
          <t>precondicao</t>
        </is>
      </c>
      <c r="C49" s="10" t="inlineStr">
        <is>
          <t>Definir, validar e manter: Precondicao</t>
        </is>
      </c>
      <c r="D49" s="11" t="n"/>
      <c r="E49" s="12" t="inlineStr">
        <is>
          <t>baixa</t>
        </is>
      </c>
    </row>
    <row r="50">
      <c r="A50" s="9" t="inlineStr">
        <is>
          <t>D07-DOC-PIM-001.RESOURCES.PESSOA</t>
        </is>
      </c>
      <c r="B50" s="10" t="inlineStr">
        <is>
          <t>pessoa</t>
        </is>
      </c>
      <c r="C50" s="10" t="inlineStr">
        <is>
          <t>Definir, validar e manter: Pessoa</t>
        </is>
      </c>
      <c r="D50" s="11" t="n"/>
      <c r="E50" s="12" t="inlineStr">
        <is>
          <t>baixa</t>
        </is>
      </c>
    </row>
    <row r="51">
      <c r="A51" s="9" t="inlineStr">
        <is>
          <t>D07-DOC-PIM-001.RESOURCES.SISTEMA</t>
        </is>
      </c>
      <c r="B51" s="10" t="inlineStr">
        <is>
          <t>sistema</t>
        </is>
      </c>
      <c r="C51" s="10" t="inlineStr">
        <is>
          <t>Definir, validar e manter: Sistema</t>
        </is>
      </c>
      <c r="D51" s="11" t="n"/>
      <c r="E51" s="12" t="inlineStr">
        <is>
          <t>baixa</t>
        </is>
      </c>
    </row>
    <row r="52">
      <c r="A52" s="9" t="inlineStr">
        <is>
          <t>D07-DOC-PIM-001.RESOURCES.RECURSO</t>
        </is>
      </c>
      <c r="B52" s="10" t="inlineStr">
        <is>
          <t>recurso</t>
        </is>
      </c>
      <c r="C52" s="10" t="inlineStr">
        <is>
          <t>Definir, validar e manter: Recurso</t>
        </is>
      </c>
      <c r="D52" s="11" t="n"/>
      <c r="E52" s="12" t="inlineStr">
        <is>
          <t>baixa</t>
        </is>
      </c>
    </row>
    <row r="53">
      <c r="A53" s="9" t="inlineStr">
        <is>
          <t>D07-DOC-PIM-001.SCHEDULE.INICIO</t>
        </is>
      </c>
      <c r="B53" s="10" t="inlineStr">
        <is>
          <t>inicio</t>
        </is>
      </c>
      <c r="C53" s="10" t="inlineStr">
        <is>
          <t>Definir, validar e manter: Inicio</t>
        </is>
      </c>
      <c r="D53" s="11" t="n"/>
      <c r="E53" s="12" t="inlineStr">
        <is>
          <t>baixa</t>
        </is>
      </c>
    </row>
    <row r="54">
      <c r="A54" s="9" t="inlineStr">
        <is>
          <t>D07-DOC-PIM-001.SCHEDULE.FIM</t>
        </is>
      </c>
      <c r="B54" s="10" t="inlineStr">
        <is>
          <t>fim</t>
        </is>
      </c>
      <c r="C54" s="10" t="inlineStr">
        <is>
          <t>Definir, validar e manter: Fim</t>
        </is>
      </c>
      <c r="D54" s="11" t="n"/>
      <c r="E54" s="12" t="inlineStr">
        <is>
          <t>baixa</t>
        </is>
      </c>
    </row>
    <row r="55">
      <c r="A55" s="9" t="inlineStr">
        <is>
          <t>D07-DOC-PIM-001.SCHEDULE.CICLO</t>
        </is>
      </c>
      <c r="B55" s="10" t="inlineStr">
        <is>
          <t>ciclo</t>
        </is>
      </c>
      <c r="C55" s="10" t="inlineStr">
        <is>
          <t>Definir, validar e manter: Ciclo</t>
        </is>
      </c>
      <c r="D55" s="11" t="n"/>
      <c r="E55" s="12" t="inlineStr">
        <is>
          <t>baixa</t>
        </is>
      </c>
    </row>
    <row r="56">
      <c r="A56" s="9" t="inlineStr">
        <is>
          <t>D07-DOC-PIM-001.GATES.GATE</t>
        </is>
      </c>
      <c r="B56" s="10" t="inlineStr">
        <is>
          <t>gate</t>
        </is>
      </c>
      <c r="C56" s="10" t="inlineStr">
        <is>
          <t>Definir, validar e manter: Gate</t>
        </is>
      </c>
      <c r="D56" s="11" t="n"/>
      <c r="E56" s="12" t="inlineStr">
        <is>
          <t>baixa</t>
        </is>
      </c>
    </row>
    <row r="57">
      <c r="A57" s="9" t="inlineStr">
        <is>
          <t>D07-DOC-PIM-001.GATES.ENTRADA</t>
        </is>
      </c>
      <c r="B57" s="10" t="inlineStr">
        <is>
          <t>entrada</t>
        </is>
      </c>
      <c r="C57" s="10" t="inlineStr">
        <is>
          <t>Definir, validar e manter: Entrada</t>
        </is>
      </c>
      <c r="D57" s="11" t="n"/>
      <c r="E57" s="12" t="inlineStr">
        <is>
          <t>baixa</t>
        </is>
      </c>
    </row>
    <row r="58">
      <c r="A58" s="9" t="inlineStr">
        <is>
          <t>D07-DOC-PIM-001.GATES.SAIDA</t>
        </is>
      </c>
      <c r="B58" s="10" t="inlineStr">
        <is>
          <t>saida</t>
        </is>
      </c>
      <c r="C58" s="10" t="inlineStr">
        <is>
          <t>Definir, validar e manter: Saida</t>
        </is>
      </c>
      <c r="D58" s="11" t="n"/>
      <c r="E58" s="12" t="inlineStr">
        <is>
          <t>baixa</t>
        </is>
      </c>
    </row>
    <row r="59">
      <c r="A59" s="9" t="inlineStr">
        <is>
          <t>D07-DOC-PIM-001.ROLLOUT.PILOTO</t>
        </is>
      </c>
      <c r="B59" s="10" t="inlineStr">
        <is>
          <t>piloto</t>
        </is>
      </c>
      <c r="C59" s="10" t="inlineStr">
        <is>
          <t>Definir, validar e manter: Piloto</t>
        </is>
      </c>
      <c r="D59" s="11" t="n"/>
      <c r="E59" s="12" t="inlineStr">
        <is>
          <t>baixa</t>
        </is>
      </c>
    </row>
    <row r="60">
      <c r="A60" s="9" t="inlineStr">
        <is>
          <t>D07-DOC-PIM-001.ROLLOUT.EXPANSAO</t>
        </is>
      </c>
      <c r="B60" s="10" t="inlineStr">
        <is>
          <t>expansao</t>
        </is>
      </c>
      <c r="C60" s="10" t="inlineStr">
        <is>
          <t>Definir, validar e manter: Expansao</t>
        </is>
      </c>
      <c r="D60" s="11" t="n"/>
      <c r="E60" s="12" t="inlineStr">
        <is>
          <t>baixa</t>
        </is>
      </c>
    </row>
    <row r="61">
      <c r="A61" s="9" t="inlineStr">
        <is>
          <t>D07-DOC-PIM-001.HANDOFF.ORIGEM</t>
        </is>
      </c>
      <c r="B61" s="10" t="inlineStr">
        <is>
          <t>origem</t>
        </is>
      </c>
      <c r="C61" s="10" t="inlineStr">
        <is>
          <t>Definir, validar e manter: Origem</t>
        </is>
      </c>
      <c r="D61" s="11" t="n"/>
      <c r="E61" s="12" t="inlineStr">
        <is>
          <t>baixa</t>
        </is>
      </c>
    </row>
    <row r="62">
      <c r="A62" s="9" t="inlineStr">
        <is>
          <t>D07-DOC-PIM-001.HANDOFF.DESTINO</t>
        </is>
      </c>
      <c r="B62" s="10" t="inlineStr">
        <is>
          <t>destino</t>
        </is>
      </c>
      <c r="C62" s="10" t="inlineStr">
        <is>
          <t>Definir, validar e manter: Destino</t>
        </is>
      </c>
      <c r="D62" s="11" t="n"/>
      <c r="E62" s="12" t="inlineStr">
        <is>
          <t>baixa</t>
        </is>
      </c>
    </row>
    <row r="63">
      <c r="A63" s="9" t="inlineStr">
        <is>
          <t>D07-DOC-PIM-001.HANDOFF.CONTRATO</t>
        </is>
      </c>
      <c r="B63" s="10" t="inlineStr">
        <is>
          <t>contrato</t>
        </is>
      </c>
      <c r="C63" s="10" t="inlineStr">
        <is>
          <t>Definir, validar e manter: Contrato</t>
        </is>
      </c>
      <c r="D63" s="11" t="n"/>
      <c r="E63" s="12" t="inlineStr">
        <is>
          <t>baixa</t>
        </is>
      </c>
    </row>
    <row r="64">
      <c r="A64" s="9" t="inlineStr">
        <is>
          <t>D07-DOC-PIM-001.VERIFICATION.TESTE</t>
        </is>
      </c>
      <c r="B64" s="10" t="inlineStr">
        <is>
          <t>teste</t>
        </is>
      </c>
      <c r="C64" s="10" t="inlineStr">
        <is>
          <t>Definir, validar e manter: Teste</t>
        </is>
      </c>
      <c r="D64" s="11" t="n"/>
      <c r="E64" s="12" t="inlineStr">
        <is>
          <t>baixa</t>
        </is>
      </c>
    </row>
    <row r="65">
      <c r="A65" s="9" t="inlineStr">
        <is>
          <t>D07-DOC-PIM-001.VERIFICATION.EVIDENCIA</t>
        </is>
      </c>
      <c r="B65" s="10" t="inlineStr">
        <is>
          <t>evidencia</t>
        </is>
      </c>
      <c r="C65" s="10" t="inlineStr">
        <is>
          <t>Definir, validar e manter: Evidencia</t>
        </is>
      </c>
      <c r="D65" s="11" t="n"/>
      <c r="E65" s="12" t="inlineStr">
        <is>
          <t>baixa</t>
        </is>
      </c>
    </row>
    <row r="66">
      <c r="A66" s="9" t="inlineStr">
        <is>
          <t>D07-DOC-PIM-001.ROLLBACK.CONDICAO</t>
        </is>
      </c>
      <c r="B66" s="10" t="inlineStr">
        <is>
          <t>condicao</t>
        </is>
      </c>
      <c r="C66" s="10" t="inlineStr">
        <is>
          <t>Definir, validar e manter: Condicao</t>
        </is>
      </c>
      <c r="D66" s="11" t="n"/>
      <c r="E66" s="12" t="inlineStr">
        <is>
          <t>baixa</t>
        </is>
      </c>
    </row>
    <row r="67">
      <c r="A67" s="9" t="inlineStr">
        <is>
          <t>D07-DOC-PIM-001.ROLLBACK.PROCEDIMENTO</t>
        </is>
      </c>
      <c r="B67" s="10" t="inlineStr">
        <is>
          <t>procedimento</t>
        </is>
      </c>
      <c r="C67" s="10" t="inlineStr">
        <is>
          <t>Definir, validar e manter: Procedimento</t>
        </is>
      </c>
      <c r="D67" s="11" t="n"/>
      <c r="E67" s="12" t="inlineStr">
        <is>
          <t>baixa</t>
        </is>
      </c>
    </row>
  </sheetData>
  <mergeCells count="4">
    <mergeCell ref="A6:E6"/>
    <mergeCell ref="A7:E7"/>
    <mergeCell ref="A4:E4"/>
    <mergeCell ref="A40:E4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G104"/>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COUNTA(D7:D105)&amp;" / 93"</f>
        <v/>
      </c>
    </row>
    <row r="4">
      <c r="A4" s="5" t="inlineStr">
        <is>
          <t>A10 — Documentação e Governança do Conhecimento</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D21 — Workbook</t>
        </is>
      </c>
      <c r="B6" s="6" t="n"/>
      <c r="C6" s="6" t="n"/>
      <c r="D6" s="6" t="n"/>
      <c r="E6" s="7" t="n"/>
    </row>
    <row r="7">
      <c r="A7" s="8" t="inlineStr">
        <is>
          <t>Artefato D21-DOC-PWB-001 — Plano de Workbooks</t>
        </is>
      </c>
      <c r="B7" s="6" t="n"/>
      <c r="C7" s="6" t="n"/>
      <c r="D7" s="6" t="n"/>
      <c r="E7" s="7" t="n"/>
    </row>
    <row r="8">
      <c r="A8" s="9" t="inlineStr">
        <is>
          <t>D21-DOC-PWB-001.WORKBOOK_CATALOG.WORKBOOK_ID</t>
        </is>
      </c>
      <c r="B8" s="10" t="inlineStr">
        <is>
          <t>workbook_id</t>
        </is>
      </c>
      <c r="C8" s="10" t="inlineStr">
        <is>
          <t>Definir, validar e manter: Workbook ID</t>
        </is>
      </c>
      <c r="D8" s="11" t="n"/>
      <c r="E8" s="12" t="inlineStr">
        <is>
          <t>alta</t>
        </is>
      </c>
    </row>
    <row r="9">
      <c r="A9" s="9" t="inlineStr">
        <is>
          <t>D21-DOC-PWB-001.WORKBOOK_CATALOG.NOME</t>
        </is>
      </c>
      <c r="B9" s="10" t="inlineStr">
        <is>
          <t>nome</t>
        </is>
      </c>
      <c r="C9" s="10" t="inlineStr">
        <is>
          <t>Definir, validar e manter: Nome</t>
        </is>
      </c>
      <c r="D9" s="11" t="n"/>
      <c r="E9" s="12" t="inlineStr">
        <is>
          <t>baixa</t>
        </is>
      </c>
    </row>
    <row r="10">
      <c r="A10" s="9" t="inlineStr">
        <is>
          <t>D21-DOC-PWB-001.PURPOSE.OBJETIVO</t>
        </is>
      </c>
      <c r="B10" s="10" t="inlineStr">
        <is>
          <t>objetivo</t>
        </is>
      </c>
      <c r="C10" s="10" t="inlineStr">
        <is>
          <t>Definir, validar e manter: Objetivo</t>
        </is>
      </c>
      <c r="D10" s="11" t="n"/>
      <c r="E10" s="12" t="inlineStr">
        <is>
          <t>baixa</t>
        </is>
      </c>
    </row>
    <row r="11">
      <c r="A11" s="9" t="inlineStr">
        <is>
          <t>D21-DOC-PWB-001.PURPOSE.USUARIO</t>
        </is>
      </c>
      <c r="B11" s="10" t="inlineStr">
        <is>
          <t>usuario</t>
        </is>
      </c>
      <c r="C11" s="10" t="inlineStr">
        <is>
          <t>Definir, validar e manter: Usuario</t>
        </is>
      </c>
      <c r="D11" s="11" t="n"/>
      <c r="E11" s="12" t="inlineStr">
        <is>
          <t>baixa</t>
        </is>
      </c>
    </row>
    <row r="12">
      <c r="A12" s="9" t="inlineStr">
        <is>
          <t>D21-DOC-PWB-001.SOURCE_DATA.FONTE</t>
        </is>
      </c>
      <c r="B12" s="10" t="inlineStr">
        <is>
          <t>fonte</t>
        </is>
      </c>
      <c r="C12" s="10" t="inlineStr">
        <is>
          <t>Definir, validar e manter: Fonte</t>
        </is>
      </c>
      <c r="D12" s="11" t="n"/>
      <c r="E12" s="12" t="inlineStr">
        <is>
          <t>baixa</t>
        </is>
      </c>
    </row>
    <row r="13">
      <c r="A13" s="9" t="inlineStr">
        <is>
          <t>D21-DOC-PWB-001.SOURCE_DATA.ATUALIZACAO</t>
        </is>
      </c>
      <c r="B13" s="10" t="inlineStr">
        <is>
          <t>atualizacao</t>
        </is>
      </c>
      <c r="C13" s="10" t="inlineStr">
        <is>
          <t>Definir, validar e manter: Atualizacao</t>
        </is>
      </c>
      <c r="D13" s="11" t="n"/>
      <c r="E13" s="12" t="inlineStr">
        <is>
          <t>baixa</t>
        </is>
      </c>
    </row>
    <row r="14">
      <c r="A14" s="9" t="inlineStr">
        <is>
          <t>D21-DOC-PWB-001.SHEETS.ABA</t>
        </is>
      </c>
      <c r="B14" s="10" t="inlineStr">
        <is>
          <t>aba</t>
        </is>
      </c>
      <c r="C14" s="10" t="inlineStr">
        <is>
          <t>Definir, validar e manter: Aba</t>
        </is>
      </c>
      <c r="D14" s="11" t="n"/>
      <c r="E14" s="12" t="inlineStr">
        <is>
          <t>baixa</t>
        </is>
      </c>
    </row>
    <row r="15">
      <c r="A15" s="9" t="inlineStr">
        <is>
          <t>D21-DOC-PWB-001.SHEETS.FINALIDADE</t>
        </is>
      </c>
      <c r="B15" s="10" t="inlineStr">
        <is>
          <t>finalidade</t>
        </is>
      </c>
      <c r="C15" s="10" t="inlineStr">
        <is>
          <t>Definir, validar e manter: Finalidade</t>
        </is>
      </c>
      <c r="D15" s="11" t="n"/>
      <c r="E15" s="12" t="inlineStr">
        <is>
          <t>baixa</t>
        </is>
      </c>
    </row>
    <row r="16">
      <c r="A16" s="9" t="inlineStr">
        <is>
          <t>D21-DOC-PWB-001.FIELDS.CAMPO</t>
        </is>
      </c>
      <c r="B16" s="10" t="inlineStr">
        <is>
          <t>campo</t>
        </is>
      </c>
      <c r="C16" s="10" t="inlineStr">
        <is>
          <t>Definir, validar e manter: Campo</t>
        </is>
      </c>
      <c r="D16" s="11" t="n"/>
      <c r="E16" s="12" t="inlineStr">
        <is>
          <t>baixa</t>
        </is>
      </c>
    </row>
    <row r="17">
      <c r="A17" s="9" t="inlineStr">
        <is>
          <t>D21-DOC-PWB-001.FIELDS.DEFINICAO</t>
        </is>
      </c>
      <c r="B17" s="10" t="inlineStr">
        <is>
          <t>definicao</t>
        </is>
      </c>
      <c r="C17" s="10" t="inlineStr">
        <is>
          <t>Definir, validar e manter: Definicao</t>
        </is>
      </c>
      <c r="D17" s="11" t="n"/>
      <c r="E17" s="12" t="inlineStr">
        <is>
          <t>baixa</t>
        </is>
      </c>
    </row>
    <row r="18">
      <c r="A18" s="9" t="inlineStr">
        <is>
          <t>D21-DOC-PWB-001.FORMULAS.FORMULA</t>
        </is>
      </c>
      <c r="B18" s="10" t="inlineStr">
        <is>
          <t>formula</t>
        </is>
      </c>
      <c r="C18" s="10" t="inlineStr">
        <is>
          <t>Definir, validar e manter: Formula</t>
        </is>
      </c>
      <c r="D18" s="11" t="n"/>
      <c r="E18" s="12" t="inlineStr">
        <is>
          <t>baixa</t>
        </is>
      </c>
    </row>
    <row r="19">
      <c r="A19" s="9" t="inlineStr">
        <is>
          <t>D21-DOC-PWB-001.FORMULAS.LOGICA</t>
        </is>
      </c>
      <c r="B19" s="10" t="inlineStr">
        <is>
          <t>logica</t>
        </is>
      </c>
      <c r="C19" s="10" t="inlineStr">
        <is>
          <t>Definir, validar e manter: Logica</t>
        </is>
      </c>
      <c r="D19" s="11" t="n"/>
      <c r="E19" s="12" t="inlineStr">
        <is>
          <t>baixa</t>
        </is>
      </c>
    </row>
    <row r="20">
      <c r="A20" s="9" t="inlineStr">
        <is>
          <t>D21-DOC-PWB-001.INPUTS.ENTRADA</t>
        </is>
      </c>
      <c r="B20" s="10" t="inlineStr">
        <is>
          <t>entrada</t>
        </is>
      </c>
      <c r="C20" s="10" t="inlineStr">
        <is>
          <t>Definir, validar e manter: Entrada</t>
        </is>
      </c>
      <c r="D20" s="11" t="n"/>
      <c r="E20" s="12" t="inlineStr">
        <is>
          <t>baixa</t>
        </is>
      </c>
    </row>
    <row r="21">
      <c r="A21" s="9" t="inlineStr">
        <is>
          <t>D21-DOC-PWB-001.INPUTS.TIPO</t>
        </is>
      </c>
      <c r="B21" s="10" t="inlineStr">
        <is>
          <t>tipo</t>
        </is>
      </c>
      <c r="C21" s="10" t="inlineStr">
        <is>
          <t>Definir, validar e manter: Tipo</t>
        </is>
      </c>
      <c r="D21" s="11" t="n"/>
      <c r="E21" s="12" t="inlineStr">
        <is>
          <t>baixa</t>
        </is>
      </c>
    </row>
    <row r="22">
      <c r="A22" s="9" t="inlineStr">
        <is>
          <t>D21-DOC-PWB-001.OUTPUTS.RELATORIO</t>
        </is>
      </c>
      <c r="B22" s="10" t="inlineStr">
        <is>
          <t>relatorio</t>
        </is>
      </c>
      <c r="C22" s="10" t="inlineStr">
        <is>
          <t>Definir, validar e manter: Relatorio</t>
        </is>
      </c>
      <c r="D22" s="11" t="n"/>
      <c r="E22" s="12" t="inlineStr">
        <is>
          <t>baixa</t>
        </is>
      </c>
    </row>
    <row r="23">
      <c r="A23" s="9" t="inlineStr">
        <is>
          <t>D21-DOC-PWB-001.OUTPUTS.INDICADOR</t>
        </is>
      </c>
      <c r="B23" s="10" t="inlineStr">
        <is>
          <t>indicador</t>
        </is>
      </c>
      <c r="C23" s="10" t="inlineStr">
        <is>
          <t>Definir, validar e manter: Indicador</t>
        </is>
      </c>
      <c r="D23" s="11" t="n"/>
      <c r="E23" s="12" t="inlineStr">
        <is>
          <t>baixa</t>
        </is>
      </c>
    </row>
    <row r="24">
      <c r="A24" s="9" t="inlineStr">
        <is>
          <t>D21-DOC-PWB-001.VALIDATION.REGRA</t>
        </is>
      </c>
      <c r="B24" s="10" t="inlineStr">
        <is>
          <t>regra</t>
        </is>
      </c>
      <c r="C24" s="10" t="inlineStr">
        <is>
          <t>Definir, validar e manter: Regra</t>
        </is>
      </c>
      <c r="D24" s="11" t="n"/>
      <c r="E24" s="12" t="inlineStr">
        <is>
          <t>baixa</t>
        </is>
      </c>
    </row>
    <row r="25">
      <c r="A25" s="9" t="inlineStr">
        <is>
          <t>D21-DOC-PWB-001.VALIDATION.ERRO</t>
        </is>
      </c>
      <c r="B25" s="10" t="inlineStr">
        <is>
          <t>erro</t>
        </is>
      </c>
      <c r="C25" s="10" t="inlineStr">
        <is>
          <t>Definir, validar e manter: Erro</t>
        </is>
      </c>
      <c r="D25" s="11" t="n"/>
      <c r="E25" s="12" t="inlineStr">
        <is>
          <t>baixa</t>
        </is>
      </c>
    </row>
    <row r="26">
      <c r="A26" s="9" t="inlineStr">
        <is>
          <t>D21-DOC-PWB-001.VISUALIZATION.GRAFICO</t>
        </is>
      </c>
      <c r="B26" s="10" t="inlineStr">
        <is>
          <t>grafico</t>
        </is>
      </c>
      <c r="C26" s="10" t="inlineStr">
        <is>
          <t>Definir, validar e manter: Grafico</t>
        </is>
      </c>
      <c r="D26" s="11" t="n"/>
      <c r="E26" s="12" t="inlineStr">
        <is>
          <t>baixa</t>
        </is>
      </c>
    </row>
    <row r="27">
      <c r="A27" s="9" t="inlineStr">
        <is>
          <t>D21-DOC-PWB-001.VISUALIZATION.TABELA</t>
        </is>
      </c>
      <c r="B27" s="10" t="inlineStr">
        <is>
          <t>tabela</t>
        </is>
      </c>
      <c r="C27" s="10" t="inlineStr">
        <is>
          <t>Definir, validar e manter: Tabela</t>
        </is>
      </c>
      <c r="D27" s="11" t="n"/>
      <c r="E27" s="12" t="inlineStr">
        <is>
          <t>baixa</t>
        </is>
      </c>
    </row>
    <row r="28">
      <c r="A28" s="9" t="inlineStr">
        <is>
          <t>D21-DOC-PWB-001.PRINTING.FORMATO</t>
        </is>
      </c>
      <c r="B28" s="10" t="inlineStr">
        <is>
          <t>formato</t>
        </is>
      </c>
      <c r="C28" s="10" t="inlineStr">
        <is>
          <t>Definir, validar e manter: Formato</t>
        </is>
      </c>
      <c r="D28" s="11" t="n"/>
      <c r="E28" s="12" t="inlineStr">
        <is>
          <t>baixa</t>
        </is>
      </c>
    </row>
    <row r="29">
      <c r="A29" s="9" t="inlineStr">
        <is>
          <t>D21-DOC-PWB-001.PRINTING.AREA_SEGURA</t>
        </is>
      </c>
      <c r="B29" s="10" t="inlineStr">
        <is>
          <t>area_segura</t>
        </is>
      </c>
      <c r="C29" s="10" t="inlineStr">
        <is>
          <t>Definir, validar e manter: Area Segura</t>
        </is>
      </c>
      <c r="D29" s="11" t="n"/>
      <c r="E29" s="12" t="inlineStr">
        <is>
          <t>baixa</t>
        </is>
      </c>
    </row>
    <row r="30">
      <c r="A30" s="9" t="inlineStr">
        <is>
          <t>D21-DOC-PWB-001.AUTOMATION.TRIGGER</t>
        </is>
      </c>
      <c r="B30" s="10" t="inlineStr">
        <is>
          <t>trigger</t>
        </is>
      </c>
      <c r="C30" s="10" t="inlineStr">
        <is>
          <t>Definir, validar e manter: Trigger</t>
        </is>
      </c>
      <c r="D30" s="11" t="n"/>
      <c r="E30" s="12" t="inlineStr">
        <is>
          <t>baixa</t>
        </is>
      </c>
    </row>
    <row r="31">
      <c r="A31" s="9" t="inlineStr">
        <is>
          <t>D21-DOC-PWB-001.AUTOMATION.PROCESSO</t>
        </is>
      </c>
      <c r="B31" s="10" t="inlineStr">
        <is>
          <t>processo</t>
        </is>
      </c>
      <c r="C31" s="10" t="inlineStr">
        <is>
          <t>Definir, validar e manter: Processo</t>
        </is>
      </c>
      <c r="D31" s="11" t="n"/>
      <c r="E31" s="12" t="inlineStr">
        <is>
          <t>baixa</t>
        </is>
      </c>
    </row>
    <row r="32">
      <c r="A32" s="9" t="inlineStr">
        <is>
          <t>D21-DOC-PWB-001.OWNERSHIP.OWNER</t>
        </is>
      </c>
      <c r="B32" s="10" t="inlineStr">
        <is>
          <t>owner</t>
        </is>
      </c>
      <c r="C32" s="10" t="inlineStr">
        <is>
          <t>Definir, validar e manter: Owner</t>
        </is>
      </c>
      <c r="D32" s="11" t="n"/>
      <c r="E32" s="12" t="inlineStr">
        <is>
          <t>baixa</t>
        </is>
      </c>
    </row>
    <row r="33">
      <c r="A33" s="9" t="inlineStr">
        <is>
          <t>D21-DOC-PWB-001.OWNERSHIP.APROVADOR</t>
        </is>
      </c>
      <c r="B33" s="10" t="inlineStr">
        <is>
          <t>aprovador</t>
        </is>
      </c>
      <c r="C33" s="10" t="inlineStr">
        <is>
          <t>Definir, validar e manter: Aprovador</t>
        </is>
      </c>
      <c r="D33" s="11" t="n"/>
      <c r="E33" s="12" t="inlineStr">
        <is>
          <t>media</t>
        </is>
      </c>
    </row>
    <row r="34">
      <c r="A34" s="9" t="inlineStr">
        <is>
          <t>D21-DOC-PWB-001.VERSIONING.VERSAO</t>
        </is>
      </c>
      <c r="B34" s="10" t="inlineStr">
        <is>
          <t>versao</t>
        </is>
      </c>
      <c r="C34" s="10" t="inlineStr">
        <is>
          <t>Definir, validar e manter: Versao</t>
        </is>
      </c>
      <c r="D34" s="11" t="n"/>
      <c r="E34" s="12" t="inlineStr">
        <is>
          <t>baixa</t>
        </is>
      </c>
    </row>
    <row r="35">
      <c r="A35" s="9" t="inlineStr">
        <is>
          <t>D21-DOC-PWB-001.VERSIONING.ALTERACAO</t>
        </is>
      </c>
      <c r="B35" s="10" t="inlineStr">
        <is>
          <t>alteracao</t>
        </is>
      </c>
      <c r="C35" s="10" t="inlineStr">
        <is>
          <t>Definir, validar e manter: Alteracao</t>
        </is>
      </c>
      <c r="D35" s="11" t="n"/>
      <c r="E35" s="12" t="inlineStr">
        <is>
          <t>baixa</t>
        </is>
      </c>
    </row>
    <row r="36">
      <c r="A36" s="9" t="inlineStr">
        <is>
          <t>D21-DOC-PWB-001.EVIDENCE.FONTE</t>
        </is>
      </c>
      <c r="B36" s="10" t="inlineStr">
        <is>
          <t>fonte</t>
        </is>
      </c>
      <c r="C36" s="10" t="inlineStr">
        <is>
          <t>Definir, validar e manter: Fonte</t>
        </is>
      </c>
      <c r="D36" s="11" t="n"/>
      <c r="E36" s="12" t="inlineStr">
        <is>
          <t>baixa</t>
        </is>
      </c>
    </row>
    <row r="37">
      <c r="A37" s="9" t="inlineStr">
        <is>
          <t>D21-DOC-PWB-001.EVIDENCE.RASTREABILIDADE</t>
        </is>
      </c>
      <c r="B37" s="10" t="inlineStr">
        <is>
          <t>rastreabilidade</t>
        </is>
      </c>
      <c r="C37" s="10" t="inlineStr">
        <is>
          <t>Definir, validar e manter: Rastreabilidade</t>
        </is>
      </c>
      <c r="D37" s="11" t="n"/>
      <c r="E37" s="12" t="inlineStr">
        <is>
          <t>baixa</t>
        </is>
      </c>
    </row>
    <row r="38">
      <c r="A38" s="8" t="inlineStr">
        <is>
          <t>Domínio D22 — Decision and Register Log</t>
        </is>
      </c>
      <c r="B38" s="6" t="n"/>
      <c r="C38" s="6" t="n"/>
      <c r="D38" s="6" t="n"/>
      <c r="E38" s="7" t="n"/>
    </row>
    <row r="39">
      <c r="A39" s="8" t="inlineStr">
        <is>
          <t>Artefato D22-DOC-DRL-001 — Decision and Register Log do Ecossistema</t>
        </is>
      </c>
      <c r="B39" s="6" t="n"/>
      <c r="C39" s="6" t="n"/>
      <c r="D39" s="6" t="n"/>
      <c r="E39" s="7" t="n"/>
    </row>
    <row r="40">
      <c r="A40" s="9" t="inlineStr">
        <is>
          <t>D22-DOC-DRL-001.SCHEMA.DECISION_ID</t>
        </is>
      </c>
      <c r="B40" s="10" t="inlineStr">
        <is>
          <t>decision_id</t>
        </is>
      </c>
      <c r="C40" s="10" t="inlineStr">
        <is>
          <t>Definir, validar e manter: Decision ID</t>
        </is>
      </c>
      <c r="D40" s="11" t="n"/>
      <c r="E40" s="12" t="inlineStr">
        <is>
          <t>baixa</t>
        </is>
      </c>
    </row>
    <row r="41">
      <c r="A41" s="9" t="inlineStr">
        <is>
          <t>D22-DOC-DRL-001.SCHEMA.TITLE</t>
        </is>
      </c>
      <c r="B41" s="10" t="inlineStr">
        <is>
          <t>title</t>
        </is>
      </c>
      <c r="C41" s="10" t="inlineStr">
        <is>
          <t>Definir, validar e manter: Title</t>
        </is>
      </c>
      <c r="D41" s="11" t="n"/>
      <c r="E41" s="12" t="inlineStr">
        <is>
          <t>baixa</t>
        </is>
      </c>
    </row>
    <row r="42">
      <c r="A42" s="9" t="inlineStr">
        <is>
          <t>D22-DOC-DRL-001.SCHEMA.DOMAIN</t>
        </is>
      </c>
      <c r="B42" s="10" t="inlineStr">
        <is>
          <t>domain</t>
        </is>
      </c>
      <c r="C42" s="10" t="inlineStr">
        <is>
          <t>Definir, validar e manter: Domain</t>
        </is>
      </c>
      <c r="D42" s="11" t="n"/>
      <c r="E42" s="12" t="inlineStr">
        <is>
          <t>baixa</t>
        </is>
      </c>
    </row>
    <row r="43">
      <c r="A43" s="9" t="inlineStr">
        <is>
          <t>D22-DOC-DRL-001.SCHEMA.CONTEXT</t>
        </is>
      </c>
      <c r="B43" s="10" t="inlineStr">
        <is>
          <t>context</t>
        </is>
      </c>
      <c r="C43" s="10" t="inlineStr">
        <is>
          <t>Definir, validar e manter: Context</t>
        </is>
      </c>
      <c r="D43" s="11" t="n"/>
      <c r="E43" s="12" t="inlineStr">
        <is>
          <t>baixa</t>
        </is>
      </c>
    </row>
    <row r="44">
      <c r="A44" s="9" t="inlineStr">
        <is>
          <t>D22-DOC-DRL-001.SCHEMA.PROBLEM</t>
        </is>
      </c>
      <c r="B44" s="10" t="inlineStr">
        <is>
          <t>problem</t>
        </is>
      </c>
      <c r="C44" s="10" t="inlineStr">
        <is>
          <t>Definir, validar e manter: Problem</t>
        </is>
      </c>
      <c r="D44" s="11" t="n"/>
      <c r="E44" s="12" t="inlineStr">
        <is>
          <t>baixa</t>
        </is>
      </c>
    </row>
    <row r="45">
      <c r="A45" s="9" t="inlineStr">
        <is>
          <t>D22-DOC-DRL-001.SCHEMA.DECISION_REQUIRED</t>
        </is>
      </c>
      <c r="B45" s="10" t="inlineStr">
        <is>
          <t>decision_required</t>
        </is>
      </c>
      <c r="C45" s="10" t="inlineStr">
        <is>
          <t>Definir, validar e manter: Decision Required</t>
        </is>
      </c>
      <c r="D45" s="11" t="n"/>
      <c r="E45" s="12" t="inlineStr">
        <is>
          <t>baixa</t>
        </is>
      </c>
    </row>
    <row r="46">
      <c r="A46" s="9" t="inlineStr">
        <is>
          <t>D22-DOC-DRL-001.SCHEMA.OPTIONS_CONSIDERED</t>
        </is>
      </c>
      <c r="B46" s="10" t="inlineStr">
        <is>
          <t>options_considered</t>
        </is>
      </c>
      <c r="C46" s="10" t="inlineStr">
        <is>
          <t>Definir, validar e manter: Options Considered</t>
        </is>
      </c>
      <c r="D46" s="11" t="n"/>
      <c r="E46" s="12" t="inlineStr">
        <is>
          <t>baixa</t>
        </is>
      </c>
    </row>
    <row r="47">
      <c r="A47" s="9" t="inlineStr">
        <is>
          <t>D22-DOC-DRL-001.SCHEMA.EVALUATION_CRITERIA</t>
        </is>
      </c>
      <c r="B47" s="10" t="inlineStr">
        <is>
          <t>evaluation_criteria</t>
        </is>
      </c>
      <c r="C47" s="10" t="inlineStr">
        <is>
          <t>Definir, validar e manter: Evaluation Criteria</t>
        </is>
      </c>
      <c r="D47" s="11" t="n"/>
      <c r="E47" s="12" t="inlineStr">
        <is>
          <t>baixa</t>
        </is>
      </c>
    </row>
    <row r="48">
      <c r="A48" s="9" t="inlineStr">
        <is>
          <t>D22-DOC-DRL-001.SCHEMA.SELECTED_OPTION</t>
        </is>
      </c>
      <c r="B48" s="10" t="inlineStr">
        <is>
          <t>selected_option</t>
        </is>
      </c>
      <c r="C48" s="10" t="inlineStr">
        <is>
          <t>Definir, validar e manter: Selected Option</t>
        </is>
      </c>
      <c r="D48" s="11" t="n"/>
      <c r="E48" s="12" t="inlineStr">
        <is>
          <t>baixa</t>
        </is>
      </c>
    </row>
    <row r="49">
      <c r="A49" s="9" t="inlineStr">
        <is>
          <t>D22-DOC-DRL-001.SCHEMA.RATIONALE</t>
        </is>
      </c>
      <c r="B49" s="10" t="inlineStr">
        <is>
          <t>rationale</t>
        </is>
      </c>
      <c r="C49" s="10" t="inlineStr">
        <is>
          <t>Definir, validar e manter: Rationale</t>
        </is>
      </c>
      <c r="D49" s="11" t="n"/>
      <c r="E49" s="12" t="inlineStr">
        <is>
          <t>baixa</t>
        </is>
      </c>
    </row>
    <row r="50">
      <c r="A50" s="9" t="inlineStr">
        <is>
          <t>D22-DOC-DRL-001.SCHEMA.EVIDENCE</t>
        </is>
      </c>
      <c r="B50" s="10" t="inlineStr">
        <is>
          <t>evidence</t>
        </is>
      </c>
      <c r="C50" s="10" t="inlineStr">
        <is>
          <t>Definir, validar e manter: Evidence</t>
        </is>
      </c>
      <c r="D50" s="11" t="n"/>
      <c r="E50" s="12" t="inlineStr">
        <is>
          <t>baixa</t>
        </is>
      </c>
    </row>
    <row r="51">
      <c r="A51" s="9" t="inlineStr">
        <is>
          <t>D22-DOC-DRL-001.SCHEMA.OWNER</t>
        </is>
      </c>
      <c r="B51" s="10" t="inlineStr">
        <is>
          <t>owner</t>
        </is>
      </c>
      <c r="C51" s="10" t="inlineStr">
        <is>
          <t>Definir, validar e manter: Owner</t>
        </is>
      </c>
      <c r="D51" s="11" t="n"/>
      <c r="E51" s="12" t="inlineStr">
        <is>
          <t>baixa</t>
        </is>
      </c>
    </row>
    <row r="52">
      <c r="A52" s="9" t="inlineStr">
        <is>
          <t>D22-DOC-DRL-001.SCHEMA.DECISION_DATE</t>
        </is>
      </c>
      <c r="B52" s="10" t="inlineStr">
        <is>
          <t>decision_date</t>
        </is>
      </c>
      <c r="C52" s="10" t="inlineStr">
        <is>
          <t>Definir, validar e manter: Decision Date</t>
        </is>
      </c>
      <c r="D52" s="11" t="n"/>
      <c r="E52" s="12" t="inlineStr">
        <is>
          <t>baixa</t>
        </is>
      </c>
    </row>
    <row r="53">
      <c r="A53" s="9" t="inlineStr">
        <is>
          <t>D22-DOC-DRL-001.SCHEMA.EFFECTIVE_DATE</t>
        </is>
      </c>
      <c r="B53" s="10" t="inlineStr">
        <is>
          <t>effective_date</t>
        </is>
      </c>
      <c r="C53" s="10" t="inlineStr">
        <is>
          <t>Definir, validar e manter: Effective Date</t>
        </is>
      </c>
      <c r="D53" s="11" t="n"/>
      <c r="E53" s="12" t="inlineStr">
        <is>
          <t>baixa</t>
        </is>
      </c>
    </row>
    <row r="54">
      <c r="A54" s="9" t="inlineStr">
        <is>
          <t>D22-DOC-DRL-001.SCHEMA.STATUS</t>
        </is>
      </c>
      <c r="B54" s="10" t="inlineStr">
        <is>
          <t>status</t>
        </is>
      </c>
      <c r="C54" s="10" t="inlineStr">
        <is>
          <t>Definir, validar e manter: Status</t>
        </is>
      </c>
      <c r="D54" s="11" t="n"/>
      <c r="E54" s="12" t="inlineStr">
        <is>
          <t>baixa</t>
        </is>
      </c>
    </row>
    <row r="55">
      <c r="A55" s="9" t="inlineStr">
        <is>
          <t>D22-DOC-DRL-001.SCHEMA.DEPENDENCIES</t>
        </is>
      </c>
      <c r="B55" s="10" t="inlineStr">
        <is>
          <t>dependencies</t>
        </is>
      </c>
      <c r="C55" s="10" t="inlineStr">
        <is>
          <t>Definir, validar e manter: Dependencies</t>
        </is>
      </c>
      <c r="D55" s="11" t="n"/>
      <c r="E55" s="12" t="inlineStr">
        <is>
          <t>baixa</t>
        </is>
      </c>
    </row>
    <row r="56">
      <c r="A56" s="9" t="inlineStr">
        <is>
          <t>D22-DOC-DRL-001.SCHEMA.BLOCKS</t>
        </is>
      </c>
      <c r="B56" s="10" t="inlineStr">
        <is>
          <t>blocks</t>
        </is>
      </c>
      <c r="C56" s="10" t="inlineStr">
        <is>
          <t>Definir, validar e manter: Blocks</t>
        </is>
      </c>
      <c r="D56" s="11" t="n"/>
      <c r="E56" s="12" t="inlineStr">
        <is>
          <t>baixa</t>
        </is>
      </c>
    </row>
    <row r="57">
      <c r="A57" s="9" t="inlineStr">
        <is>
          <t>D22-DOC-DRL-001.SCHEMA.CONSEQUENCES</t>
        </is>
      </c>
      <c r="B57" s="10" t="inlineStr">
        <is>
          <t>consequences</t>
        </is>
      </c>
      <c r="C57" s="10" t="inlineStr">
        <is>
          <t>Definir, validar e manter: Consequences</t>
        </is>
      </c>
      <c r="D57" s="11" t="n"/>
      <c r="E57" s="12" t="inlineStr">
        <is>
          <t>baixa</t>
        </is>
      </c>
    </row>
    <row r="58">
      <c r="A58" s="9" t="inlineStr">
        <is>
          <t>D22-DOC-DRL-001.SCHEMA.RISKS</t>
        </is>
      </c>
      <c r="B58" s="10" t="inlineStr">
        <is>
          <t>risks</t>
        </is>
      </c>
      <c r="C58" s="10" t="inlineStr">
        <is>
          <t>Definir, validar e manter: Risks</t>
        </is>
      </c>
      <c r="D58" s="11" t="n"/>
      <c r="E58" s="12" t="inlineStr">
        <is>
          <t>baixa</t>
        </is>
      </c>
    </row>
    <row r="59">
      <c r="A59" s="9" t="inlineStr">
        <is>
          <t>D22-DOC-DRL-001.SCHEMA.REVERSIBILITY</t>
        </is>
      </c>
      <c r="B59" s="10" t="inlineStr">
        <is>
          <t>reversibility</t>
        </is>
      </c>
      <c r="C59" s="10" t="inlineStr">
        <is>
          <t>Definir, validar e manter: Reversibility</t>
        </is>
      </c>
      <c r="D59" s="11" t="n"/>
      <c r="E59" s="12" t="inlineStr">
        <is>
          <t>baixa</t>
        </is>
      </c>
    </row>
    <row r="60">
      <c r="A60" s="9" t="inlineStr">
        <is>
          <t>D22-DOC-DRL-001.SCHEMA.REVIEW_DATE</t>
        </is>
      </c>
      <c r="B60" s="10" t="inlineStr">
        <is>
          <t>review_date</t>
        </is>
      </c>
      <c r="C60" s="10" t="inlineStr">
        <is>
          <t>Definir, validar e manter: Review Date</t>
        </is>
      </c>
      <c r="D60" s="11" t="n"/>
      <c r="E60" s="12" t="inlineStr">
        <is>
          <t>baixa</t>
        </is>
      </c>
    </row>
    <row r="61">
      <c r="A61" s="9" t="inlineStr">
        <is>
          <t>D22-DOC-DRL-001.SCHEMA.SUPERSEDES</t>
        </is>
      </c>
      <c r="B61" s="10" t="inlineStr">
        <is>
          <t>supersedes</t>
        </is>
      </c>
      <c r="C61" s="10" t="inlineStr">
        <is>
          <t>Definir, validar e manter: Supersedes</t>
        </is>
      </c>
      <c r="D61" s="11" t="n"/>
      <c r="E61" s="12" t="inlineStr">
        <is>
          <t>baixa</t>
        </is>
      </c>
    </row>
    <row r="62">
      <c r="A62" s="9" t="inlineStr">
        <is>
          <t>D22-DOC-DRL-001.SCHEMA.SUPERSEDED_BY</t>
        </is>
      </c>
      <c r="B62" s="10" t="inlineStr">
        <is>
          <t>superseded_by</t>
        </is>
      </c>
      <c r="C62" s="10" t="inlineStr">
        <is>
          <t>Definir, validar e manter: Superseded By</t>
        </is>
      </c>
      <c r="D62" s="11" t="n"/>
      <c r="E62" s="12" t="inlineStr">
        <is>
          <t>baixa</t>
        </is>
      </c>
    </row>
    <row r="63">
      <c r="A63" s="8" t="inlineStr">
        <is>
          <t>Domínio D23 — Blueprints</t>
        </is>
      </c>
      <c r="B63" s="6" t="n"/>
      <c r="C63" s="6" t="n"/>
      <c r="D63" s="6" t="n"/>
      <c r="E63" s="7" t="n"/>
    </row>
    <row r="64">
      <c r="A64" s="8" t="inlineStr">
        <is>
          <t>Artefato D23-DOC-PBL-001 — Plano de Blueprints</t>
        </is>
      </c>
      <c r="B64" s="6" t="n"/>
      <c r="C64" s="6" t="n"/>
      <c r="D64" s="6" t="n"/>
      <c r="E64" s="7" t="n"/>
    </row>
    <row r="65">
      <c r="A65" s="9" t="inlineStr">
        <is>
          <t>D23-DOC-PBL-001.BLUEPRINT_CATALOG.BLUEPRINT_ID</t>
        </is>
      </c>
      <c r="B65" s="10" t="inlineStr">
        <is>
          <t>blueprint_id</t>
        </is>
      </c>
      <c r="C65" s="10" t="inlineStr">
        <is>
          <t>Definir, validar e manter: Blueprint ID</t>
        </is>
      </c>
      <c r="D65" s="11" t="n"/>
      <c r="E65" s="12" t="inlineStr">
        <is>
          <t>baixa</t>
        </is>
      </c>
    </row>
    <row r="66">
      <c r="A66" s="9" t="inlineStr">
        <is>
          <t>D23-DOC-PBL-001.BLUEPRINT_CATALOG.NOME</t>
        </is>
      </c>
      <c r="B66" s="10" t="inlineStr">
        <is>
          <t>nome</t>
        </is>
      </c>
      <c r="C66" s="10" t="inlineStr">
        <is>
          <t>Definir, validar e manter: Nome</t>
        </is>
      </c>
      <c r="D66" s="11" t="n"/>
      <c r="E66" s="12" t="inlineStr">
        <is>
          <t>baixa</t>
        </is>
      </c>
    </row>
    <row r="67">
      <c r="A67" s="9" t="inlineStr">
        <is>
          <t>D23-DOC-PBL-001.BLUEPRINT_CATALOG.DOMINIO</t>
        </is>
      </c>
      <c r="B67" s="10" t="inlineStr">
        <is>
          <t>dominio</t>
        </is>
      </c>
      <c r="C67" s="10" t="inlineStr">
        <is>
          <t>Definir, validar e manter: Dominio</t>
        </is>
      </c>
      <c r="D67" s="11" t="n"/>
      <c r="E67" s="12" t="inlineStr">
        <is>
          <t>baixa</t>
        </is>
      </c>
    </row>
    <row r="68">
      <c r="A68" s="9" t="inlineStr">
        <is>
          <t>D23-DOC-PBL-001.PROBLEM.PROBLEMA</t>
        </is>
      </c>
      <c r="B68" s="10" t="inlineStr">
        <is>
          <t>problema</t>
        </is>
      </c>
      <c r="C68" s="10" t="inlineStr">
        <is>
          <t>Definir, validar e manter: Problema</t>
        </is>
      </c>
      <c r="D68" s="11" t="n"/>
      <c r="E68" s="12" t="inlineStr">
        <is>
          <t>baixa</t>
        </is>
      </c>
    </row>
    <row r="69">
      <c r="A69" s="9" t="inlineStr">
        <is>
          <t>D23-DOC-PBL-001.PROBLEM.EVIDENCIA</t>
        </is>
      </c>
      <c r="B69" s="10" t="inlineStr">
        <is>
          <t>evidencia</t>
        </is>
      </c>
      <c r="C69" s="10" t="inlineStr">
        <is>
          <t>Definir, validar e manter: Evidencia</t>
        </is>
      </c>
      <c r="D69" s="11" t="n"/>
      <c r="E69" s="12" t="inlineStr">
        <is>
          <t>baixa</t>
        </is>
      </c>
    </row>
    <row r="70">
      <c r="A70" s="9" t="inlineStr">
        <is>
          <t>D23-DOC-PBL-001.OBJECTIVE.RESULTADO_ESPERADO</t>
        </is>
      </c>
      <c r="B70" s="10" t="inlineStr">
        <is>
          <t>resultado_esperado</t>
        </is>
      </c>
      <c r="C70" s="10" t="inlineStr">
        <is>
          <t>Definir, validar e manter: Resultado Esperado</t>
        </is>
      </c>
      <c r="D70" s="11" t="n"/>
      <c r="E70" s="12" t="inlineStr">
        <is>
          <t>baixa</t>
        </is>
      </c>
    </row>
    <row r="71">
      <c r="A71" s="9" t="inlineStr">
        <is>
          <t>D23-DOC-PBL-001.SCOPE.INCLUIDO</t>
        </is>
      </c>
      <c r="B71" s="10" t="inlineStr">
        <is>
          <t>incluido</t>
        </is>
      </c>
      <c r="C71" s="10" t="inlineStr">
        <is>
          <t>Definir, validar e manter: Incluido</t>
        </is>
      </c>
      <c r="D71" s="11" t="n"/>
      <c r="E71" s="12" t="inlineStr">
        <is>
          <t>baixa</t>
        </is>
      </c>
    </row>
    <row r="72">
      <c r="A72" s="9" t="inlineStr">
        <is>
          <t>D23-DOC-PBL-001.SCOPE.EXCLUIDO</t>
        </is>
      </c>
      <c r="B72" s="10" t="inlineStr">
        <is>
          <t>excluido</t>
        </is>
      </c>
      <c r="C72" s="10" t="inlineStr">
        <is>
          <t>Definir, validar e manter: Excluido</t>
        </is>
      </c>
      <c r="D72" s="11" t="n"/>
      <c r="E72" s="12" t="inlineStr">
        <is>
          <t>baixa</t>
        </is>
      </c>
    </row>
    <row r="73">
      <c r="A73" s="9" t="inlineStr">
        <is>
          <t>D23-DOC-PBL-001.ARCHITECTURE.COMPONENTES</t>
        </is>
      </c>
      <c r="B73" s="10" t="inlineStr">
        <is>
          <t>componentes</t>
        </is>
      </c>
      <c r="C73" s="10" t="inlineStr">
        <is>
          <t>Definir, validar e manter: Componentes</t>
        </is>
      </c>
      <c r="D73" s="11" t="n"/>
      <c r="E73" s="12" t="inlineStr">
        <is>
          <t>baixa</t>
        </is>
      </c>
    </row>
    <row r="74">
      <c r="A74" s="9" t="inlineStr">
        <is>
          <t>D23-DOC-PBL-001.ARCHITECTURE.RELACOES</t>
        </is>
      </c>
      <c r="B74" s="10" t="inlineStr">
        <is>
          <t>relacoes</t>
        </is>
      </c>
      <c r="C74" s="10" t="inlineStr">
        <is>
          <t>Definir, validar e manter: Relacoes</t>
        </is>
      </c>
      <c r="D74" s="11" t="n"/>
      <c r="E74" s="12" t="inlineStr">
        <is>
          <t>baixa</t>
        </is>
      </c>
    </row>
    <row r="75">
      <c r="A75" s="9" t="inlineStr">
        <is>
          <t>D23-DOC-PBL-001.WORKFLOW.ENTRADA</t>
        </is>
      </c>
      <c r="B75" s="10" t="inlineStr">
        <is>
          <t>entrada</t>
        </is>
      </c>
      <c r="C75" s="10" t="inlineStr">
        <is>
          <t>Definir, validar e manter: Entrada</t>
        </is>
      </c>
      <c r="D75" s="11" t="n"/>
      <c r="E75" s="12" t="inlineStr">
        <is>
          <t>baixa</t>
        </is>
      </c>
    </row>
    <row r="76">
      <c r="A76" s="9" t="inlineStr">
        <is>
          <t>D23-DOC-PBL-001.WORKFLOW.ETAPAS</t>
        </is>
      </c>
      <c r="B76" s="10" t="inlineStr">
        <is>
          <t>etapas</t>
        </is>
      </c>
      <c r="C76" s="10" t="inlineStr">
        <is>
          <t>Definir, validar e manter: Etapas</t>
        </is>
      </c>
      <c r="D76" s="11" t="n"/>
      <c r="E76" s="12" t="inlineStr">
        <is>
          <t>baixa</t>
        </is>
      </c>
    </row>
    <row r="77">
      <c r="A77" s="9" t="inlineStr">
        <is>
          <t>D23-DOC-PBL-001.WORKFLOW.SAIDA</t>
        </is>
      </c>
      <c r="B77" s="10" t="inlineStr">
        <is>
          <t>saida</t>
        </is>
      </c>
      <c r="C77" s="10" t="inlineStr">
        <is>
          <t>Definir, validar e manter: Saida</t>
        </is>
      </c>
      <c r="D77" s="11" t="n"/>
      <c r="E77" s="12" t="inlineStr">
        <is>
          <t>baixa</t>
        </is>
      </c>
    </row>
    <row r="78">
      <c r="A78" s="9" t="inlineStr">
        <is>
          <t>D23-DOC-PBL-001.USER_FLOW.ATOR</t>
        </is>
      </c>
      <c r="B78" s="10" t="inlineStr">
        <is>
          <t>ator</t>
        </is>
      </c>
      <c r="C78" s="10" t="inlineStr">
        <is>
          <t>Definir, validar e manter: Ator</t>
        </is>
      </c>
      <c r="D78" s="11" t="n"/>
      <c r="E78" s="12" t="inlineStr">
        <is>
          <t>baixa</t>
        </is>
      </c>
    </row>
    <row r="79">
      <c r="A79" s="9" t="inlineStr">
        <is>
          <t>D23-DOC-PBL-001.USER_FLOW.ACAO</t>
        </is>
      </c>
      <c r="B79" s="10" t="inlineStr">
        <is>
          <t>acao</t>
        </is>
      </c>
      <c r="C79" s="10" t="inlineStr">
        <is>
          <t>Definir, validar e manter: Acao</t>
        </is>
      </c>
      <c r="D79" s="11" t="n"/>
      <c r="E79" s="12" t="inlineStr">
        <is>
          <t>baixa</t>
        </is>
      </c>
    </row>
    <row r="80">
      <c r="A80" s="9" t="inlineStr">
        <is>
          <t>D23-DOC-PBL-001.USER_FLOW.ESTADO</t>
        </is>
      </c>
      <c r="B80" s="10" t="inlineStr">
        <is>
          <t>estado</t>
        </is>
      </c>
      <c r="C80" s="10" t="inlineStr">
        <is>
          <t>Definir, validar e manter: Estado</t>
        </is>
      </c>
      <c r="D80" s="11" t="n"/>
      <c r="E80" s="12" t="inlineStr">
        <is>
          <t>baixa</t>
        </is>
      </c>
    </row>
    <row r="81">
      <c r="A81" s="9" t="inlineStr">
        <is>
          <t>D23-DOC-PBL-001.DATA.ENTIDADES</t>
        </is>
      </c>
      <c r="B81" s="10" t="inlineStr">
        <is>
          <t>entidades</t>
        </is>
      </c>
      <c r="C81" s="10" t="inlineStr">
        <is>
          <t>Definir, validar e manter: Entidades</t>
        </is>
      </c>
      <c r="D81" s="11" t="n"/>
      <c r="E81" s="12" t="inlineStr">
        <is>
          <t>baixa</t>
        </is>
      </c>
    </row>
    <row r="82">
      <c r="A82" s="9" t="inlineStr">
        <is>
          <t>D23-DOC-PBL-001.DATA.EVENTOS</t>
        </is>
      </c>
      <c r="B82" s="10" t="inlineStr">
        <is>
          <t>eventos</t>
        </is>
      </c>
      <c r="C82" s="10" t="inlineStr">
        <is>
          <t>Definir, validar e manter: Eventos</t>
        </is>
      </c>
      <c r="D82" s="11" t="n"/>
      <c r="E82" s="12" t="inlineStr">
        <is>
          <t>baixa</t>
        </is>
      </c>
    </row>
    <row r="83">
      <c r="A83" s="9" t="inlineStr">
        <is>
          <t>D23-DOC-PBL-001.INTERFACES.API</t>
        </is>
      </c>
      <c r="B83" s="10" t="inlineStr">
        <is>
          <t>api</t>
        </is>
      </c>
      <c r="C83" s="10" t="inlineStr">
        <is>
          <t>Definir, validar e manter: API</t>
        </is>
      </c>
      <c r="D83" s="11" t="n"/>
      <c r="E83" s="12" t="inlineStr">
        <is>
          <t>baixa</t>
        </is>
      </c>
    </row>
    <row r="84">
      <c r="A84" s="9" t="inlineStr">
        <is>
          <t>D23-DOC-PBL-001.INTERFACES.UI</t>
        </is>
      </c>
      <c r="B84" s="10" t="inlineStr">
        <is>
          <t>ui</t>
        </is>
      </c>
      <c r="C84" s="10" t="inlineStr">
        <is>
          <t>Definir, validar e manter: UI</t>
        </is>
      </c>
      <c r="D84" s="11" t="n"/>
      <c r="E84" s="12" t="inlineStr">
        <is>
          <t>baixa</t>
        </is>
      </c>
    </row>
    <row r="85">
      <c r="A85" s="9" t="inlineStr">
        <is>
          <t>D23-DOC-PBL-001.INTERFACES.INTEGRACAO</t>
        </is>
      </c>
      <c r="B85" s="10" t="inlineStr">
        <is>
          <t>integracao</t>
        </is>
      </c>
      <c r="C85" s="10" t="inlineStr">
        <is>
          <t>Definir, validar e manter: Integracao</t>
        </is>
      </c>
      <c r="D85" s="11" t="n"/>
      <c r="E85" s="12" t="inlineStr">
        <is>
          <t>baixa</t>
        </is>
      </c>
    </row>
    <row r="86">
      <c r="A86" s="9" t="inlineStr">
        <is>
          <t>D23-DOC-PBL-001.DEPENDENCIES.TECNICAS</t>
        </is>
      </c>
      <c r="B86" s="10" t="inlineStr">
        <is>
          <t>tecnicas</t>
        </is>
      </c>
      <c r="C86" s="10" t="inlineStr">
        <is>
          <t>Definir, validar e manter: Tecnicas</t>
        </is>
      </c>
      <c r="D86" s="11" t="n"/>
      <c r="E86" s="12" t="inlineStr">
        <is>
          <t>baixa</t>
        </is>
      </c>
    </row>
    <row r="87">
      <c r="A87" s="9" t="inlineStr">
        <is>
          <t>D23-DOC-PBL-001.DEPENDENCIES.OPERACIONAIS</t>
        </is>
      </c>
      <c r="B87" s="10" t="inlineStr">
        <is>
          <t>operacionais</t>
        </is>
      </c>
      <c r="C87" s="10" t="inlineStr">
        <is>
          <t>Definir, validar e manter: Operacionais</t>
        </is>
      </c>
      <c r="D87" s="11" t="n"/>
      <c r="E87" s="12" t="inlineStr">
        <is>
          <t>media</t>
        </is>
      </c>
    </row>
    <row r="88">
      <c r="A88" s="9" t="inlineStr">
        <is>
          <t>D23-DOC-PBL-001.CONSTRAINTS.TECNICAS</t>
        </is>
      </c>
      <c r="B88" s="10" t="inlineStr">
        <is>
          <t>tecnicas</t>
        </is>
      </c>
      <c r="C88" s="10" t="inlineStr">
        <is>
          <t>Definir, validar e manter: Tecnicas</t>
        </is>
      </c>
      <c r="D88" s="11" t="n"/>
      <c r="E88" s="12" t="inlineStr">
        <is>
          <t>baixa</t>
        </is>
      </c>
    </row>
    <row r="89">
      <c r="A89" s="9" t="inlineStr">
        <is>
          <t>D23-DOC-PBL-001.CONSTRAINTS.LEGAIS</t>
        </is>
      </c>
      <c r="B89" s="10" t="inlineStr">
        <is>
          <t>legais</t>
        </is>
      </c>
      <c r="C89" s="10" t="inlineStr">
        <is>
          <t>Definir, validar e manter: Legais</t>
        </is>
      </c>
      <c r="D89" s="11" t="n"/>
      <c r="E89" s="12" t="inlineStr">
        <is>
          <t>baixa</t>
        </is>
      </c>
    </row>
    <row r="90">
      <c r="A90" s="9" t="inlineStr">
        <is>
          <t>D23-DOC-PBL-001.CONSTRAINTS.UX</t>
        </is>
      </c>
      <c r="B90" s="10" t="inlineStr">
        <is>
          <t>ux</t>
        </is>
      </c>
      <c r="C90" s="10" t="inlineStr">
        <is>
          <t>Definir, validar e manter: UX</t>
        </is>
      </c>
      <c r="D90" s="11" t="n"/>
      <c r="E90" s="12" t="inlineStr">
        <is>
          <t>baixa</t>
        </is>
      </c>
    </row>
    <row r="91">
      <c r="A91" s="9" t="inlineStr">
        <is>
          <t>D23-DOC-PBL-001.CONTRACTS.SCHEMAS</t>
        </is>
      </c>
      <c r="B91" s="10" t="inlineStr">
        <is>
          <t>schemas</t>
        </is>
      </c>
      <c r="C91" s="10" t="inlineStr">
        <is>
          <t>Definir, validar e manter: Schemas</t>
        </is>
      </c>
      <c r="D91" s="11" t="n"/>
      <c r="E91" s="12" t="inlineStr">
        <is>
          <t>baixa</t>
        </is>
      </c>
    </row>
    <row r="92">
      <c r="A92" s="9" t="inlineStr">
        <is>
          <t>D23-DOC-PBL-001.CONTRACTS.INTERFACES</t>
        </is>
      </c>
      <c r="B92" s="10" t="inlineStr">
        <is>
          <t>interfaces</t>
        </is>
      </c>
      <c r="C92" s="10" t="inlineStr">
        <is>
          <t>Definir, validar e manter: Interfaces</t>
        </is>
      </c>
      <c r="D92" s="11" t="n"/>
      <c r="E92" s="12" t="inlineStr">
        <is>
          <t>baixa</t>
        </is>
      </c>
    </row>
    <row r="93">
      <c r="A93" s="9" t="inlineStr">
        <is>
          <t>D23-DOC-PBL-001.ACCEPTANCE.CRITERIOS</t>
        </is>
      </c>
      <c r="B93" s="10" t="inlineStr">
        <is>
          <t>criterios</t>
        </is>
      </c>
      <c r="C93" s="10" t="inlineStr">
        <is>
          <t>Definir, validar e manter: Criterios</t>
        </is>
      </c>
      <c r="D93" s="11" t="n"/>
      <c r="E93" s="12" t="inlineStr">
        <is>
          <t>baixa</t>
        </is>
      </c>
    </row>
    <row r="94">
      <c r="A94" s="9" t="inlineStr">
        <is>
          <t>D23-DOC-PBL-001.PROTOTYPE.ARTEFATO</t>
        </is>
      </c>
      <c r="B94" s="10" t="inlineStr">
        <is>
          <t>artefato</t>
        </is>
      </c>
      <c r="C94" s="10" t="inlineStr">
        <is>
          <t>Definir, validar e manter: Artefato</t>
        </is>
      </c>
      <c r="D94" s="11" t="n"/>
      <c r="E94" s="12" t="inlineStr">
        <is>
          <t>baixa</t>
        </is>
      </c>
    </row>
    <row r="95">
      <c r="A95" s="9" t="inlineStr">
        <is>
          <t>D23-DOC-PBL-001.PROTOTYPE.LOCALIZACAO</t>
        </is>
      </c>
      <c r="B95" s="10" t="inlineStr">
        <is>
          <t>localizacao</t>
        </is>
      </c>
      <c r="C95" s="10" t="inlineStr">
        <is>
          <t>Definir, validar e manter: Localizacao</t>
        </is>
      </c>
      <c r="D95" s="11" t="n"/>
      <c r="E95" s="12" t="inlineStr">
        <is>
          <t>baixa</t>
        </is>
      </c>
    </row>
    <row r="96">
      <c r="A96" s="9" t="inlineStr">
        <is>
          <t>D23-DOC-PBL-001.IMPLEMENTATION.REPOSITORIO</t>
        </is>
      </c>
      <c r="B96" s="10" t="inlineStr">
        <is>
          <t>repositorio</t>
        </is>
      </c>
      <c r="C96" s="10" t="inlineStr">
        <is>
          <t>Definir, validar e manter: Repositorio</t>
        </is>
      </c>
      <c r="D96" s="11" t="n"/>
      <c r="E96" s="12" t="inlineStr">
        <is>
          <t>baixa</t>
        </is>
      </c>
    </row>
    <row r="97">
      <c r="A97" s="9" t="inlineStr">
        <is>
          <t>D23-DOC-PBL-001.IMPLEMENTATION.PACOTE</t>
        </is>
      </c>
      <c r="B97" s="10" t="inlineStr">
        <is>
          <t>pacote</t>
        </is>
      </c>
      <c r="C97" s="10" t="inlineStr">
        <is>
          <t>Definir, validar e manter: Pacote</t>
        </is>
      </c>
      <c r="D97" s="11" t="n"/>
      <c r="E97" s="12" t="inlineStr">
        <is>
          <t>baixa</t>
        </is>
      </c>
    </row>
    <row r="98">
      <c r="A98" s="9" t="inlineStr">
        <is>
          <t>D23-DOC-PBL-001.IMPLEMENTATION.ROTA</t>
        </is>
      </c>
      <c r="B98" s="10" t="inlineStr">
        <is>
          <t>rota</t>
        </is>
      </c>
      <c r="C98" s="10" t="inlineStr">
        <is>
          <t>Definir, validar e manter: Rota</t>
        </is>
      </c>
      <c r="D98" s="11" t="n"/>
      <c r="E98" s="12" t="inlineStr">
        <is>
          <t>baixa</t>
        </is>
      </c>
    </row>
    <row r="99">
      <c r="A99" s="9" t="inlineStr">
        <is>
          <t>D23-DOC-PBL-001.TESTS.TESTE</t>
        </is>
      </c>
      <c r="B99" s="10" t="inlineStr">
        <is>
          <t>teste</t>
        </is>
      </c>
      <c r="C99" s="10" t="inlineStr">
        <is>
          <t>Definir, validar e manter: Teste</t>
        </is>
      </c>
      <c r="D99" s="11" t="n"/>
      <c r="E99" s="12" t="inlineStr">
        <is>
          <t>baixa</t>
        </is>
      </c>
    </row>
    <row r="100">
      <c r="A100" s="9" t="inlineStr">
        <is>
          <t>D23-DOC-PBL-001.TESTS.RESULTADO</t>
        </is>
      </c>
      <c r="B100" s="10" t="inlineStr">
        <is>
          <t>resultado</t>
        </is>
      </c>
      <c r="C100" s="10" t="inlineStr">
        <is>
          <t>Definir, validar e manter: Resultado</t>
        </is>
      </c>
      <c r="D100" s="11" t="n"/>
      <c r="E100" s="12" t="inlineStr">
        <is>
          <t>baixa</t>
        </is>
      </c>
    </row>
    <row r="101">
      <c r="A101" s="9" t="inlineStr">
        <is>
          <t>D23-DOC-PBL-001.RELEASE_MAPPING.RELEASE</t>
        </is>
      </c>
      <c r="B101" s="10" t="inlineStr">
        <is>
          <t>release</t>
        </is>
      </c>
      <c r="C101" s="10" t="inlineStr">
        <is>
          <t>Definir, validar e manter: Release</t>
        </is>
      </c>
      <c r="D101" s="11" t="n"/>
      <c r="E101" s="12" t="inlineStr">
        <is>
          <t>baixa</t>
        </is>
      </c>
    </row>
    <row r="102">
      <c r="A102" s="9" t="inlineStr">
        <is>
          <t>D23-DOC-PBL-001.RELEASE_MAPPING.GATE</t>
        </is>
      </c>
      <c r="B102" s="10" t="inlineStr">
        <is>
          <t>gate</t>
        </is>
      </c>
      <c r="C102" s="10" t="inlineStr">
        <is>
          <t>Definir, validar e manter: Gate</t>
        </is>
      </c>
      <c r="D102" s="11" t="n"/>
      <c r="E102" s="12" t="inlineStr">
        <is>
          <t>baixa</t>
        </is>
      </c>
    </row>
    <row r="103">
      <c r="A103" s="9" t="inlineStr">
        <is>
          <t>D23-DOC-PBL-001.EVIDENCE.FONTES</t>
        </is>
      </c>
      <c r="B103" s="10" t="inlineStr">
        <is>
          <t>fontes</t>
        </is>
      </c>
      <c r="C103" s="10" t="inlineStr">
        <is>
          <t>Definir, validar e manter: Fontes</t>
        </is>
      </c>
      <c r="D103" s="11" t="n"/>
      <c r="E103" s="12" t="inlineStr">
        <is>
          <t>baixa</t>
        </is>
      </c>
    </row>
    <row r="104">
      <c r="A104" s="9" t="inlineStr">
        <is>
          <t>D23-DOC-PBL-001.EVIDENCE.REGISTROS</t>
        </is>
      </c>
      <c r="B104" s="10" t="inlineStr">
        <is>
          <t>registros</t>
        </is>
      </c>
      <c r="C104" s="10" t="inlineStr">
        <is>
          <t>Definir, validar e manter: Registros</t>
        </is>
      </c>
      <c r="D104" s="11" t="n"/>
      <c r="E104" s="12" t="inlineStr">
        <is>
          <t>baixa</t>
        </is>
      </c>
    </row>
  </sheetData>
  <mergeCells count="7">
    <mergeCell ref="A39:E39"/>
    <mergeCell ref="A4:E4"/>
    <mergeCell ref="A38:E38"/>
    <mergeCell ref="A64:E64"/>
    <mergeCell ref="A7:E7"/>
    <mergeCell ref="A63:E63"/>
    <mergeCell ref="A6:E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G85"/>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COUNTA(D7:D86)&amp;" / 76"</f>
        <v/>
      </c>
    </row>
    <row r="4">
      <c r="A4" s="5" t="inlineStr">
        <is>
          <t>A11 — Ferramentas, IA e Ativos Reutilizáveis</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D19 — Assets e CTAs</t>
        </is>
      </c>
      <c r="B6" s="6" t="n"/>
      <c r="C6" s="6" t="n"/>
      <c r="D6" s="6" t="n"/>
      <c r="E6" s="7" t="n"/>
    </row>
    <row r="7">
      <c r="A7" s="8" t="inlineStr">
        <is>
          <t>Artefato D19-DOC-PAC-001 — Plano de Assets e CTAs</t>
        </is>
      </c>
      <c r="B7" s="6" t="n"/>
      <c r="C7" s="6" t="n"/>
      <c r="D7" s="6" t="n"/>
      <c r="E7" s="7" t="n"/>
    </row>
    <row r="8">
      <c r="A8" s="9" t="inlineStr">
        <is>
          <t>D19-DOC-PAC-001.ASSET_INVENTORY.ASSET_ID</t>
        </is>
      </c>
      <c r="B8" s="10" t="inlineStr">
        <is>
          <t>asset_id</t>
        </is>
      </c>
      <c r="C8" s="10" t="inlineStr">
        <is>
          <t>Definir, validar e manter: Asset ID</t>
        </is>
      </c>
      <c r="D8" s="11" t="n"/>
      <c r="E8" s="12" t="inlineStr">
        <is>
          <t>baixa</t>
        </is>
      </c>
    </row>
    <row r="9">
      <c r="A9" s="9" t="inlineStr">
        <is>
          <t>D19-DOC-PAC-001.ASSET_INVENTORY.NOME</t>
        </is>
      </c>
      <c r="B9" s="10" t="inlineStr">
        <is>
          <t>nome</t>
        </is>
      </c>
      <c r="C9" s="10" t="inlineStr">
        <is>
          <t>Definir, validar e manter: Nome</t>
        </is>
      </c>
      <c r="D9" s="11" t="n"/>
      <c r="E9" s="12" t="inlineStr">
        <is>
          <t>baixa</t>
        </is>
      </c>
    </row>
    <row r="10">
      <c r="A10" s="9" t="inlineStr">
        <is>
          <t>D19-DOC-PAC-001.ASSET_INVENTORY.TIPO</t>
        </is>
      </c>
      <c r="B10" s="10" t="inlineStr">
        <is>
          <t>tipo</t>
        </is>
      </c>
      <c r="C10" s="10" t="inlineStr">
        <is>
          <t>Definir, validar e manter: Tipo</t>
        </is>
      </c>
      <c r="D10" s="11" t="n"/>
      <c r="E10" s="12" t="inlineStr">
        <is>
          <t>alta</t>
        </is>
      </c>
    </row>
    <row r="11">
      <c r="A11" s="9" t="inlineStr">
        <is>
          <t>D19-DOC-PAC-001.PURPOSE.OBJETIVO</t>
        </is>
      </c>
      <c r="B11" s="10" t="inlineStr">
        <is>
          <t>objetivo</t>
        </is>
      </c>
      <c r="C11" s="10" t="inlineStr">
        <is>
          <t>Definir, validar e manter: Objetivo</t>
        </is>
      </c>
      <c r="D11" s="11" t="n"/>
      <c r="E11" s="12" t="inlineStr">
        <is>
          <t>baixa</t>
        </is>
      </c>
    </row>
    <row r="12">
      <c r="A12" s="9" t="inlineStr">
        <is>
          <t>D19-DOC-PAC-001.PURPOSE.CAMPANHA</t>
        </is>
      </c>
      <c r="B12" s="10" t="inlineStr">
        <is>
          <t>campanha</t>
        </is>
      </c>
      <c r="C12" s="10" t="inlineStr">
        <is>
          <t>Definir, validar e manter: Campanha</t>
        </is>
      </c>
      <c r="D12" s="11" t="n"/>
      <c r="E12" s="12" t="inlineStr">
        <is>
          <t>baixa</t>
        </is>
      </c>
    </row>
    <row r="13">
      <c r="A13" s="9" t="inlineStr">
        <is>
          <t>D19-DOC-PAC-001.PURPOSE.PRODUTO</t>
        </is>
      </c>
      <c r="B13" s="10" t="inlineStr">
        <is>
          <t>produto</t>
        </is>
      </c>
      <c r="C13" s="10" t="inlineStr">
        <is>
          <t>Definir, validar e manter: Produto</t>
        </is>
      </c>
      <c r="D13" s="11" t="n"/>
      <c r="E13" s="12" t="inlineStr">
        <is>
          <t>baixa</t>
        </is>
      </c>
    </row>
    <row r="14">
      <c r="A14" s="9" t="inlineStr">
        <is>
          <t>D19-DOC-PAC-001.SOURCE.ORIGEM</t>
        </is>
      </c>
      <c r="B14" s="10" t="inlineStr">
        <is>
          <t>origem</t>
        </is>
      </c>
      <c r="C14" s="10" t="inlineStr">
        <is>
          <t>Definir, validar e manter: Origem</t>
        </is>
      </c>
      <c r="D14" s="11" t="n"/>
      <c r="E14" s="12" t="inlineStr">
        <is>
          <t>baixa</t>
        </is>
      </c>
    </row>
    <row r="15">
      <c r="A15" s="9" t="inlineStr">
        <is>
          <t>D19-DOC-PAC-001.SOURCE.DOCUMENTO_FONTE</t>
        </is>
      </c>
      <c r="B15" s="10" t="inlineStr">
        <is>
          <t>documento_fonte</t>
        </is>
      </c>
      <c r="C15" s="10" t="inlineStr">
        <is>
          <t>Definir, validar e manter: Documento Fonte</t>
        </is>
      </c>
      <c r="D15" s="11" t="n"/>
      <c r="E15" s="12" t="inlineStr">
        <is>
          <t>baixa</t>
        </is>
      </c>
    </row>
    <row r="16">
      <c r="A16" s="9" t="inlineStr">
        <is>
          <t>D19-DOC-PAC-001.FORMAT.ARQUIVO</t>
        </is>
      </c>
      <c r="B16" s="10" t="inlineStr">
        <is>
          <t>arquivo</t>
        </is>
      </c>
      <c r="C16" s="10" t="inlineStr">
        <is>
          <t>Definir, validar e manter: Arquivo</t>
        </is>
      </c>
      <c r="D16" s="11" t="n"/>
      <c r="E16" s="12" t="inlineStr">
        <is>
          <t>baixa</t>
        </is>
      </c>
    </row>
    <row r="17">
      <c r="A17" s="9" t="inlineStr">
        <is>
          <t>D19-DOC-PAC-001.FORMAT.DIMENSAO</t>
        </is>
      </c>
      <c r="B17" s="10" t="inlineStr">
        <is>
          <t>dimensao</t>
        </is>
      </c>
      <c r="C17" s="10" t="inlineStr">
        <is>
          <t>Definir, validar e manter: Dimensao</t>
        </is>
      </c>
      <c r="D17" s="11" t="n"/>
      <c r="E17" s="12" t="inlineStr">
        <is>
          <t>baixa</t>
        </is>
      </c>
    </row>
    <row r="18">
      <c r="A18" s="9" t="inlineStr">
        <is>
          <t>D19-DOC-PAC-001.FORMAT.CANAL</t>
        </is>
      </c>
      <c r="B18" s="10" t="inlineStr">
        <is>
          <t>canal</t>
        </is>
      </c>
      <c r="C18" s="10" t="inlineStr">
        <is>
          <t>Definir, validar e manter: Canal</t>
        </is>
      </c>
      <c r="D18" s="11" t="n"/>
      <c r="E18" s="12" t="inlineStr">
        <is>
          <t>baixa</t>
        </is>
      </c>
    </row>
    <row r="19">
      <c r="A19" s="9" t="inlineStr">
        <is>
          <t>D19-DOC-PAC-001.CONTENT.HEADLINE</t>
        </is>
      </c>
      <c r="B19" s="10" t="inlineStr">
        <is>
          <t>headline</t>
        </is>
      </c>
      <c r="C19" s="10" t="inlineStr">
        <is>
          <t>Definir, validar e manter: Headline</t>
        </is>
      </c>
      <c r="D19" s="11" t="n"/>
      <c r="E19" s="12" t="inlineStr">
        <is>
          <t>baixa</t>
        </is>
      </c>
    </row>
    <row r="20">
      <c r="A20" s="9" t="inlineStr">
        <is>
          <t>D19-DOC-PAC-001.CONTENT.COPY</t>
        </is>
      </c>
      <c r="B20" s="10" t="inlineStr">
        <is>
          <t>copy</t>
        </is>
      </c>
      <c r="C20" s="10" t="inlineStr">
        <is>
          <t>Definir, validar e manter: Copy</t>
        </is>
      </c>
      <c r="D20" s="11" t="n"/>
      <c r="E20" s="12" t="inlineStr">
        <is>
          <t>baixa</t>
        </is>
      </c>
    </row>
    <row r="21">
      <c r="A21" s="9" t="inlineStr">
        <is>
          <t>D19-DOC-PAC-001.CONTENT.VISUAL</t>
        </is>
      </c>
      <c r="B21" s="10" t="inlineStr">
        <is>
          <t>visual</t>
        </is>
      </c>
      <c r="C21" s="10" t="inlineStr">
        <is>
          <t>Definir, validar e manter: Visual</t>
        </is>
      </c>
      <c r="D21" s="11" t="n"/>
      <c r="E21" s="12" t="inlineStr">
        <is>
          <t>baixa</t>
        </is>
      </c>
    </row>
    <row r="22">
      <c r="A22" s="9" t="inlineStr">
        <is>
          <t>D19-DOC-PAC-001.VARIANTS.VARIANTE</t>
        </is>
      </c>
      <c r="B22" s="10" t="inlineStr">
        <is>
          <t>variante</t>
        </is>
      </c>
      <c r="C22" s="10" t="inlineStr">
        <is>
          <t>Definir, validar e manter: Variante</t>
        </is>
      </c>
      <c r="D22" s="11" t="n"/>
      <c r="E22" s="12" t="inlineStr">
        <is>
          <t>baixa</t>
        </is>
      </c>
    </row>
    <row r="23">
      <c r="A23" s="9" t="inlineStr">
        <is>
          <t>D19-DOC-PAC-001.VARIANTS.USO</t>
        </is>
      </c>
      <c r="B23" s="10" t="inlineStr">
        <is>
          <t>uso</t>
        </is>
      </c>
      <c r="C23" s="10" t="inlineStr">
        <is>
          <t>Definir, validar e manter: Uso</t>
        </is>
      </c>
      <c r="D23" s="11" t="n"/>
      <c r="E23" s="12" t="inlineStr">
        <is>
          <t>baixa</t>
        </is>
      </c>
    </row>
    <row r="24">
      <c r="A24" s="9" t="inlineStr">
        <is>
          <t>D19-DOC-PAC-001.CTA_CATALOG.CTA_ID</t>
        </is>
      </c>
      <c r="B24" s="10" t="inlineStr">
        <is>
          <t>cta_id</t>
        </is>
      </c>
      <c r="C24" s="10" t="inlineStr">
        <is>
          <t>Definir, validar e manter: CTA ID</t>
        </is>
      </c>
      <c r="D24" s="11" t="n"/>
      <c r="E24" s="12" t="inlineStr">
        <is>
          <t>alta</t>
        </is>
      </c>
    </row>
    <row r="25">
      <c r="A25" s="9" t="inlineStr">
        <is>
          <t>D19-DOC-PAC-001.CTA_CATALOG.TEXTO</t>
        </is>
      </c>
      <c r="B25" s="10" t="inlineStr">
        <is>
          <t>texto</t>
        </is>
      </c>
      <c r="C25" s="10" t="inlineStr">
        <is>
          <t>Definir, validar e manter: Texto</t>
        </is>
      </c>
      <c r="D25" s="11" t="n"/>
      <c r="E25" s="12" t="inlineStr">
        <is>
          <t>baixa</t>
        </is>
      </c>
    </row>
    <row r="26">
      <c r="A26" s="9" t="inlineStr">
        <is>
          <t>D19-DOC-PAC-001.CTA_CATALOG.ACAO</t>
        </is>
      </c>
      <c r="B26" s="10" t="inlineStr">
        <is>
          <t>acao</t>
        </is>
      </c>
      <c r="C26" s="10" t="inlineStr">
        <is>
          <t>Definir, validar e manter: Acao</t>
        </is>
      </c>
      <c r="D26" s="11" t="n"/>
      <c r="E26" s="12" t="inlineStr">
        <is>
          <t>baixa</t>
        </is>
      </c>
    </row>
    <row r="27">
      <c r="A27" s="9" t="inlineStr">
        <is>
          <t>D19-DOC-PAC-001.DESTINATION.URL</t>
        </is>
      </c>
      <c r="B27" s="10" t="inlineStr">
        <is>
          <t>url</t>
        </is>
      </c>
      <c r="C27" s="10" t="inlineStr">
        <is>
          <t>Definir, validar e manter: Url</t>
        </is>
      </c>
      <c r="D27" s="11" t="n"/>
      <c r="E27" s="12" t="inlineStr">
        <is>
          <t>baixa</t>
        </is>
      </c>
    </row>
    <row r="28">
      <c r="A28" s="9" t="inlineStr">
        <is>
          <t>D19-DOC-PAC-001.DESTINATION.DEEP_LINK</t>
        </is>
      </c>
      <c r="B28" s="10" t="inlineStr">
        <is>
          <t>deep_link</t>
        </is>
      </c>
      <c r="C28" s="10" t="inlineStr">
        <is>
          <t>Definir, validar e manter: Deep Link</t>
        </is>
      </c>
      <c r="D28" s="11" t="n"/>
      <c r="E28" s="12" t="inlineStr">
        <is>
          <t>baixa</t>
        </is>
      </c>
    </row>
    <row r="29">
      <c r="A29" s="9" t="inlineStr">
        <is>
          <t>D19-DOC-PAC-001.DESTINATION.FORMULARIO</t>
        </is>
      </c>
      <c r="B29" s="10" t="inlineStr">
        <is>
          <t>formulario</t>
        </is>
      </c>
      <c r="C29" s="10" t="inlineStr">
        <is>
          <t>Definir, validar e manter: Formulario</t>
        </is>
      </c>
      <c r="D29" s="11" t="n"/>
      <c r="E29" s="12" t="inlineStr">
        <is>
          <t>baixa</t>
        </is>
      </c>
    </row>
    <row r="30">
      <c r="A30" s="9" t="inlineStr">
        <is>
          <t>D19-DOC-PAC-001.PLACEMENT.PAGINA</t>
        </is>
      </c>
      <c r="B30" s="10" t="inlineStr">
        <is>
          <t>pagina</t>
        </is>
      </c>
      <c r="C30" s="10" t="inlineStr">
        <is>
          <t>Definir, validar e manter: Pagina</t>
        </is>
      </c>
      <c r="D30" s="11" t="n"/>
      <c r="E30" s="12" t="inlineStr">
        <is>
          <t>baixa</t>
        </is>
      </c>
    </row>
    <row r="31">
      <c r="A31" s="9" t="inlineStr">
        <is>
          <t>D19-DOC-PAC-001.PLACEMENT.COMPONENTE</t>
        </is>
      </c>
      <c r="B31" s="10" t="inlineStr">
        <is>
          <t>componente</t>
        </is>
      </c>
      <c r="C31" s="10" t="inlineStr">
        <is>
          <t>Definir, validar e manter: Componente</t>
        </is>
      </c>
      <c r="D31" s="11" t="n"/>
      <c r="E31" s="12" t="inlineStr">
        <is>
          <t>baixa</t>
        </is>
      </c>
    </row>
    <row r="32">
      <c r="A32" s="9" t="inlineStr">
        <is>
          <t>D19-DOC-PAC-001.PLACEMENT.CANAL</t>
        </is>
      </c>
      <c r="B32" s="10" t="inlineStr">
        <is>
          <t>canal</t>
        </is>
      </c>
      <c r="C32" s="10" t="inlineStr">
        <is>
          <t>Definir, validar e manter: Canal</t>
        </is>
      </c>
      <c r="D32" s="11" t="n"/>
      <c r="E32" s="12" t="inlineStr">
        <is>
          <t>baixa</t>
        </is>
      </c>
    </row>
    <row r="33">
      <c r="A33" s="9" t="inlineStr">
        <is>
          <t>D19-DOC-PAC-001.TRACKING.UTM</t>
        </is>
      </c>
      <c r="B33" s="10" t="inlineStr">
        <is>
          <t>utm</t>
        </is>
      </c>
      <c r="C33" s="10" t="inlineStr">
        <is>
          <t>Definir, validar e manter: Utm</t>
        </is>
      </c>
      <c r="D33" s="11" t="n"/>
      <c r="E33" s="12" t="inlineStr">
        <is>
          <t>baixa</t>
        </is>
      </c>
    </row>
    <row r="34">
      <c r="A34" s="9" t="inlineStr">
        <is>
          <t>D19-DOC-PAC-001.TRACKING.EVENTO</t>
        </is>
      </c>
      <c r="B34" s="10" t="inlineStr">
        <is>
          <t>evento</t>
        </is>
      </c>
      <c r="C34" s="10" t="inlineStr">
        <is>
          <t>Definir, validar e manter: Evento</t>
        </is>
      </c>
      <c r="D34" s="11" t="n"/>
      <c r="E34" s="12" t="inlineStr">
        <is>
          <t>baixa</t>
        </is>
      </c>
    </row>
    <row r="35">
      <c r="A35" s="9" t="inlineStr">
        <is>
          <t>D19-DOC-PAC-001.TRACKING.CAMPANHA</t>
        </is>
      </c>
      <c r="B35" s="10" t="inlineStr">
        <is>
          <t>campanha</t>
        </is>
      </c>
      <c r="C35" s="10" t="inlineStr">
        <is>
          <t>Definir, validar e manter: Campanha</t>
        </is>
      </c>
      <c r="D35" s="11" t="n"/>
      <c r="E35" s="12" t="inlineStr">
        <is>
          <t>baixa</t>
        </is>
      </c>
    </row>
    <row r="36">
      <c r="A36" s="9" t="inlineStr">
        <is>
          <t>D19-DOC-PAC-001.ACCESSIBILITY.ALT_TEXT</t>
        </is>
      </c>
      <c r="B36" s="10" t="inlineStr">
        <is>
          <t>alt_text</t>
        </is>
      </c>
      <c r="C36" s="10" t="inlineStr">
        <is>
          <t>Definir, validar e manter: Alt Text</t>
        </is>
      </c>
      <c r="D36" s="11" t="n"/>
      <c r="E36" s="12" t="inlineStr">
        <is>
          <t>baixa</t>
        </is>
      </c>
    </row>
    <row r="37">
      <c r="A37" s="9" t="inlineStr">
        <is>
          <t>D19-DOC-PAC-001.ACCESSIBILITY.LEGIBILIDADE</t>
        </is>
      </c>
      <c r="B37" s="10" t="inlineStr">
        <is>
          <t>legibilidade</t>
        </is>
      </c>
      <c r="C37" s="10" t="inlineStr">
        <is>
          <t>Definir, validar e manter: Legibilidade</t>
        </is>
      </c>
      <c r="D37" s="11" t="n"/>
      <c r="E37" s="12" t="inlineStr">
        <is>
          <t>baixa</t>
        </is>
      </c>
    </row>
    <row r="38">
      <c r="A38" s="9" t="inlineStr">
        <is>
          <t>D19-DOC-PAC-001.OWNERSHIP.OWNER</t>
        </is>
      </c>
      <c r="B38" s="10" t="inlineStr">
        <is>
          <t>owner</t>
        </is>
      </c>
      <c r="C38" s="10" t="inlineStr">
        <is>
          <t>Definir, validar e manter: Owner</t>
        </is>
      </c>
      <c r="D38" s="11" t="n"/>
      <c r="E38" s="12" t="inlineStr">
        <is>
          <t>baixa</t>
        </is>
      </c>
    </row>
    <row r="39">
      <c r="A39" s="9" t="inlineStr">
        <is>
          <t>D19-DOC-PAC-001.OWNERSHIP.APROVADOR</t>
        </is>
      </c>
      <c r="B39" s="10" t="inlineStr">
        <is>
          <t>aprovador</t>
        </is>
      </c>
      <c r="C39" s="10" t="inlineStr">
        <is>
          <t>Definir, validar e manter: Aprovador</t>
        </is>
      </c>
      <c r="D39" s="11" t="n"/>
      <c r="E39" s="12" t="inlineStr">
        <is>
          <t>media</t>
        </is>
      </c>
    </row>
    <row r="40">
      <c r="A40" s="9" t="inlineStr">
        <is>
          <t>D19-DOC-PAC-001.STATUS.DRAFT</t>
        </is>
      </c>
      <c r="B40" s="10" t="inlineStr">
        <is>
          <t>draft</t>
        </is>
      </c>
      <c r="C40" s="10" t="inlineStr">
        <is>
          <t>Definir, validar e manter: Draft</t>
        </is>
      </c>
      <c r="D40" s="11" t="n"/>
      <c r="E40" s="12" t="inlineStr">
        <is>
          <t>baixa</t>
        </is>
      </c>
    </row>
    <row r="41">
      <c r="A41" s="9" t="inlineStr">
        <is>
          <t>D19-DOC-PAC-001.STATUS.APROVADO</t>
        </is>
      </c>
      <c r="B41" s="10" t="inlineStr">
        <is>
          <t>aprovado</t>
        </is>
      </c>
      <c r="C41" s="10" t="inlineStr">
        <is>
          <t>Definir, validar e manter: Aprovado</t>
        </is>
      </c>
      <c r="D41" s="11" t="n"/>
      <c r="E41" s="12" t="inlineStr">
        <is>
          <t>baixa</t>
        </is>
      </c>
    </row>
    <row r="42">
      <c r="A42" s="9" t="inlineStr">
        <is>
          <t>D19-DOC-PAC-001.STATUS.PUBLICADO</t>
        </is>
      </c>
      <c r="B42" s="10" t="inlineStr">
        <is>
          <t>publicado</t>
        </is>
      </c>
      <c r="C42" s="10" t="inlineStr">
        <is>
          <t>Definir, validar e manter: Publicado</t>
        </is>
      </c>
      <c r="D42" s="11" t="n"/>
      <c r="E42" s="12" t="inlineStr">
        <is>
          <t>baixa</t>
        </is>
      </c>
    </row>
    <row r="43">
      <c r="A43" s="9" t="inlineStr">
        <is>
          <t>D19-DOC-PAC-001.REUSE.ATIVO_FONTE</t>
        </is>
      </c>
      <c r="B43" s="10" t="inlineStr">
        <is>
          <t>ativo_fonte</t>
        </is>
      </c>
      <c r="C43" s="10" t="inlineStr">
        <is>
          <t>Definir, validar e manter: Ativo Fonte</t>
        </is>
      </c>
      <c r="D43" s="11" t="n"/>
      <c r="E43" s="12" t="inlineStr">
        <is>
          <t>baixa</t>
        </is>
      </c>
    </row>
    <row r="44">
      <c r="A44" s="9" t="inlineStr">
        <is>
          <t>D19-DOC-PAC-001.REUSE.DERIVADOS</t>
        </is>
      </c>
      <c r="B44" s="10" t="inlineStr">
        <is>
          <t>derivados</t>
        </is>
      </c>
      <c r="C44" s="10" t="inlineStr">
        <is>
          <t>Definir, validar e manter: Derivados</t>
        </is>
      </c>
      <c r="D44" s="11" t="n"/>
      <c r="E44" s="12" t="inlineStr">
        <is>
          <t>baixa</t>
        </is>
      </c>
    </row>
    <row r="45">
      <c r="A45" s="8" t="inlineStr">
        <is>
          <t>Domínio D20 — Plataformas e Repositórios</t>
        </is>
      </c>
      <c r="B45" s="6" t="n"/>
      <c r="C45" s="6" t="n"/>
      <c r="D45" s="6" t="n"/>
      <c r="E45" s="7" t="n"/>
    </row>
    <row r="46">
      <c r="A46" s="8" t="inlineStr">
        <is>
          <t>Artefato D20-DOC-PPR-001 — Plano de Plataformas e Repositórios</t>
        </is>
      </c>
      <c r="B46" s="6" t="n"/>
      <c r="C46" s="6" t="n"/>
      <c r="D46" s="6" t="n"/>
      <c r="E46" s="7" t="n"/>
    </row>
    <row r="47">
      <c r="A47" s="9" t="inlineStr">
        <is>
          <t>D20-DOC-PPR-001.SYSTEMS.PLATAFORMA</t>
        </is>
      </c>
      <c r="B47" s="10" t="inlineStr">
        <is>
          <t>plataforma</t>
        </is>
      </c>
      <c r="C47" s="10" t="inlineStr">
        <is>
          <t>Definir, validar e manter: Plataforma</t>
        </is>
      </c>
      <c r="D47" s="11" t="n"/>
      <c r="E47" s="12" t="inlineStr">
        <is>
          <t>alta</t>
        </is>
      </c>
    </row>
    <row r="48">
      <c r="A48" s="9" t="inlineStr">
        <is>
          <t>D20-DOC-PPR-001.SYSTEMS.FINALIDADE</t>
        </is>
      </c>
      <c r="B48" s="10" t="inlineStr">
        <is>
          <t>finalidade</t>
        </is>
      </c>
      <c r="C48" s="10" t="inlineStr">
        <is>
          <t>Definir, validar e manter: Finalidade</t>
        </is>
      </c>
      <c r="D48" s="11" t="n"/>
      <c r="E48" s="12" t="inlineStr">
        <is>
          <t>baixa</t>
        </is>
      </c>
    </row>
    <row r="49">
      <c r="A49" s="9" t="inlineStr">
        <is>
          <t>D20-DOC-PPR-001.ACCOUNTS.CONTA</t>
        </is>
      </c>
      <c r="B49" s="10" t="inlineStr">
        <is>
          <t>conta</t>
        </is>
      </c>
      <c r="C49" s="10" t="inlineStr">
        <is>
          <t>Definir, validar e manter: Conta</t>
        </is>
      </c>
      <c r="D49" s="11" t="n"/>
      <c r="E49" s="12" t="inlineStr">
        <is>
          <t>baixa</t>
        </is>
      </c>
    </row>
    <row r="50">
      <c r="A50" s="9" t="inlineStr">
        <is>
          <t>D20-DOC-PPR-001.ACCOUNTS.ORGANIZACAO</t>
        </is>
      </c>
      <c r="B50" s="10" t="inlineStr">
        <is>
          <t>organizacao</t>
        </is>
      </c>
      <c r="C50" s="10" t="inlineStr">
        <is>
          <t>Definir, validar e manter: Organizacao</t>
        </is>
      </c>
      <c r="D50" s="11" t="n"/>
      <c r="E50" s="12" t="inlineStr">
        <is>
          <t>baixa</t>
        </is>
      </c>
    </row>
    <row r="51">
      <c r="A51" s="9" t="inlineStr">
        <is>
          <t>D20-DOC-PPR-001.REPOSITORIES.REPO</t>
        </is>
      </c>
      <c r="B51" s="10" t="inlineStr">
        <is>
          <t>repo</t>
        </is>
      </c>
      <c r="C51" s="10" t="inlineStr">
        <is>
          <t>Definir, validar e manter: Repo</t>
        </is>
      </c>
      <c r="D51" s="11" t="n"/>
      <c r="E51" s="12" t="inlineStr">
        <is>
          <t>baixa</t>
        </is>
      </c>
    </row>
    <row r="52">
      <c r="A52" s="9" t="inlineStr">
        <is>
          <t>D20-DOC-PPR-001.REPOSITORIES.OWNER</t>
        </is>
      </c>
      <c r="B52" s="10" t="inlineStr">
        <is>
          <t>owner</t>
        </is>
      </c>
      <c r="C52" s="10" t="inlineStr">
        <is>
          <t>Definir, validar e manter: Owner</t>
        </is>
      </c>
      <c r="D52" s="11" t="n"/>
      <c r="E52" s="12" t="inlineStr">
        <is>
          <t>baixa</t>
        </is>
      </c>
    </row>
    <row r="53">
      <c r="A53" s="9" t="inlineStr">
        <is>
          <t>D20-DOC-PPR-001.REPOSITORIES.FINALIDADE</t>
        </is>
      </c>
      <c r="B53" s="10" t="inlineStr">
        <is>
          <t>finalidade</t>
        </is>
      </c>
      <c r="C53" s="10" t="inlineStr">
        <is>
          <t>Definir, validar e manter: Finalidade</t>
        </is>
      </c>
      <c r="D53" s="11" t="n"/>
      <c r="E53" s="12" t="inlineStr">
        <is>
          <t>baixa</t>
        </is>
      </c>
    </row>
    <row r="54">
      <c r="A54" s="9" t="inlineStr">
        <is>
          <t>D20-DOC-PPR-001.BRANCHES.BRANCH</t>
        </is>
      </c>
      <c r="B54" s="10" t="inlineStr">
        <is>
          <t>branch</t>
        </is>
      </c>
      <c r="C54" s="10" t="inlineStr">
        <is>
          <t>Definir, validar e manter: Branch</t>
        </is>
      </c>
      <c r="D54" s="11" t="n"/>
      <c r="E54" s="12" t="inlineStr">
        <is>
          <t>baixa</t>
        </is>
      </c>
    </row>
    <row r="55">
      <c r="A55" s="9" t="inlineStr">
        <is>
          <t>D20-DOC-PPR-001.BRANCHES.FUNCAO</t>
        </is>
      </c>
      <c r="B55" s="10" t="inlineStr">
        <is>
          <t>funcao</t>
        </is>
      </c>
      <c r="C55" s="10" t="inlineStr">
        <is>
          <t>Definir, validar e manter: Funcao</t>
        </is>
      </c>
      <c r="D55" s="11" t="n"/>
      <c r="E55" s="12" t="inlineStr">
        <is>
          <t>baixa</t>
        </is>
      </c>
    </row>
    <row r="56">
      <c r="A56" s="9" t="inlineStr">
        <is>
          <t>D20-DOC-PPR-001.BRANCHES.PROTECAO</t>
        </is>
      </c>
      <c r="B56" s="10" t="inlineStr">
        <is>
          <t>protecao</t>
        </is>
      </c>
      <c r="C56" s="10" t="inlineStr">
        <is>
          <t>Definir, validar e manter: Protecao</t>
        </is>
      </c>
      <c r="D56" s="11" t="n"/>
      <c r="E56" s="12" t="inlineStr">
        <is>
          <t>baixa</t>
        </is>
      </c>
    </row>
    <row r="57">
      <c r="A57" s="9" t="inlineStr">
        <is>
          <t>D20-DOC-PPR-001.DIRECTORIES.PATH</t>
        </is>
      </c>
      <c r="B57" s="10" t="inlineStr">
        <is>
          <t>path</t>
        </is>
      </c>
      <c r="C57" s="10" t="inlineStr">
        <is>
          <t>Definir, validar e manter: Path</t>
        </is>
      </c>
      <c r="D57" s="11" t="n"/>
      <c r="E57" s="12" t="inlineStr">
        <is>
          <t>baixa</t>
        </is>
      </c>
    </row>
    <row r="58">
      <c r="A58" s="9" t="inlineStr">
        <is>
          <t>D20-DOC-PPR-001.DIRECTORIES.RESPONSABILIDADE</t>
        </is>
      </c>
      <c r="B58" s="10" t="inlineStr">
        <is>
          <t>responsabilidade</t>
        </is>
      </c>
      <c r="C58" s="10" t="inlineStr">
        <is>
          <t>Definir, validar e manter: Responsabilidade</t>
        </is>
      </c>
      <c r="D58" s="11" t="n"/>
      <c r="E58" s="12" t="inlineStr">
        <is>
          <t>baixa</t>
        </is>
      </c>
    </row>
    <row r="59">
      <c r="A59" s="9" t="inlineStr">
        <is>
          <t>D20-DOC-PPR-001.ENVIRONMENTS.LOCAL</t>
        </is>
      </c>
      <c r="B59" s="10" t="inlineStr">
        <is>
          <t>local</t>
        </is>
      </c>
      <c r="C59" s="10" t="inlineStr">
        <is>
          <t>Definir, validar e manter: Local</t>
        </is>
      </c>
      <c r="D59" s="11" t="n"/>
      <c r="E59" s="12" t="inlineStr">
        <is>
          <t>baixa</t>
        </is>
      </c>
    </row>
    <row r="60">
      <c r="A60" s="9" t="inlineStr">
        <is>
          <t>D20-DOC-PPR-001.ENVIRONMENTS.PREVIEW</t>
        </is>
      </c>
      <c r="B60" s="10" t="inlineStr">
        <is>
          <t>preview</t>
        </is>
      </c>
      <c r="C60" s="10" t="inlineStr">
        <is>
          <t>Definir, validar e manter: Preview</t>
        </is>
      </c>
      <c r="D60" s="11" t="n"/>
      <c r="E60" s="12" t="inlineStr">
        <is>
          <t>baixa</t>
        </is>
      </c>
    </row>
    <row r="61">
      <c r="A61" s="9" t="inlineStr">
        <is>
          <t>D20-DOC-PPR-001.ENVIRONMENTS.STAGING</t>
        </is>
      </c>
      <c r="B61" s="10" t="inlineStr">
        <is>
          <t>staging</t>
        </is>
      </c>
      <c r="C61" s="10" t="inlineStr">
        <is>
          <t>Definir, validar e manter: Staging</t>
        </is>
      </c>
      <c r="D61" s="11" t="n"/>
      <c r="E61" s="12" t="inlineStr">
        <is>
          <t>baixa</t>
        </is>
      </c>
    </row>
    <row r="62">
      <c r="A62" s="9" t="inlineStr">
        <is>
          <t>D20-DOC-PPR-001.ENVIRONMENTS.PRODUCTION</t>
        </is>
      </c>
      <c r="B62" s="10" t="inlineStr">
        <is>
          <t>production</t>
        </is>
      </c>
      <c r="C62" s="10" t="inlineStr">
        <is>
          <t>Definir, validar e manter: Production</t>
        </is>
      </c>
      <c r="D62" s="11" t="n"/>
      <c r="E62" s="12" t="inlineStr">
        <is>
          <t>baixa</t>
        </is>
      </c>
    </row>
    <row r="63">
      <c r="A63" s="9" t="inlineStr">
        <is>
          <t>D20-DOC-PPR-001.DEPLOYMENTS.APP</t>
        </is>
      </c>
      <c r="B63" s="10" t="inlineStr">
        <is>
          <t>app</t>
        </is>
      </c>
      <c r="C63" s="10" t="inlineStr">
        <is>
          <t>Definir, validar e manter: App</t>
        </is>
      </c>
      <c r="D63" s="11" t="n"/>
      <c r="E63" s="12" t="inlineStr">
        <is>
          <t>baixa</t>
        </is>
      </c>
    </row>
    <row r="64">
      <c r="A64" s="9" t="inlineStr">
        <is>
          <t>D20-DOC-PPR-001.DEPLOYMENTS.PLATAFORMA</t>
        </is>
      </c>
      <c r="B64" s="10" t="inlineStr">
        <is>
          <t>plataforma</t>
        </is>
      </c>
      <c r="C64" s="10" t="inlineStr">
        <is>
          <t>Definir, validar e manter: Plataforma</t>
        </is>
      </c>
      <c r="D64" s="11" t="n"/>
      <c r="E64" s="12" t="inlineStr">
        <is>
          <t>baixa</t>
        </is>
      </c>
    </row>
    <row r="65">
      <c r="A65" s="9" t="inlineStr">
        <is>
          <t>D20-DOC-PPR-001.DEPLOYMENTS.URL</t>
        </is>
      </c>
      <c r="B65" s="10" t="inlineStr">
        <is>
          <t>url</t>
        </is>
      </c>
      <c r="C65" s="10" t="inlineStr">
        <is>
          <t>Definir, validar e manter: Url</t>
        </is>
      </c>
      <c r="D65" s="11" t="n"/>
      <c r="E65" s="12" t="inlineStr">
        <is>
          <t>baixa</t>
        </is>
      </c>
    </row>
    <row r="66">
      <c r="A66" s="9" t="inlineStr">
        <is>
          <t>D20-DOC-PPR-001.DEPLOYMENTS.STATUS</t>
        </is>
      </c>
      <c r="B66" s="10" t="inlineStr">
        <is>
          <t>status</t>
        </is>
      </c>
      <c r="C66" s="10" t="inlineStr">
        <is>
          <t>Definir, validar e manter: Status</t>
        </is>
      </c>
      <c r="D66" s="11" t="n"/>
      <c r="E66" s="12" t="inlineStr">
        <is>
          <t>baixa</t>
        </is>
      </c>
    </row>
    <row r="67">
      <c r="A67" s="9" t="inlineStr">
        <is>
          <t>D20-DOC-PPR-001.DOMAINS.DOMINIO</t>
        </is>
      </c>
      <c r="B67" s="10" t="inlineStr">
        <is>
          <t>dominio</t>
        </is>
      </c>
      <c r="C67" s="10" t="inlineStr">
        <is>
          <t>Definir, validar e manter: Dominio</t>
        </is>
      </c>
      <c r="D67" s="11" t="n"/>
      <c r="E67" s="12" t="inlineStr">
        <is>
          <t>baixa</t>
        </is>
      </c>
    </row>
    <row r="68">
      <c r="A68" s="9" t="inlineStr">
        <is>
          <t>D20-DOC-PPR-001.DOMAINS.DESTINO</t>
        </is>
      </c>
      <c r="B68" s="10" t="inlineStr">
        <is>
          <t>destino</t>
        </is>
      </c>
      <c r="C68" s="10" t="inlineStr">
        <is>
          <t>Definir, validar e manter: Destino</t>
        </is>
      </c>
      <c r="D68" s="11" t="n"/>
      <c r="E68" s="12" t="inlineStr">
        <is>
          <t>baixa</t>
        </is>
      </c>
    </row>
    <row r="69">
      <c r="A69" s="9" t="inlineStr">
        <is>
          <t>D20-DOC-PPR-001.INTEGRATIONS.ORIGEM</t>
        </is>
      </c>
      <c r="B69" s="10" t="inlineStr">
        <is>
          <t>origem</t>
        </is>
      </c>
      <c r="C69" s="10" t="inlineStr">
        <is>
          <t>Definir, validar e manter: Origem</t>
        </is>
      </c>
      <c r="D69" s="11" t="n"/>
      <c r="E69" s="12" t="inlineStr">
        <is>
          <t>baixa</t>
        </is>
      </c>
    </row>
    <row r="70">
      <c r="A70" s="9" t="inlineStr">
        <is>
          <t>D20-DOC-PPR-001.INTEGRATIONS.DESTINO</t>
        </is>
      </c>
      <c r="B70" s="10" t="inlineStr">
        <is>
          <t>destino</t>
        </is>
      </c>
      <c r="C70" s="10" t="inlineStr">
        <is>
          <t>Definir, validar e manter: Destino</t>
        </is>
      </c>
      <c r="D70" s="11" t="n"/>
      <c r="E70" s="12" t="inlineStr">
        <is>
          <t>baixa</t>
        </is>
      </c>
    </row>
    <row r="71">
      <c r="A71" s="9" t="inlineStr">
        <is>
          <t>D20-DOC-PPR-001.INTEGRATIONS.METODO</t>
        </is>
      </c>
      <c r="B71" s="10" t="inlineStr">
        <is>
          <t>metodo</t>
        </is>
      </c>
      <c r="C71" s="10" t="inlineStr">
        <is>
          <t>Definir, validar e manter: Metodo</t>
        </is>
      </c>
      <c r="D71" s="11" t="n"/>
      <c r="E71" s="12" t="inlineStr">
        <is>
          <t>baixa</t>
        </is>
      </c>
    </row>
    <row r="72">
      <c r="A72" s="9" t="inlineStr">
        <is>
          <t>D20-DOC-PPR-001.PERMISSIONS.SISTEMA</t>
        </is>
      </c>
      <c r="B72" s="10" t="inlineStr">
        <is>
          <t>sistema</t>
        </is>
      </c>
      <c r="C72" s="10" t="inlineStr">
        <is>
          <t>Definir, validar e manter: Sistema</t>
        </is>
      </c>
      <c r="D72" s="11" t="n"/>
      <c r="E72" s="12" t="inlineStr">
        <is>
          <t>baixa</t>
        </is>
      </c>
    </row>
    <row r="73">
      <c r="A73" s="9" t="inlineStr">
        <is>
          <t>D20-DOC-PPR-001.PERMISSIONS.PERFIL</t>
        </is>
      </c>
      <c r="B73" s="10" t="inlineStr">
        <is>
          <t>perfil</t>
        </is>
      </c>
      <c r="C73" s="10" t="inlineStr">
        <is>
          <t>Definir, validar e manter: Perfil</t>
        </is>
      </c>
      <c r="D73" s="11" t="n"/>
      <c r="E73" s="12" t="inlineStr">
        <is>
          <t>baixa</t>
        </is>
      </c>
    </row>
    <row r="74">
      <c r="A74" s="9" t="inlineStr">
        <is>
          <t>D20-DOC-PPR-001.PERMISSIONS.ACESSO</t>
        </is>
      </c>
      <c r="B74" s="10" t="inlineStr">
        <is>
          <t>acesso</t>
        </is>
      </c>
      <c r="C74" s="10" t="inlineStr">
        <is>
          <t>Definir, validar e manter: Acesso</t>
        </is>
      </c>
      <c r="D74" s="11" t="n"/>
      <c r="E74" s="12" t="inlineStr">
        <is>
          <t>baixa</t>
        </is>
      </c>
    </row>
    <row r="75">
      <c r="A75" s="9" t="inlineStr">
        <is>
          <t>D20-DOC-PPR-001.SECRETS.SECRET_NAME</t>
        </is>
      </c>
      <c r="B75" s="10" t="inlineStr">
        <is>
          <t>secret_name</t>
        </is>
      </c>
      <c r="C75" s="10" t="inlineStr">
        <is>
          <t>Definir, validar e manter: Secret Name</t>
        </is>
      </c>
      <c r="D75" s="11" t="n"/>
      <c r="E75" s="12" t="inlineStr">
        <is>
          <t>baixa</t>
        </is>
      </c>
    </row>
    <row r="76">
      <c r="A76" s="9" t="inlineStr">
        <is>
          <t>D20-DOC-PPR-001.SECRETS.LOCALIZACAO_SEM_VALOR</t>
        </is>
      </c>
      <c r="B76" s="10" t="inlineStr">
        <is>
          <t>localizacao_sem_valor</t>
        </is>
      </c>
      <c r="C76" s="10" t="inlineStr">
        <is>
          <t>Definir, validar e manter: Localizacao Sem Valor</t>
        </is>
      </c>
      <c r="D76" s="11" t="n"/>
      <c r="E76" s="12" t="inlineStr">
        <is>
          <t>baixa</t>
        </is>
      </c>
    </row>
    <row r="77">
      <c r="A77" s="9" t="inlineStr">
        <is>
          <t>D20-DOC-PPR-001.SOURCE_OF_TRUTH.OBJETO</t>
        </is>
      </c>
      <c r="B77" s="10" t="inlineStr">
        <is>
          <t>objeto</t>
        </is>
      </c>
      <c r="C77" s="10" t="inlineStr">
        <is>
          <t>Definir, validar e manter: Objeto</t>
        </is>
      </c>
      <c r="D77" s="11" t="n"/>
      <c r="E77" s="12" t="inlineStr">
        <is>
          <t>baixa</t>
        </is>
      </c>
    </row>
    <row r="78">
      <c r="A78" s="9" t="inlineStr">
        <is>
          <t>D20-DOC-PPR-001.SOURCE_OF_TRUTH.REPOSITORIO</t>
        </is>
      </c>
      <c r="B78" s="10" t="inlineStr">
        <is>
          <t>repositorio</t>
        </is>
      </c>
      <c r="C78" s="10" t="inlineStr">
        <is>
          <t>Definir, validar e manter: Repositorio</t>
        </is>
      </c>
      <c r="D78" s="11" t="n"/>
      <c r="E78" s="12" t="inlineStr">
        <is>
          <t>baixa</t>
        </is>
      </c>
    </row>
    <row r="79">
      <c r="A79" s="9" t="inlineStr">
        <is>
          <t>D20-DOC-PPR-001.BACKUPS.OBJETO</t>
        </is>
      </c>
      <c r="B79" s="10" t="inlineStr">
        <is>
          <t>objeto</t>
        </is>
      </c>
      <c r="C79" s="10" t="inlineStr">
        <is>
          <t>Definir, validar e manter: Objeto</t>
        </is>
      </c>
      <c r="D79" s="11" t="n"/>
      <c r="E79" s="12" t="inlineStr">
        <is>
          <t>baixa</t>
        </is>
      </c>
    </row>
    <row r="80">
      <c r="A80" s="9" t="inlineStr">
        <is>
          <t>D20-DOC-PPR-001.BACKUPS.ESTRATEGIA</t>
        </is>
      </c>
      <c r="B80" s="10" t="inlineStr">
        <is>
          <t>estrategia</t>
        </is>
      </c>
      <c r="C80" s="10" t="inlineStr">
        <is>
          <t>Definir, validar e manter: Estrategia</t>
        </is>
      </c>
      <c r="D80" s="11" t="n"/>
      <c r="E80" s="12" t="inlineStr">
        <is>
          <t>baixa</t>
        </is>
      </c>
    </row>
    <row r="81">
      <c r="A81" s="9" t="inlineStr">
        <is>
          <t>D20-DOC-PPR-001.RECOVERY.PROCEDIMENTO</t>
        </is>
      </c>
      <c r="B81" s="10" t="inlineStr">
        <is>
          <t>procedimento</t>
        </is>
      </c>
      <c r="C81" s="10" t="inlineStr">
        <is>
          <t>Definir, validar e manter: Procedimento</t>
        </is>
      </c>
      <c r="D81" s="11" t="n"/>
      <c r="E81" s="12" t="inlineStr">
        <is>
          <t>baixa</t>
        </is>
      </c>
    </row>
    <row r="82">
      <c r="A82" s="9" t="inlineStr">
        <is>
          <t>D20-DOC-PPR-001.RECOVERY.RTO</t>
        </is>
      </c>
      <c r="B82" s="10" t="inlineStr">
        <is>
          <t>rto</t>
        </is>
      </c>
      <c r="C82" s="10" t="inlineStr">
        <is>
          <t>Definir, validar e manter: RTO</t>
        </is>
      </c>
      <c r="D82" s="11" t="n"/>
      <c r="E82" s="12" t="inlineStr">
        <is>
          <t>media</t>
        </is>
      </c>
    </row>
    <row r="83">
      <c r="A83" s="9" t="inlineStr">
        <is>
          <t>D20-DOC-PPR-001.RECOVERY.RPO</t>
        </is>
      </c>
      <c r="B83" s="10" t="inlineStr">
        <is>
          <t>rpo</t>
        </is>
      </c>
      <c r="C83" s="10" t="inlineStr">
        <is>
          <t>Definir, validar e manter: RPO</t>
        </is>
      </c>
      <c r="D83" s="11" t="n"/>
      <c r="E83" s="12" t="inlineStr">
        <is>
          <t>media</t>
        </is>
      </c>
    </row>
    <row r="84">
      <c r="A84" s="9" t="inlineStr">
        <is>
          <t>D20-DOC-PPR-001.MAINTENANCE.ROTINA</t>
        </is>
      </c>
      <c r="B84" s="10" t="inlineStr">
        <is>
          <t>rotina</t>
        </is>
      </c>
      <c r="C84" s="10" t="inlineStr">
        <is>
          <t>Definir, validar e manter: Rotina</t>
        </is>
      </c>
      <c r="D84" s="11" t="n"/>
      <c r="E84" s="12" t="inlineStr">
        <is>
          <t>baixa</t>
        </is>
      </c>
    </row>
    <row r="85">
      <c r="A85" s="9" t="inlineStr">
        <is>
          <t>D20-DOC-PPR-001.MAINTENANCE.OWNER</t>
        </is>
      </c>
      <c r="B85" s="10" t="inlineStr">
        <is>
          <t>owner</t>
        </is>
      </c>
      <c r="C85" s="10" t="inlineStr">
        <is>
          <t>Definir, validar e manter: Owner</t>
        </is>
      </c>
      <c r="D85" s="11" t="n"/>
      <c r="E85" s="12" t="inlineStr">
        <is>
          <t>baixa</t>
        </is>
      </c>
    </row>
  </sheetData>
  <mergeCells count="5">
    <mergeCell ref="A4:E4"/>
    <mergeCell ref="A7:E7"/>
    <mergeCell ref="A45:E45"/>
    <mergeCell ref="A46:E46"/>
    <mergeCell ref="A6:E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G46"/>
  <sheetViews>
    <sheetView workbookViewId="0">
      <pane ySplit="6" topLeftCell="A7" activePane="bottomLeft" state="frozen"/>
      <selection pane="bottomLeft" activeCell="A1" sqref="A1"/>
    </sheetView>
  </sheetViews>
  <sheetFormatPr baseColWidth="8" defaultRowHeight="15"/>
  <cols>
    <col width="26" customWidth="1" min="1" max="1"/>
    <col width="34" customWidth="1" min="2" max="2"/>
    <col width="46" customWidth="1" min="3" max="3"/>
    <col width="40" customWidth="1" min="4" max="4"/>
    <col width="20" customWidth="1" min="5" max="5"/>
  </cols>
  <sheetData>
    <row r="2">
      <c r="F2" s="2" t="inlineStr">
        <is>
          <t>Progresso de preenchimento</t>
        </is>
      </c>
      <c r="G2" s="4">
        <f>COUNTA(D7:D47)&amp;" / 39"</f>
        <v/>
      </c>
    </row>
    <row r="4">
      <c r="A4" s="5" t="inlineStr">
        <is>
          <t>A12 — Stakeholders e Ecossistema</t>
        </is>
      </c>
      <c r="B4" s="6" t="n"/>
      <c r="C4" s="6" t="n"/>
      <c r="D4" s="6" t="n"/>
      <c r="E4" s="7" t="n"/>
    </row>
    <row r="5">
      <c r="A5" s="8" t="inlineStr">
        <is>
          <t>ID</t>
        </is>
      </c>
      <c r="B5" s="8" t="inlineStr">
        <is>
          <t>Campo</t>
        </is>
      </c>
      <c r="C5" s="8" t="inlineStr">
        <is>
          <t>O que preencher</t>
        </is>
      </c>
      <c r="D5" s="8" t="inlineStr">
        <is>
          <t>Resposta</t>
        </is>
      </c>
      <c r="E5" s="8" t="inlineStr">
        <is>
          <t>Exemplo (referência)</t>
        </is>
      </c>
    </row>
    <row r="6">
      <c r="A6" s="8" t="inlineStr">
        <is>
          <t>Domínio D17 — Emprego e Portfólio</t>
        </is>
      </c>
      <c r="B6" s="6" t="n"/>
      <c r="C6" s="6" t="n"/>
      <c r="D6" s="6" t="n"/>
      <c r="E6" s="7" t="n"/>
    </row>
    <row r="7">
      <c r="A7" s="8" t="inlineStr">
        <is>
          <t>Artefato D17-DOC-PEP-001 — Plano de Emprego e Portfólio</t>
        </is>
      </c>
      <c r="B7" s="6" t="n"/>
      <c r="C7" s="6" t="n"/>
      <c r="D7" s="6" t="n"/>
      <c r="E7" s="7" t="n"/>
    </row>
    <row r="8">
      <c r="A8" s="9" t="inlineStr">
        <is>
          <t>D17-DOC-PEP-001.OBJECTIVE.OBJETIVO_PROFISSIONAL</t>
        </is>
      </c>
      <c r="B8" s="10" t="inlineStr">
        <is>
          <t>objetivo_profissional</t>
        </is>
      </c>
      <c r="C8" s="10" t="inlineStr">
        <is>
          <t>Definir, validar e manter: Objetivo Profissional</t>
        </is>
      </c>
      <c r="D8" s="11" t="n"/>
      <c r="E8" s="12" t="inlineStr">
        <is>
          <t>baixa</t>
        </is>
      </c>
    </row>
    <row r="9">
      <c r="A9" s="9" t="inlineStr">
        <is>
          <t>D17-DOC-PEP-001.OBJECTIVE.HORIZONTE</t>
        </is>
      </c>
      <c r="B9" s="10" t="inlineStr">
        <is>
          <t>horizonte</t>
        </is>
      </c>
      <c r="C9" s="10" t="inlineStr">
        <is>
          <t>Definir, validar e manter: Horizonte</t>
        </is>
      </c>
      <c r="D9" s="11" t="n"/>
      <c r="E9" s="12" t="inlineStr">
        <is>
          <t>baixa</t>
        </is>
      </c>
    </row>
    <row r="10">
      <c r="A10" s="9" t="inlineStr">
        <is>
          <t>D17-DOC-PEP-001.POSITIONING.PROPOSTA_PROFISSIONAL</t>
        </is>
      </c>
      <c r="B10" s="10" t="inlineStr">
        <is>
          <t>proposta_profissional</t>
        </is>
      </c>
      <c r="C10" s="10" t="inlineStr">
        <is>
          <t>Definir, validar e manter: Proposta Profissional</t>
        </is>
      </c>
      <c r="D10" s="11" t="n"/>
      <c r="E10" s="12" t="inlineStr">
        <is>
          <t>baixa</t>
        </is>
      </c>
    </row>
    <row r="11">
      <c r="A11" s="9" t="inlineStr">
        <is>
          <t>D17-DOC-PEP-001.POSITIONING.ESPECIALIDADES</t>
        </is>
      </c>
      <c r="B11" s="10" t="inlineStr">
        <is>
          <t>especialidades</t>
        </is>
      </c>
      <c r="C11" s="10" t="inlineStr">
        <is>
          <t>Definir, validar e manter: Especialidades</t>
        </is>
      </c>
      <c r="D11" s="11" t="n"/>
      <c r="E11" s="12" t="inlineStr">
        <is>
          <t>baixa</t>
        </is>
      </c>
    </row>
    <row r="12">
      <c r="A12" s="9" t="inlineStr">
        <is>
          <t>D17-DOC-PEP-001.TARGET.CARGOS</t>
        </is>
      </c>
      <c r="B12" s="10" t="inlineStr">
        <is>
          <t>cargos</t>
        </is>
      </c>
      <c r="C12" s="10" t="inlineStr">
        <is>
          <t>Definir, validar e manter: Cargos</t>
        </is>
      </c>
      <c r="D12" s="11" t="n"/>
      <c r="E12" s="12" t="inlineStr">
        <is>
          <t>baixa</t>
        </is>
      </c>
    </row>
    <row r="13">
      <c r="A13" s="9" t="inlineStr">
        <is>
          <t>D17-DOC-PEP-001.TARGET.EMPRESAS</t>
        </is>
      </c>
      <c r="B13" s="10" t="inlineStr">
        <is>
          <t>empresas</t>
        </is>
      </c>
      <c r="C13" s="10" t="inlineStr">
        <is>
          <t>Definir, validar e manter: Empresas</t>
        </is>
      </c>
      <c r="D13" s="11" t="n"/>
      <c r="E13" s="12" t="inlineStr">
        <is>
          <t>baixa</t>
        </is>
      </c>
    </row>
    <row r="14">
      <c r="A14" s="9" t="inlineStr">
        <is>
          <t>D17-DOC-PEP-001.TARGET.CLIENTES</t>
        </is>
      </c>
      <c r="B14" s="10" t="inlineStr">
        <is>
          <t>clientes</t>
        </is>
      </c>
      <c r="C14" s="10" t="inlineStr">
        <is>
          <t>Definir, validar e manter: Clientes</t>
        </is>
      </c>
      <c r="D14" s="11" t="n"/>
      <c r="E14" s="12" t="inlineStr">
        <is>
          <t>baixa</t>
        </is>
      </c>
    </row>
    <row r="15">
      <c r="A15" s="9" t="inlineStr">
        <is>
          <t>D17-DOC-PEP-001.TARGET.MERCADOS</t>
        </is>
      </c>
      <c r="B15" s="10" t="inlineStr">
        <is>
          <t>mercados</t>
        </is>
      </c>
      <c r="C15" s="10" t="inlineStr">
        <is>
          <t>Definir, validar e manter: Mercados</t>
        </is>
      </c>
      <c r="D15" s="11" t="n"/>
      <c r="E15" s="12" t="inlineStr">
        <is>
          <t>baixa</t>
        </is>
      </c>
    </row>
    <row r="16">
      <c r="A16" s="9" t="inlineStr">
        <is>
          <t>D17-DOC-PEP-001.COMPETENCIES.COMPETENCIAS</t>
        </is>
      </c>
      <c r="B16" s="10" t="inlineStr">
        <is>
          <t>competencias</t>
        </is>
      </c>
      <c r="C16" s="10" t="inlineStr">
        <is>
          <t>Definir, validar e manter: Competencias</t>
        </is>
      </c>
      <c r="D16" s="11" t="n"/>
      <c r="E16" s="12" t="inlineStr">
        <is>
          <t>baixa</t>
        </is>
      </c>
    </row>
    <row r="17">
      <c r="A17" s="9" t="inlineStr">
        <is>
          <t>D17-DOC-PEP-001.COMPETENCIES.NIVEL</t>
        </is>
      </c>
      <c r="B17" s="10" t="inlineStr">
        <is>
          <t>nivel</t>
        </is>
      </c>
      <c r="C17" s="10" t="inlineStr">
        <is>
          <t>Definir, validar e manter: Nivel</t>
        </is>
      </c>
      <c r="D17" s="11" t="n"/>
      <c r="E17" s="12" t="inlineStr">
        <is>
          <t>baixa</t>
        </is>
      </c>
    </row>
    <row r="18">
      <c r="A18" s="9" t="inlineStr">
        <is>
          <t>D17-DOC-PEP-001.COMPETENCIES.EVIDENCIA</t>
        </is>
      </c>
      <c r="B18" s="10" t="inlineStr">
        <is>
          <t>evidencia</t>
        </is>
      </c>
      <c r="C18" s="10" t="inlineStr">
        <is>
          <t>Definir, validar e manter: Evidencia</t>
        </is>
      </c>
      <c r="D18" s="11" t="n"/>
      <c r="E18" s="12" t="inlineStr">
        <is>
          <t>baixa</t>
        </is>
      </c>
    </row>
    <row r="19">
      <c r="A19" s="9" t="inlineStr">
        <is>
          <t>D17-DOC-PEP-001.GAPS.LACUNA</t>
        </is>
      </c>
      <c r="B19" s="10" t="inlineStr">
        <is>
          <t>lacuna</t>
        </is>
      </c>
      <c r="C19" s="10" t="inlineStr">
        <is>
          <t>Definir, validar e manter: Lacuna</t>
        </is>
      </c>
      <c r="D19" s="11" t="n"/>
      <c r="E19" s="12" t="inlineStr">
        <is>
          <t>baixa</t>
        </is>
      </c>
    </row>
    <row r="20">
      <c r="A20" s="9" t="inlineStr">
        <is>
          <t>D17-DOC-PEP-001.GAPS.PLANO_DE_DESENVOLVIMENTO</t>
        </is>
      </c>
      <c r="B20" s="10" t="inlineStr">
        <is>
          <t>plano_de_desenvolvimento</t>
        </is>
      </c>
      <c r="C20" s="10" t="inlineStr">
        <is>
          <t>Definir, validar e manter: Plano De Desenvolvimento</t>
        </is>
      </c>
      <c r="D20" s="11" t="n"/>
      <c r="E20" s="12" t="inlineStr">
        <is>
          <t>baixa</t>
        </is>
      </c>
    </row>
    <row r="21">
      <c r="A21" s="9" t="inlineStr">
        <is>
          <t>D17-DOC-PEP-001.PORTFOLIO_INVENTORY.PROJETO</t>
        </is>
      </c>
      <c r="B21" s="10" t="inlineStr">
        <is>
          <t>projeto</t>
        </is>
      </c>
      <c r="C21" s="10" t="inlineStr">
        <is>
          <t>Definir, validar e manter: Projeto</t>
        </is>
      </c>
      <c r="D21" s="11" t="n"/>
      <c r="E21" s="12" t="inlineStr">
        <is>
          <t>baixa</t>
        </is>
      </c>
    </row>
    <row r="22">
      <c r="A22" s="9" t="inlineStr">
        <is>
          <t>D17-DOC-PEP-001.PORTFOLIO_INVENTORY.PAPEL</t>
        </is>
      </c>
      <c r="B22" s="10" t="inlineStr">
        <is>
          <t>papel</t>
        </is>
      </c>
      <c r="C22" s="10" t="inlineStr">
        <is>
          <t>Definir, validar e manter: Papel</t>
        </is>
      </c>
      <c r="D22" s="11" t="n"/>
      <c r="E22" s="12" t="inlineStr">
        <is>
          <t>baixa</t>
        </is>
      </c>
    </row>
    <row r="23">
      <c r="A23" s="9" t="inlineStr">
        <is>
          <t>D17-DOC-PEP-001.PORTFOLIO_INVENTORY.RESULTADO</t>
        </is>
      </c>
      <c r="B23" s="10" t="inlineStr">
        <is>
          <t>resultado</t>
        </is>
      </c>
      <c r="C23" s="10" t="inlineStr">
        <is>
          <t>Definir, validar e manter: Resultado</t>
        </is>
      </c>
      <c r="D23" s="11" t="n"/>
      <c r="E23" s="12" t="inlineStr">
        <is>
          <t>baixa</t>
        </is>
      </c>
    </row>
    <row r="24">
      <c r="A24" s="9" t="inlineStr">
        <is>
          <t>D17-DOC-PEP-001.CASE_STUDIES.PROBLEMA</t>
        </is>
      </c>
      <c r="B24" s="10" t="inlineStr">
        <is>
          <t>problema</t>
        </is>
      </c>
      <c r="C24" s="10" t="inlineStr">
        <is>
          <t>Definir, validar e manter: Problema</t>
        </is>
      </c>
      <c r="D24" s="11" t="n"/>
      <c r="E24" s="12" t="inlineStr">
        <is>
          <t>baixa</t>
        </is>
      </c>
    </row>
    <row r="25">
      <c r="A25" s="9" t="inlineStr">
        <is>
          <t>D17-DOC-PEP-001.CASE_STUDIES.ACAO</t>
        </is>
      </c>
      <c r="B25" s="10" t="inlineStr">
        <is>
          <t>acao</t>
        </is>
      </c>
      <c r="C25" s="10" t="inlineStr">
        <is>
          <t>Definir, validar e manter: Acao</t>
        </is>
      </c>
      <c r="D25" s="11" t="n"/>
      <c r="E25" s="12" t="inlineStr">
        <is>
          <t>baixa</t>
        </is>
      </c>
    </row>
    <row r="26">
      <c r="A26" s="9" t="inlineStr">
        <is>
          <t>D17-DOC-PEP-001.CASE_STUDIES.RESULTADO</t>
        </is>
      </c>
      <c r="B26" s="10" t="inlineStr">
        <is>
          <t>resultado</t>
        </is>
      </c>
      <c r="C26" s="10" t="inlineStr">
        <is>
          <t>Definir, validar e manter: Resultado</t>
        </is>
      </c>
      <c r="D26" s="11" t="n"/>
      <c r="E26" s="12" t="inlineStr">
        <is>
          <t>baixa</t>
        </is>
      </c>
    </row>
    <row r="27">
      <c r="A27" s="9" t="inlineStr">
        <is>
          <t>D17-DOC-PEP-001.CASE_STUDIES.EVIDENCIA</t>
        </is>
      </c>
      <c r="B27" s="10" t="inlineStr">
        <is>
          <t>evidencia</t>
        </is>
      </c>
      <c r="C27" s="10" t="inlineStr">
        <is>
          <t>Definir, validar e manter: Evidencia</t>
        </is>
      </c>
      <c r="D27" s="11" t="n"/>
      <c r="E27" s="12" t="inlineStr">
        <is>
          <t>baixa</t>
        </is>
      </c>
    </row>
    <row r="28">
      <c r="A28" s="9" t="inlineStr">
        <is>
          <t>D17-DOC-PEP-001.CREDENTIALS.FORMACAO</t>
        </is>
      </c>
      <c r="B28" s="10" t="inlineStr">
        <is>
          <t>formacao</t>
        </is>
      </c>
      <c r="C28" s="10" t="inlineStr">
        <is>
          <t>Definir, validar e manter: Formacao</t>
        </is>
      </c>
      <c r="D28" s="11" t="n"/>
      <c r="E28" s="12" t="inlineStr">
        <is>
          <t>baixa</t>
        </is>
      </c>
    </row>
    <row r="29">
      <c r="A29" s="9" t="inlineStr">
        <is>
          <t>D17-DOC-PEP-001.CREDENTIALS.CERTIFICACAO</t>
        </is>
      </c>
      <c r="B29" s="10" t="inlineStr">
        <is>
          <t>certificacao</t>
        </is>
      </c>
      <c r="C29" s="10" t="inlineStr">
        <is>
          <t>Definir, validar e manter: Certificacao</t>
        </is>
      </c>
      <c r="D29" s="11" t="n"/>
      <c r="E29" s="12" t="inlineStr">
        <is>
          <t>media</t>
        </is>
      </c>
    </row>
    <row r="30">
      <c r="A30" s="9" t="inlineStr">
        <is>
          <t>D17-DOC-PEP-001.ASSETS.CURRICULO</t>
        </is>
      </c>
      <c r="B30" s="10" t="inlineStr">
        <is>
          <t>curriculo</t>
        </is>
      </c>
      <c r="C30" s="10" t="inlineStr">
        <is>
          <t>Definir, validar e manter: Curriculo</t>
        </is>
      </c>
      <c r="D30" s="11" t="n"/>
      <c r="E30" s="12" t="inlineStr">
        <is>
          <t>media</t>
        </is>
      </c>
    </row>
    <row r="31">
      <c r="A31" s="9" t="inlineStr">
        <is>
          <t>D17-DOC-PEP-001.ASSETS.LINKEDIN</t>
        </is>
      </c>
      <c r="B31" s="10" t="inlineStr">
        <is>
          <t>linkedin</t>
        </is>
      </c>
      <c r="C31" s="10" t="inlineStr">
        <is>
          <t>Definir, validar e manter: Linkedin</t>
        </is>
      </c>
      <c r="D31" s="11" t="n"/>
      <c r="E31" s="12" t="inlineStr">
        <is>
          <t>media</t>
        </is>
      </c>
    </row>
    <row r="32">
      <c r="A32" s="9" t="inlineStr">
        <is>
          <t>D17-DOC-PEP-001.ASSETS.SITE</t>
        </is>
      </c>
      <c r="B32" s="10" t="inlineStr">
        <is>
          <t>site</t>
        </is>
      </c>
      <c r="C32" s="10" t="inlineStr">
        <is>
          <t>Definir, validar e manter: Site</t>
        </is>
      </c>
      <c r="D32" s="11" t="n"/>
      <c r="E32" s="12" t="inlineStr">
        <is>
          <t>baixa</t>
        </is>
      </c>
    </row>
    <row r="33">
      <c r="A33" s="9" t="inlineStr">
        <is>
          <t>D17-DOC-PEP-001.ASSETS.PORTFOLIO</t>
        </is>
      </c>
      <c r="B33" s="10" t="inlineStr">
        <is>
          <t>portfolio</t>
        </is>
      </c>
      <c r="C33" s="10" t="inlineStr">
        <is>
          <t>Definir, validar e manter: Portfolio</t>
        </is>
      </c>
      <c r="D33" s="11" t="n"/>
      <c r="E33" s="12" t="inlineStr">
        <is>
          <t>media</t>
        </is>
      </c>
    </row>
    <row r="34">
      <c r="A34" s="9" t="inlineStr">
        <is>
          <t>D17-DOC-PEP-001.APPLICATIONS.OPORTUNIDADE</t>
        </is>
      </c>
      <c r="B34" s="10" t="inlineStr">
        <is>
          <t>oportunidade</t>
        </is>
      </c>
      <c r="C34" s="10" t="inlineStr">
        <is>
          <t>Definir, validar e manter: Oportunidade</t>
        </is>
      </c>
      <c r="D34" s="11" t="n"/>
      <c r="E34" s="12" t="inlineStr">
        <is>
          <t>baixa</t>
        </is>
      </c>
    </row>
    <row r="35">
      <c r="A35" s="9" t="inlineStr">
        <is>
          <t>D17-DOC-PEP-001.APPLICATIONS.STATUS</t>
        </is>
      </c>
      <c r="B35" s="10" t="inlineStr">
        <is>
          <t>status</t>
        </is>
      </c>
      <c r="C35" s="10" t="inlineStr">
        <is>
          <t>Definir, validar e manter: Status</t>
        </is>
      </c>
      <c r="D35" s="11" t="n"/>
      <c r="E35" s="12" t="inlineStr">
        <is>
          <t>baixa</t>
        </is>
      </c>
    </row>
    <row r="36">
      <c r="A36" s="9" t="inlineStr">
        <is>
          <t>D17-DOC-PEP-001.OUTREACH.CONTATO</t>
        </is>
      </c>
      <c r="B36" s="10" t="inlineStr">
        <is>
          <t>contato</t>
        </is>
      </c>
      <c r="C36" s="10" t="inlineStr">
        <is>
          <t>Definir, validar e manter: Contato</t>
        </is>
      </c>
      <c r="D36" s="11" t="n"/>
      <c r="E36" s="12" t="inlineStr">
        <is>
          <t>baixa</t>
        </is>
      </c>
    </row>
    <row r="37">
      <c r="A37" s="9" t="inlineStr">
        <is>
          <t>D17-DOC-PEP-001.OUTREACH.CANAL</t>
        </is>
      </c>
      <c r="B37" s="10" t="inlineStr">
        <is>
          <t>canal</t>
        </is>
      </c>
      <c r="C37" s="10" t="inlineStr">
        <is>
          <t>Definir, validar e manter: Canal</t>
        </is>
      </c>
      <c r="D37" s="11" t="n"/>
      <c r="E37" s="12" t="inlineStr">
        <is>
          <t>baixa</t>
        </is>
      </c>
    </row>
    <row r="38">
      <c r="A38" s="9" t="inlineStr">
        <is>
          <t>D17-DOC-PEP-001.OUTREACH.PROXIMA_ACAO</t>
        </is>
      </c>
      <c r="B38" s="10" t="inlineStr">
        <is>
          <t>proxima_acao</t>
        </is>
      </c>
      <c r="C38" s="10" t="inlineStr">
        <is>
          <t>Definir, validar e manter: Proxima Acao</t>
        </is>
      </c>
      <c r="D38" s="11" t="n"/>
      <c r="E38" s="12" t="inlineStr">
        <is>
          <t>baixa</t>
        </is>
      </c>
    </row>
    <row r="39">
      <c r="A39" s="9" t="inlineStr">
        <is>
          <t>D17-DOC-PEP-001.INTERVIEWS.EMPRESA</t>
        </is>
      </c>
      <c r="B39" s="10" t="inlineStr">
        <is>
          <t>empresa</t>
        </is>
      </c>
      <c r="C39" s="10" t="inlineStr">
        <is>
          <t>Definir, validar e manter: Empresa</t>
        </is>
      </c>
      <c r="D39" s="11" t="n"/>
      <c r="E39" s="12" t="inlineStr">
        <is>
          <t>baixa</t>
        </is>
      </c>
    </row>
    <row r="40">
      <c r="A40" s="9" t="inlineStr">
        <is>
          <t>D17-DOC-PEP-001.INTERVIEWS.ETAPA</t>
        </is>
      </c>
      <c r="B40" s="10" t="inlineStr">
        <is>
          <t>etapa</t>
        </is>
      </c>
      <c r="C40" s="10" t="inlineStr">
        <is>
          <t>Definir, validar e manter: Etapa</t>
        </is>
      </c>
      <c r="D40" s="11" t="n"/>
      <c r="E40" s="12" t="inlineStr">
        <is>
          <t>baixa</t>
        </is>
      </c>
    </row>
    <row r="41">
      <c r="A41" s="9" t="inlineStr">
        <is>
          <t>D17-DOC-PEP-001.INTERVIEWS.PREPARACAO</t>
        </is>
      </c>
      <c r="B41" s="10" t="inlineStr">
        <is>
          <t>preparacao</t>
        </is>
      </c>
      <c r="C41" s="10" t="inlineStr">
        <is>
          <t>Definir, validar e manter: Preparacao</t>
        </is>
      </c>
      <c r="D41" s="11" t="n"/>
      <c r="E41" s="12" t="inlineStr">
        <is>
          <t>baixa</t>
        </is>
      </c>
    </row>
    <row r="42">
      <c r="A42" s="9" t="inlineStr">
        <is>
          <t>D17-DOC-PEP-001.ROADMAP.MARCOS</t>
        </is>
      </c>
      <c r="B42" s="10" t="inlineStr">
        <is>
          <t>marcos</t>
        </is>
      </c>
      <c r="C42" s="10" t="inlineStr">
        <is>
          <t>Definir, validar e manter: Marcos</t>
        </is>
      </c>
      <c r="D42" s="11" t="n"/>
      <c r="E42" s="12" t="inlineStr">
        <is>
          <t>baixa</t>
        </is>
      </c>
    </row>
    <row r="43">
      <c r="A43" s="9" t="inlineStr">
        <is>
          <t>D17-DOC-PEP-001.ROADMAP.DATAS</t>
        </is>
      </c>
      <c r="B43" s="10" t="inlineStr">
        <is>
          <t>datas</t>
        </is>
      </c>
      <c r="C43" s="10" t="inlineStr">
        <is>
          <t>Definir, validar e manter: Datas</t>
        </is>
      </c>
      <c r="D43" s="11" t="n"/>
      <c r="E43" s="12" t="inlineStr">
        <is>
          <t>baixa</t>
        </is>
      </c>
    </row>
    <row r="44">
      <c r="A44" s="9" t="inlineStr">
        <is>
          <t>D17-DOC-PEP-001.METRICS.APLICACOES</t>
        </is>
      </c>
      <c r="B44" s="10" t="inlineStr">
        <is>
          <t>aplicacoes</t>
        </is>
      </c>
      <c r="C44" s="10" t="inlineStr">
        <is>
          <t>Definir, validar e manter: Aplicacoes</t>
        </is>
      </c>
      <c r="D44" s="11" t="n"/>
      <c r="E44" s="12" t="inlineStr">
        <is>
          <t>media</t>
        </is>
      </c>
    </row>
    <row r="45">
      <c r="A45" s="9" t="inlineStr">
        <is>
          <t>D17-DOC-PEP-001.METRICS.ENTREVISTAS</t>
        </is>
      </c>
      <c r="B45" s="10" t="inlineStr">
        <is>
          <t>entrevistas</t>
        </is>
      </c>
      <c r="C45" s="10" t="inlineStr">
        <is>
          <t>Definir, validar e manter: Entrevistas</t>
        </is>
      </c>
      <c r="D45" s="11" t="n"/>
      <c r="E45" s="12" t="inlineStr">
        <is>
          <t>baixa</t>
        </is>
      </c>
    </row>
    <row r="46">
      <c r="A46" s="9" t="inlineStr">
        <is>
          <t>D17-DOC-PEP-001.METRICS.CONVERSAO</t>
        </is>
      </c>
      <c r="B46" s="10" t="inlineStr">
        <is>
          <t>conversao</t>
        </is>
      </c>
      <c r="C46" s="10" t="inlineStr">
        <is>
          <t>Definir, validar e manter: Conversao</t>
        </is>
      </c>
      <c r="D46" s="11" t="n"/>
      <c r="E46" s="12" t="inlineStr">
        <is>
          <t>baixa</t>
        </is>
      </c>
    </row>
  </sheetData>
  <mergeCells count="3">
    <mergeCell ref="A6:E6"/>
    <mergeCell ref="A7:E7"/>
    <mergeCell ref="A4:E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C13"/>
  <sheetViews>
    <sheetView workbookViewId="0">
      <selection activeCell="A1" sqref="A1"/>
    </sheetView>
  </sheetViews>
  <sheetFormatPr baseColWidth="8" defaultRowHeight="15"/>
  <cols>
    <col width="30" customWidth="1" min="2" max="2"/>
    <col width="14" customWidth="1" min="3" max="3"/>
  </cols>
  <sheetData>
    <row r="2">
      <c r="B2" s="1" t="inlineStr">
        <is>
          <t>Visão Programa — EXECUTAR</t>
        </is>
      </c>
    </row>
    <row r="4">
      <c r="B4" s="2" t="inlineStr">
        <is>
          <t>Macroáreas</t>
        </is>
      </c>
      <c r="C4" s="13">
        <f>COUNTA('10_REG_Macroareas'!A2:A1000)</f>
        <v/>
      </c>
    </row>
    <row r="5">
      <c r="B5" s="2" t="inlineStr">
        <is>
          <t>Domínios</t>
        </is>
      </c>
      <c r="C5" s="13">
        <f>COUNTA('11_REG_Dominios'!A2:A1000)</f>
        <v/>
      </c>
    </row>
    <row r="6">
      <c r="B6" s="2" t="inlineStr">
        <is>
          <t>Itens de Portfólio</t>
        </is>
      </c>
      <c r="C6" s="13">
        <f>COUNTA('12_REG_Portfolio'!A2:A1000)</f>
        <v/>
      </c>
    </row>
    <row r="7">
      <c r="B7" s="2" t="inlineStr">
        <is>
          <t>Templates</t>
        </is>
      </c>
      <c r="C7" s="13">
        <f>COUNTA('13_REG_Templates'!A2:A1000)</f>
        <v/>
      </c>
    </row>
    <row r="8">
      <c r="B8" s="2" t="inlineStr">
        <is>
          <t>Artefatos</t>
        </is>
      </c>
      <c r="C8" s="13">
        <f>COUNTA('14_REG_Artefatos'!A2:A1000)</f>
        <v/>
      </c>
    </row>
    <row r="9">
      <c r="B9" s="2" t="inlineStr">
        <is>
          <t>Campos</t>
        </is>
      </c>
      <c r="C9" s="13">
        <f>COUNTA('15_REG_Campos'!A2:A2000)</f>
        <v/>
      </c>
    </row>
    <row r="10">
      <c r="B10" s="2" t="inlineStr">
        <is>
          <t>Dependências registradas</t>
        </is>
      </c>
      <c r="C10" s="13">
        <f>COUNTA('16_REG_Dependencias'!A2:A1000)</f>
        <v/>
      </c>
    </row>
    <row r="11">
      <c r="B11" s="2" t="inlineStr">
        <is>
          <t>Gates</t>
        </is>
      </c>
      <c r="C11" s="13">
        <f>COUNTA('17_REG_Gates'!A2:A1000)</f>
        <v/>
      </c>
    </row>
    <row r="12">
      <c r="B12" s="2" t="inlineStr">
        <is>
          <t>Gaps abertos</t>
        </is>
      </c>
      <c r="C12" s="13">
        <f>COUNTIFS('21_REG_Gaps'!E2:E1000,"OPEN")</f>
        <v/>
      </c>
    </row>
    <row r="13">
      <c r="B13" s="2" t="inlineStr">
        <is>
          <t>Conflitos abertos</t>
        </is>
      </c>
      <c r="C13" s="13">
        <f>COUNTIFS('22_REG_Conflitos'!H2:H1000,"ABERTO")</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2:C1141"/>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50" customWidth="1" min="3" max="3"/>
  </cols>
  <sheetData>
    <row r="2">
      <c r="B2" s="3" t="inlineStr">
        <is>
          <t>Visão Macroáreas — espelho narrativo (não editar; ver 01_Formulario_*)</t>
        </is>
      </c>
    </row>
    <row r="4">
      <c r="A4" s="5" t="inlineStr">
        <is>
          <t>A00 — Governança, Estratégia e Gestão</t>
        </is>
      </c>
      <c r="B4" s="6" t="n"/>
      <c r="C4" s="7" t="n"/>
    </row>
    <row r="5">
      <c r="A5" s="13" t="inlineStr">
        <is>
          <t>D01-DOC-DDE-001.IDENTITY.NOME_DO_ECOSSISTEMA</t>
        </is>
      </c>
      <c r="B5" s="2" t="inlineStr">
        <is>
          <t>nome_do_ecossistema</t>
        </is>
      </c>
      <c r="C5" s="14">
        <f>IFERROR(IF(INDEX('01_Formulario_A00'!$D:$D,MATCH("D01-DOC-DDE-001.IDENTITY.NOME_DO_ECOSSISTEMA",'01_Formulario_A00'!$A:$A,0))="","— (a preencher em 01_Formulario_A00)",INDEX('01_Formulario_A00'!$D:$D,MATCH("D01-DOC-DDE-001.IDENTITY.NOME_DO_ECOSSISTEMA",'01_Formulario_A00'!$A:$A,0))),"— (a preencher em 01_Formulario_A00)")</f>
        <v/>
      </c>
    </row>
    <row r="6">
      <c r="A6" s="13" t="inlineStr">
        <is>
          <t>D01-DOC-DDE-001.IDENTITY.DESCRICAO_EXECUTIVA</t>
        </is>
      </c>
      <c r="B6" s="2" t="inlineStr">
        <is>
          <t>descricao_executiva</t>
        </is>
      </c>
      <c r="C6" s="14">
        <f>IFERROR(IF(INDEX('01_Formulario_A00'!$D:$D,MATCH("D01-DOC-DDE-001.IDENTITY.DESCRICAO_EXECUTIVA",'01_Formulario_A00'!$A:$A,0))="","— (a preencher em 01_Formulario_A00)",INDEX('01_Formulario_A00'!$D:$D,MATCH("D01-DOC-DDE-001.IDENTITY.DESCRICAO_EXECUTIVA",'01_Formulario_A00'!$A:$A,0))),"— (a preencher em 01_Formulario_A00)")</f>
        <v/>
      </c>
    </row>
    <row r="7">
      <c r="A7" s="13" t="inlineStr">
        <is>
          <t>D01-DOC-DDE-001.IDENTITY.CONTEXTO</t>
        </is>
      </c>
      <c r="B7" s="2" t="inlineStr">
        <is>
          <t>contexto</t>
        </is>
      </c>
      <c r="C7" s="14">
        <f>IFERROR(IF(INDEX('01_Formulario_A00'!$D:$D,MATCH("D01-DOC-DDE-001.IDENTITY.CONTEXTO",'01_Formulario_A00'!$A:$A,0))="","— (a preencher em 01_Formulario_A00)",INDEX('01_Formulario_A00'!$D:$D,MATCH("D01-DOC-DDE-001.IDENTITY.CONTEXTO",'01_Formulario_A00'!$A:$A,0))),"— (a preencher em 01_Formulario_A00)")</f>
        <v/>
      </c>
    </row>
    <row r="8">
      <c r="A8" s="13" t="inlineStr">
        <is>
          <t>D01-DOC-DDE-001.IDENTITY.RAZAO_DE_EXISTENCIA</t>
        </is>
      </c>
      <c r="B8" s="2" t="inlineStr">
        <is>
          <t>razao_de_existencia</t>
        </is>
      </c>
      <c r="C8" s="14">
        <f>IFERROR(IF(INDEX('01_Formulario_A00'!$D:$D,MATCH("D01-DOC-DDE-001.IDENTITY.RAZAO_DE_EXISTENCIA",'01_Formulario_A00'!$A:$A,0))="","— (a preencher em 01_Formulario_A00)",INDEX('01_Formulario_A00'!$D:$D,MATCH("D01-DOC-DDE-001.IDENTITY.RAZAO_DE_EXISTENCIA",'01_Formulario_A00'!$A:$A,0))),"— (a preencher em 01_Formulario_A00)")</f>
        <v/>
      </c>
    </row>
    <row r="9">
      <c r="A9" s="13" t="inlineStr">
        <is>
          <t>D01-DOC-DDE-001.IDENTITY.FASE_ATUAL</t>
        </is>
      </c>
      <c r="B9" s="2" t="inlineStr">
        <is>
          <t>fase_atual</t>
        </is>
      </c>
      <c r="C9" s="14">
        <f>IFERROR(IF(INDEX('01_Formulario_A00'!$D:$D,MATCH("D01-DOC-DDE-001.IDENTITY.FASE_ATUAL",'01_Formulario_A00'!$A:$A,0))="","— (a preencher em 01_Formulario_A00)",INDEX('01_Formulario_A00'!$D:$D,MATCH("D01-DOC-DDE-001.IDENTITY.FASE_ATUAL",'01_Formulario_A00'!$A:$A,0))),"— (a preencher em 01_Formulario_A00)")</f>
        <v/>
      </c>
    </row>
    <row r="10">
      <c r="A10" s="13" t="inlineStr">
        <is>
          <t>D01-DOC-DDE-001.PROBLEM_AND_OPPORTUNITY.PROBLEMA_CENTRAL</t>
        </is>
      </c>
      <c r="B10" s="2" t="inlineStr">
        <is>
          <t>problema_central</t>
        </is>
      </c>
      <c r="C10" s="14">
        <f>IFERROR(IF(INDEX('01_Formulario_A00'!$D:$D,MATCH("D01-DOC-DDE-001.PROBLEM_AND_OPPORTUNITY.PROBLEMA_CENTRAL",'01_Formulario_A00'!$A:$A,0))="","— (a preencher em 01_Formulario_A00)",INDEX('01_Formulario_A00'!$D:$D,MATCH("D01-DOC-DDE-001.PROBLEM_AND_OPPORTUNITY.PROBLEMA_CENTRAL",'01_Formulario_A00'!$A:$A,0))),"— (a preencher em 01_Formulario_A00)")</f>
        <v/>
      </c>
    </row>
    <row r="11">
      <c r="A11" s="13" t="inlineStr">
        <is>
          <t>D01-DOC-DDE-001.PROBLEM_AND_OPPORTUNITY.PROBLEMAS_SECUNDARIOS</t>
        </is>
      </c>
      <c r="B11" s="2" t="inlineStr">
        <is>
          <t>problemas_secundarios</t>
        </is>
      </c>
      <c r="C11" s="14">
        <f>IFERROR(IF(INDEX('01_Formulario_A00'!$D:$D,MATCH("D01-DOC-DDE-001.PROBLEM_AND_OPPORTUNITY.PROBLEMAS_SECUNDARIOS",'01_Formulario_A00'!$A:$A,0))="","— (a preencher em 01_Formulario_A00)",INDEX('01_Formulario_A00'!$D:$D,MATCH("D01-DOC-DDE-001.PROBLEM_AND_OPPORTUNITY.PROBLEMAS_SECUNDARIOS",'01_Formulario_A00'!$A:$A,0))),"— (a preencher em 01_Formulario_A00)")</f>
        <v/>
      </c>
    </row>
    <row r="12">
      <c r="A12" s="13" t="inlineStr">
        <is>
          <t>D01-DOC-DDE-001.PROBLEM_AND_OPPORTUNITY.OPORTUNIDADE</t>
        </is>
      </c>
      <c r="B12" s="2" t="inlineStr">
        <is>
          <t>oportunidade</t>
        </is>
      </c>
      <c r="C12" s="14">
        <f>IFERROR(IF(INDEX('01_Formulario_A00'!$D:$D,MATCH("D01-DOC-DDE-001.PROBLEM_AND_OPPORTUNITY.OPORTUNIDADE",'01_Formulario_A00'!$A:$A,0))="","— (a preencher em 01_Formulario_A00)",INDEX('01_Formulario_A00'!$D:$D,MATCH("D01-DOC-DDE-001.PROBLEM_AND_OPPORTUNITY.OPORTUNIDADE",'01_Formulario_A00'!$A:$A,0))),"— (a preencher em 01_Formulario_A00)")</f>
        <v/>
      </c>
    </row>
    <row r="13">
      <c r="A13" s="13" t="inlineStr">
        <is>
          <t>D01-DOC-DDE-001.PROBLEM_AND_OPPORTUNITY.EVIDENCIAS_DO_PROBLEMA</t>
        </is>
      </c>
      <c r="B13" s="2" t="inlineStr">
        <is>
          <t>evidencias_do_problema</t>
        </is>
      </c>
      <c r="C13" s="14">
        <f>IFERROR(IF(INDEX('01_Formulario_A00'!$D:$D,MATCH("D01-DOC-DDE-001.PROBLEM_AND_OPPORTUNITY.EVIDENCIAS_DO_PROBLEMA",'01_Formulario_A00'!$A:$A,0))="","— (a preencher em 01_Formulario_A00)",INDEX('01_Formulario_A00'!$D:$D,MATCH("D01-DOC-DDE-001.PROBLEM_AND_OPPORTUNITY.EVIDENCIAS_DO_PROBLEMA",'01_Formulario_A00'!$A:$A,0))),"— (a preencher em 01_Formulario_A00)")</f>
        <v/>
      </c>
    </row>
    <row r="14">
      <c r="A14" s="13" t="inlineStr">
        <is>
          <t>D01-DOC-DDE-001.PURPOSE.PROPOSITO</t>
        </is>
      </c>
      <c r="B14" s="2" t="inlineStr">
        <is>
          <t>proposito</t>
        </is>
      </c>
      <c r="C14" s="14">
        <f>IFERROR(IF(INDEX('01_Formulario_A00'!$D:$D,MATCH("D01-DOC-DDE-001.PURPOSE.PROPOSITO",'01_Formulario_A00'!$A:$A,0))="","— (a preencher em 01_Formulario_A00)",INDEX('01_Formulario_A00'!$D:$D,MATCH("D01-DOC-DDE-001.PURPOSE.PROPOSITO",'01_Formulario_A00'!$A:$A,0))),"— (a preencher em 01_Formulario_A00)")</f>
        <v/>
      </c>
    </row>
    <row r="15">
      <c r="A15" s="13" t="inlineStr">
        <is>
          <t>D01-DOC-DDE-001.PURPOSE.MISSAO</t>
        </is>
      </c>
      <c r="B15" s="2" t="inlineStr">
        <is>
          <t>missao</t>
        </is>
      </c>
      <c r="C15" s="14">
        <f>IFERROR(IF(INDEX('01_Formulario_A00'!$D:$D,MATCH("D01-DOC-DDE-001.PURPOSE.MISSAO",'01_Formulario_A00'!$A:$A,0))="","— (a preencher em 01_Formulario_A00)",INDEX('01_Formulario_A00'!$D:$D,MATCH("D01-DOC-DDE-001.PURPOSE.MISSAO",'01_Formulario_A00'!$A:$A,0))),"— (a preencher em 01_Formulario_A00)")</f>
        <v/>
      </c>
    </row>
    <row r="16">
      <c r="A16" s="13" t="inlineStr">
        <is>
          <t>D01-DOC-DDE-001.PURPOSE.VISAO</t>
        </is>
      </c>
      <c r="B16" s="2" t="inlineStr">
        <is>
          <t>visao</t>
        </is>
      </c>
      <c r="C16" s="14">
        <f>IFERROR(IF(INDEX('01_Formulario_A00'!$D:$D,MATCH("D01-DOC-DDE-001.PURPOSE.VISAO",'01_Formulario_A00'!$A:$A,0))="","— (a preencher em 01_Formulario_A00)",INDEX('01_Formulario_A00'!$D:$D,MATCH("D01-DOC-DDE-001.PURPOSE.VISAO",'01_Formulario_A00'!$A:$A,0))),"— (a preencher em 01_Formulario_A00)")</f>
        <v/>
      </c>
    </row>
    <row r="17">
      <c r="A17" s="13" t="inlineStr">
        <is>
          <t>D01-DOC-DDE-001.PURPOSE.PRINCIPIOS</t>
        </is>
      </c>
      <c r="B17" s="2" t="inlineStr">
        <is>
          <t>principios</t>
        </is>
      </c>
      <c r="C17" s="14">
        <f>IFERROR(IF(INDEX('01_Formulario_A00'!$D:$D,MATCH("D01-DOC-DDE-001.PURPOSE.PRINCIPIOS",'01_Formulario_A00'!$A:$A,0))="","— (a preencher em 01_Formulario_A00)",INDEX('01_Formulario_A00'!$D:$D,MATCH("D01-DOC-DDE-001.PURPOSE.PRINCIPIOS",'01_Formulario_A00'!$A:$A,0))),"— (a preencher em 01_Formulario_A00)")</f>
        <v/>
      </c>
    </row>
    <row r="18">
      <c r="A18" s="13" t="inlineStr">
        <is>
          <t>D01-DOC-DDE-001.PURPOSE.VALORES</t>
        </is>
      </c>
      <c r="B18" s="2" t="inlineStr">
        <is>
          <t>valores</t>
        </is>
      </c>
      <c r="C18" s="14">
        <f>IFERROR(IF(INDEX('01_Formulario_A00'!$D:$D,MATCH("D01-DOC-DDE-001.PURPOSE.VALORES",'01_Formulario_A00'!$A:$A,0))="","— (a preencher em 01_Formulario_A00)",INDEX('01_Formulario_A00'!$D:$D,MATCH("D01-DOC-DDE-001.PURPOSE.VALORES",'01_Formulario_A00'!$A:$A,0))),"— (a preencher em 01_Formulario_A00)")</f>
        <v/>
      </c>
    </row>
    <row r="19">
      <c r="A19" s="13" t="inlineStr">
        <is>
          <t>D01-DOC-DDE-001.STRATEGIC_DIRECTION.OBJETIVOS_ESTRATEGICOS</t>
        </is>
      </c>
      <c r="B19" s="2" t="inlineStr">
        <is>
          <t>objetivos_estrategicos</t>
        </is>
      </c>
      <c r="C19" s="14">
        <f>IFERROR(IF(INDEX('01_Formulario_A00'!$D:$D,MATCH("D01-DOC-DDE-001.STRATEGIC_DIRECTION.OBJETIVOS_ESTRATEGICOS",'01_Formulario_A00'!$A:$A,0))="","— (a preencher em 01_Formulario_A00)",INDEX('01_Formulario_A00'!$D:$D,MATCH("D01-DOC-DDE-001.STRATEGIC_DIRECTION.OBJETIVOS_ESTRATEGICOS",'01_Formulario_A00'!$A:$A,0))),"— (a preencher em 01_Formulario_A00)")</f>
        <v/>
      </c>
    </row>
    <row r="20">
      <c r="A20" s="13" t="inlineStr">
        <is>
          <t>D01-DOC-DDE-001.STRATEGIC_DIRECTION.RESULTADOS_ESPERADOS</t>
        </is>
      </c>
      <c r="B20" s="2" t="inlineStr">
        <is>
          <t>resultados_esperados</t>
        </is>
      </c>
      <c r="C20" s="14">
        <f>IFERROR(IF(INDEX('01_Formulario_A00'!$D:$D,MATCH("D01-DOC-DDE-001.STRATEGIC_DIRECTION.RESULTADOS_ESPERADOS",'01_Formulario_A00'!$A:$A,0))="","— (a preencher em 01_Formulario_A00)",INDEX('01_Formulario_A00'!$D:$D,MATCH("D01-DOC-DDE-001.STRATEGIC_DIRECTION.RESULTADOS_ESPERADOS",'01_Formulario_A00'!$A:$A,0))),"— (a preencher em 01_Formulario_A00)")</f>
        <v/>
      </c>
    </row>
    <row r="21">
      <c r="A21" s="13" t="inlineStr">
        <is>
          <t>D01-DOC-DDE-001.STRATEGIC_DIRECTION.PRIORIDADES</t>
        </is>
      </c>
      <c r="B21" s="2" t="inlineStr">
        <is>
          <t>prioridades</t>
        </is>
      </c>
      <c r="C21" s="14">
        <f>IFERROR(IF(INDEX('01_Formulario_A00'!$D:$D,MATCH("D01-DOC-DDE-001.STRATEGIC_DIRECTION.PRIORIDADES",'01_Formulario_A00'!$A:$A,0))="","— (a preencher em 01_Formulario_A00)",INDEX('01_Formulario_A00'!$D:$D,MATCH("D01-DOC-DDE-001.STRATEGIC_DIRECTION.PRIORIDADES",'01_Formulario_A00'!$A:$A,0))),"— (a preencher em 01_Formulario_A00)")</f>
        <v/>
      </c>
    </row>
    <row r="22">
      <c r="A22" s="13" t="inlineStr">
        <is>
          <t>D01-DOC-DDE-001.STRATEGIC_DIRECTION.NAO_OBJETIVOS</t>
        </is>
      </c>
      <c r="B22" s="2" t="inlineStr">
        <is>
          <t>nao_objetivos</t>
        </is>
      </c>
      <c r="C22" s="14">
        <f>IFERROR(IF(INDEX('01_Formulario_A00'!$D:$D,MATCH("D01-DOC-DDE-001.STRATEGIC_DIRECTION.NAO_OBJETIVOS",'01_Formulario_A00'!$A:$A,0))="","— (a preencher em 01_Formulario_A00)",INDEX('01_Formulario_A00'!$D:$D,MATCH("D01-DOC-DDE-001.STRATEGIC_DIRECTION.NAO_OBJETIVOS",'01_Formulario_A00'!$A:$A,0))),"— (a preencher em 01_Formulario_A00)")</f>
        <v/>
      </c>
    </row>
    <row r="23">
      <c r="A23" s="13" t="inlineStr">
        <is>
          <t>D01-DOC-DDE-001.STRATEGIC_DIRECTION.HORIZONTE_TEMPORAL</t>
        </is>
      </c>
      <c r="B23" s="2" t="inlineStr">
        <is>
          <t>horizonte_temporal</t>
        </is>
      </c>
      <c r="C23" s="14">
        <f>IFERROR(IF(INDEX('01_Formulario_A00'!$D:$D,MATCH("D01-DOC-DDE-001.STRATEGIC_DIRECTION.HORIZONTE_TEMPORAL",'01_Formulario_A00'!$A:$A,0))="","— (a preencher em 01_Formulario_A00)",INDEX('01_Formulario_A00'!$D:$D,MATCH("D01-DOC-DDE-001.STRATEGIC_DIRECTION.HORIZONTE_TEMPORAL",'01_Formulario_A00'!$A:$A,0))),"— (a preencher em 01_Formulario_A00)")</f>
        <v/>
      </c>
    </row>
    <row r="24">
      <c r="A24" s="13" t="inlineStr">
        <is>
          <t>D01-DOC-DDE-001.ECOSYSTEM.PRODUTOS</t>
        </is>
      </c>
      <c r="B24" s="2" t="inlineStr">
        <is>
          <t>produtos</t>
        </is>
      </c>
      <c r="C24" s="14">
        <f>IFERROR(IF(INDEX('01_Formulario_A00'!$D:$D,MATCH("D01-DOC-DDE-001.ECOSYSTEM.PRODUTOS",'01_Formulario_A00'!$A:$A,0))="","— (a preencher em 01_Formulario_A00)",INDEX('01_Formulario_A00'!$D:$D,MATCH("D01-DOC-DDE-001.ECOSYSTEM.PRODUTOS",'01_Formulario_A00'!$A:$A,0))),"— (a preencher em 01_Formulario_A00)")</f>
        <v/>
      </c>
    </row>
    <row r="25">
      <c r="A25" s="13" t="inlineStr">
        <is>
          <t>D01-DOC-DDE-001.ECOSYSTEM.SERVICOS</t>
        </is>
      </c>
      <c r="B25" s="2" t="inlineStr">
        <is>
          <t>servicos</t>
        </is>
      </c>
      <c r="C25" s="14">
        <f>IFERROR(IF(INDEX('01_Formulario_A00'!$D:$D,MATCH("D01-DOC-DDE-001.ECOSYSTEM.SERVICOS",'01_Formulario_A00'!$A:$A,0))="","— (a preencher em 01_Formulario_A00)",INDEX('01_Formulario_A00'!$D:$D,MATCH("D01-DOC-DDE-001.ECOSYSTEM.SERVICOS",'01_Formulario_A00'!$A:$A,0))),"— (a preencher em 01_Formulario_A00)")</f>
        <v/>
      </c>
    </row>
    <row r="26">
      <c r="A26" s="13" t="inlineStr">
        <is>
          <t>D01-DOC-DDE-001.ECOSYSTEM.MARCAS</t>
        </is>
      </c>
      <c r="B26" s="2" t="inlineStr">
        <is>
          <t>marcas</t>
        </is>
      </c>
      <c r="C26" s="14">
        <f>IFERROR(IF(INDEX('01_Formulario_A00'!$D:$D,MATCH("D01-DOC-DDE-001.ECOSYSTEM.MARCAS",'01_Formulario_A00'!$A:$A,0))="","— (a preencher em 01_Formulario_A00)",INDEX('01_Formulario_A00'!$D:$D,MATCH("D01-DOC-DDE-001.ECOSYSTEM.MARCAS",'01_Formulario_A00'!$A:$A,0))),"— (a preencher em 01_Formulario_A00)")</f>
        <v/>
      </c>
    </row>
    <row r="27">
      <c r="A27" s="13" t="inlineStr">
        <is>
          <t>D01-DOC-DDE-001.ECOSYSTEM.AGENTES</t>
        </is>
      </c>
      <c r="B27" s="2" t="inlineStr">
        <is>
          <t>agentes</t>
        </is>
      </c>
      <c r="C27" s="14">
        <f>IFERROR(IF(INDEX('01_Formulario_A00'!$D:$D,MATCH("D01-DOC-DDE-001.ECOSYSTEM.AGENTES",'01_Formulario_A00'!$A:$A,0))="","— (a preencher em 01_Formulario_A00)",INDEX('01_Formulario_A00'!$D:$D,MATCH("D01-DOC-DDE-001.ECOSYSTEM.AGENTES",'01_Formulario_A00'!$A:$A,0))),"— (a preencher em 01_Formulario_A00)")</f>
        <v/>
      </c>
    </row>
    <row r="28">
      <c r="A28" s="13" t="inlineStr">
        <is>
          <t>D01-DOC-DDE-001.ECOSYSTEM.PLATAFORMAS</t>
        </is>
      </c>
      <c r="B28" s="2" t="inlineStr">
        <is>
          <t>plataformas</t>
        </is>
      </c>
      <c r="C28" s="14">
        <f>IFERROR(IF(INDEX('01_Formulario_A00'!$D:$D,MATCH("D01-DOC-DDE-001.ECOSYSTEM.PLATAFORMAS",'01_Formulario_A00'!$A:$A,0))="","— (a preencher em 01_Formulario_A00)",INDEX('01_Formulario_A00'!$D:$D,MATCH("D01-DOC-DDE-001.ECOSYSTEM.PLATAFORMAS",'01_Formulario_A00'!$A:$A,0))),"— (a preencher em 01_Formulario_A00)")</f>
        <v/>
      </c>
    </row>
    <row r="29">
      <c r="A29" s="13" t="inlineStr">
        <is>
          <t>D01-DOC-DDE-001.ECOSYSTEM.UNIDADES_DE_NEGOCIO</t>
        </is>
      </c>
      <c r="B29" s="2" t="inlineStr">
        <is>
          <t>unidades_de_negocio</t>
        </is>
      </c>
      <c r="C29" s="14">
        <f>IFERROR(IF(INDEX('01_Formulario_A00'!$D:$D,MATCH("D01-DOC-DDE-001.ECOSYSTEM.UNIDADES_DE_NEGOCIO",'01_Formulario_A00'!$A:$A,0))="","— (a preencher em 01_Formulario_A00)",INDEX('01_Formulario_A00'!$D:$D,MATCH("D01-DOC-DDE-001.ECOSYSTEM.UNIDADES_DE_NEGOCIO",'01_Formulario_A00'!$A:$A,0))),"— (a preencher em 01_Formulario_A00)")</f>
        <v/>
      </c>
    </row>
    <row r="30">
      <c r="A30" s="13" t="inlineStr">
        <is>
          <t>D01-DOC-DDE-001.GOVERNANCE.MODELO_DE_GOVERNANCA</t>
        </is>
      </c>
      <c r="B30" s="2" t="inlineStr">
        <is>
          <t>modelo_de_governanca</t>
        </is>
      </c>
      <c r="C30" s="14">
        <f>IFERROR(IF(INDEX('01_Formulario_A00'!$D:$D,MATCH("D01-DOC-DDE-001.GOVERNANCE.MODELO_DE_GOVERNANCA",'01_Formulario_A00'!$A:$A,0))="","— (a preencher em 01_Formulario_A00)",INDEX('01_Formulario_A00'!$D:$D,MATCH("D01-DOC-DDE-001.GOVERNANCE.MODELO_DE_GOVERNANCA",'01_Formulario_A00'!$A:$A,0))),"— (a preencher em 01_Formulario_A00)")</f>
        <v/>
      </c>
    </row>
    <row r="31">
      <c r="A31" s="13" t="inlineStr">
        <is>
          <t>D01-DOC-DDE-001.GOVERNANCE.PAPEIS_DECISORIOS</t>
        </is>
      </c>
      <c r="B31" s="2" t="inlineStr">
        <is>
          <t>papeis_decisorios</t>
        </is>
      </c>
      <c r="C31" s="14">
        <f>IFERROR(IF(INDEX('01_Formulario_A00'!$D:$D,MATCH("D01-DOC-DDE-001.GOVERNANCE.PAPEIS_DECISORIOS",'01_Formulario_A00'!$A:$A,0))="","— (a preencher em 01_Formulario_A00)",INDEX('01_Formulario_A00'!$D:$D,MATCH("D01-DOC-DDE-001.GOVERNANCE.PAPEIS_DECISORIOS",'01_Formulario_A00'!$A:$A,0))),"— (a preencher em 01_Formulario_A00)")</f>
        <v/>
      </c>
    </row>
    <row r="32">
      <c r="A32" s="13" t="inlineStr">
        <is>
          <t>D01-DOC-DDE-001.GOVERNANCE.DIREITOS_DE_DECISAO</t>
        </is>
      </c>
      <c r="B32" s="2" t="inlineStr">
        <is>
          <t>direitos_de_decisao</t>
        </is>
      </c>
      <c r="C32" s="14">
        <f>IFERROR(IF(INDEX('01_Formulario_A00'!$D:$D,MATCH("D01-DOC-DDE-001.GOVERNANCE.DIREITOS_DE_DECISAO",'01_Formulario_A00'!$A:$A,0))="","— (a preencher em 01_Formulario_A00)",INDEX('01_Formulario_A00'!$D:$D,MATCH("D01-DOC-DDE-001.GOVERNANCE.DIREITOS_DE_DECISAO",'01_Formulario_A00'!$A:$A,0))),"— (a preencher em 01_Formulario_A00)")</f>
        <v/>
      </c>
    </row>
    <row r="33">
      <c r="A33" s="13" t="inlineStr">
        <is>
          <t>D01-DOC-DDE-001.GOVERNANCE.GATES</t>
        </is>
      </c>
      <c r="B33" s="2" t="inlineStr">
        <is>
          <t>gates</t>
        </is>
      </c>
      <c r="C33" s="14">
        <f>IFERROR(IF(INDEX('01_Formulario_A00'!$D:$D,MATCH("D01-DOC-DDE-001.GOVERNANCE.GATES",'01_Formulario_A00'!$A:$A,0))="","— (a preencher em 01_Formulario_A00)",INDEX('01_Formulario_A00'!$D:$D,MATCH("D01-DOC-DDE-001.GOVERNANCE.GATES",'01_Formulario_A00'!$A:$A,0))),"— (a preencher em 01_Formulario_A00)")</f>
        <v/>
      </c>
    </row>
    <row r="34">
      <c r="A34" s="13" t="inlineStr">
        <is>
          <t>D01-DOC-DDE-001.GOVERNANCE.MECANISMOS_DE_CONTROLE</t>
        </is>
      </c>
      <c r="B34" s="2" t="inlineStr">
        <is>
          <t>mecanismos_de_controle</t>
        </is>
      </c>
      <c r="C34" s="14">
        <f>IFERROR(IF(INDEX('01_Formulario_A00'!$D:$D,MATCH("D01-DOC-DDE-001.GOVERNANCE.MECANISMOS_DE_CONTROLE",'01_Formulario_A00'!$A:$A,0))="","— (a preencher em 01_Formulario_A00)",INDEX('01_Formulario_A00'!$D:$D,MATCH("D01-DOC-DDE-001.GOVERNANCE.MECANISMOS_DE_CONTROLE",'01_Formulario_A00'!$A:$A,0))),"— (a preencher em 01_Formulario_A00)")</f>
        <v/>
      </c>
    </row>
    <row r="35">
      <c r="A35" s="13" t="inlineStr">
        <is>
          <t>D01-DOC-DDE-001.STAKEHOLDERS.STAKEHOLDERS</t>
        </is>
      </c>
      <c r="B35" s="2" t="inlineStr">
        <is>
          <t>stakeholders</t>
        </is>
      </c>
      <c r="C35" s="14">
        <f>IFERROR(IF(INDEX('01_Formulario_A00'!$D:$D,MATCH("D01-DOC-DDE-001.STAKEHOLDERS.STAKEHOLDERS",'01_Formulario_A00'!$A:$A,0))="","— (a preencher em 01_Formulario_A00)",INDEX('01_Formulario_A00'!$D:$D,MATCH("D01-DOC-DDE-001.STAKEHOLDERS.STAKEHOLDERS",'01_Formulario_A00'!$A:$A,0))),"— (a preencher em 01_Formulario_A00)")</f>
        <v/>
      </c>
    </row>
    <row r="36">
      <c r="A36" s="13" t="inlineStr">
        <is>
          <t>D01-DOC-DDE-001.STAKEHOLDERS.INTERESSE</t>
        </is>
      </c>
      <c r="B36" s="2" t="inlineStr">
        <is>
          <t>interesse</t>
        </is>
      </c>
      <c r="C36" s="14">
        <f>IFERROR(IF(INDEX('01_Formulario_A00'!$D:$D,MATCH("D01-DOC-DDE-001.STAKEHOLDERS.INTERESSE",'01_Formulario_A00'!$A:$A,0))="","— (a preencher em 01_Formulario_A00)",INDEX('01_Formulario_A00'!$D:$D,MATCH("D01-DOC-DDE-001.STAKEHOLDERS.INTERESSE",'01_Formulario_A00'!$A:$A,0))),"— (a preencher em 01_Formulario_A00)")</f>
        <v/>
      </c>
    </row>
    <row r="37">
      <c r="A37" s="13" t="inlineStr">
        <is>
          <t>D01-DOC-DDE-001.STAKEHOLDERS.INFLUENCIA</t>
        </is>
      </c>
      <c r="B37" s="2" t="inlineStr">
        <is>
          <t>influencia</t>
        </is>
      </c>
      <c r="C37" s="14">
        <f>IFERROR(IF(INDEX('01_Formulario_A00'!$D:$D,MATCH("D01-DOC-DDE-001.STAKEHOLDERS.INFLUENCIA",'01_Formulario_A00'!$A:$A,0))="","— (a preencher em 01_Formulario_A00)",INDEX('01_Formulario_A00'!$D:$D,MATCH("D01-DOC-DDE-001.STAKEHOLDERS.INFLUENCIA",'01_Formulario_A00'!$A:$A,0))),"— (a preencher em 01_Formulario_A00)")</f>
        <v/>
      </c>
    </row>
    <row r="38">
      <c r="A38" s="13" t="inlineStr">
        <is>
          <t>D01-DOC-DDE-001.STAKEHOLDERS.RELACIONAMENTO</t>
        </is>
      </c>
      <c r="B38" s="2" t="inlineStr">
        <is>
          <t>relacionamento</t>
        </is>
      </c>
      <c r="C38" s="14">
        <f>IFERROR(IF(INDEX('01_Formulario_A00'!$D:$D,MATCH("D01-DOC-DDE-001.STAKEHOLDERS.RELACIONAMENTO",'01_Formulario_A00'!$A:$A,0))="","— (a preencher em 01_Formulario_A00)",INDEX('01_Formulario_A00'!$D:$D,MATCH("D01-DOC-DDE-001.STAKEHOLDERS.RELACIONAMENTO",'01_Formulario_A00'!$A:$A,0))),"— (a preencher em 01_Formulario_A00)")</f>
        <v/>
      </c>
    </row>
    <row r="39">
      <c r="A39" s="13" t="inlineStr">
        <is>
          <t>D01-DOC-DDE-001.STRATEGIC_DEPENDENCIES.DEPENDENCIAS</t>
        </is>
      </c>
      <c r="B39" s="2" t="inlineStr">
        <is>
          <t>dependencias</t>
        </is>
      </c>
      <c r="C39" s="14">
        <f>IFERROR(IF(INDEX('01_Formulario_A00'!$D:$D,MATCH("D01-DOC-DDE-001.STRATEGIC_DEPENDENCIES.DEPENDENCIAS",'01_Formulario_A00'!$A:$A,0))="","— (a preencher em 01_Formulario_A00)",INDEX('01_Formulario_A00'!$D:$D,MATCH("D01-DOC-DDE-001.STRATEGIC_DEPENDENCIES.DEPENDENCIAS",'01_Formulario_A00'!$A:$A,0))),"— (a preencher em 01_Formulario_A00)")</f>
        <v/>
      </c>
    </row>
    <row r="40">
      <c r="A40" s="13" t="inlineStr">
        <is>
          <t>D01-DOC-DDE-001.STRATEGIC_DEPENDENCIES.RESTRICOES</t>
        </is>
      </c>
      <c r="B40" s="2" t="inlineStr">
        <is>
          <t>restricoes</t>
        </is>
      </c>
      <c r="C40" s="14">
        <f>IFERROR(IF(INDEX('01_Formulario_A00'!$D:$D,MATCH("D01-DOC-DDE-001.STRATEGIC_DEPENDENCIES.RESTRICOES",'01_Formulario_A00'!$A:$A,0))="","— (a preencher em 01_Formulario_A00)",INDEX('01_Formulario_A00'!$D:$D,MATCH("D01-DOC-DDE-001.STRATEGIC_DEPENDENCIES.RESTRICOES",'01_Formulario_A00'!$A:$A,0))),"— (a preencher em 01_Formulario_A00)")</f>
        <v/>
      </c>
    </row>
    <row r="41">
      <c r="A41" s="13" t="inlineStr">
        <is>
          <t>D01-DOC-DDE-001.STRATEGIC_DEPENDENCIES.PREMISSAS</t>
        </is>
      </c>
      <c r="B41" s="2" t="inlineStr">
        <is>
          <t>premissas</t>
        </is>
      </c>
      <c r="C41" s="14">
        <f>IFERROR(IF(INDEX('01_Formulario_A00'!$D:$D,MATCH("D01-DOC-DDE-001.STRATEGIC_DEPENDENCIES.PREMISSAS",'01_Formulario_A00'!$A:$A,0))="","— (a preencher em 01_Formulario_A00)",INDEX('01_Formulario_A00'!$D:$D,MATCH("D01-DOC-DDE-001.STRATEGIC_DEPENDENCIES.PREMISSAS",'01_Formulario_A00'!$A:$A,0))),"— (a preencher em 01_Formulario_A00)")</f>
        <v/>
      </c>
    </row>
    <row r="42">
      <c r="A42" s="13" t="inlineStr">
        <is>
          <t>D01-DOC-DDE-001.RISKS.RISCOS_ESTRATEGICOS</t>
        </is>
      </c>
      <c r="B42" s="2" t="inlineStr">
        <is>
          <t>riscos_estrategicos</t>
        </is>
      </c>
      <c r="C42" s="14">
        <f>IFERROR(IF(INDEX('01_Formulario_A00'!$D:$D,MATCH("D01-DOC-DDE-001.RISKS.RISCOS_ESTRATEGICOS",'01_Formulario_A00'!$A:$A,0))="","— (a preencher em 01_Formulario_A00)",INDEX('01_Formulario_A00'!$D:$D,MATCH("D01-DOC-DDE-001.RISKS.RISCOS_ESTRATEGICOS",'01_Formulario_A00'!$A:$A,0))),"— (a preencher em 01_Formulario_A00)")</f>
        <v/>
      </c>
    </row>
    <row r="43">
      <c r="A43" s="13" t="inlineStr">
        <is>
          <t>D01-DOC-DDE-001.RISKS.MITIGACOES_EXISTENTES</t>
        </is>
      </c>
      <c r="B43" s="2" t="inlineStr">
        <is>
          <t>mitigacoes_existentes</t>
        </is>
      </c>
      <c r="C43" s="14">
        <f>IFERROR(IF(INDEX('01_Formulario_A00'!$D:$D,MATCH("D01-DOC-DDE-001.RISKS.MITIGACOES_EXISTENTES",'01_Formulario_A00'!$A:$A,0))="","— (a preencher em 01_Formulario_A00)",INDEX('01_Formulario_A00'!$D:$D,MATCH("D01-DOC-DDE-001.RISKS.MITIGACOES_EXISTENTES",'01_Formulario_A00'!$A:$A,0))),"— (a preencher em 01_Formulario_A00)")</f>
        <v/>
      </c>
    </row>
    <row r="44">
      <c r="A44" s="13" t="inlineStr">
        <is>
          <t>D01-DOC-DDE-001.MEASUREMENT.INDICADORES</t>
        </is>
      </c>
      <c r="B44" s="2" t="inlineStr">
        <is>
          <t>indicadores</t>
        </is>
      </c>
      <c r="C44" s="14">
        <f>IFERROR(IF(INDEX('01_Formulario_A00'!$D:$D,MATCH("D01-DOC-DDE-001.MEASUREMENT.INDICADORES",'01_Formulario_A00'!$A:$A,0))="","— (a preencher em 01_Formulario_A00)",INDEX('01_Formulario_A00'!$D:$D,MATCH("D01-DOC-DDE-001.MEASUREMENT.INDICADORES",'01_Formulario_A00'!$A:$A,0))),"— (a preencher em 01_Formulario_A00)")</f>
        <v/>
      </c>
    </row>
    <row r="45">
      <c r="A45" s="13" t="inlineStr">
        <is>
          <t>D01-DOC-DDE-001.MEASUREMENT.METAS</t>
        </is>
      </c>
      <c r="B45" s="2" t="inlineStr">
        <is>
          <t>metas</t>
        </is>
      </c>
      <c r="C45" s="14">
        <f>IFERROR(IF(INDEX('01_Formulario_A00'!$D:$D,MATCH("D01-DOC-DDE-001.MEASUREMENT.METAS",'01_Formulario_A00'!$A:$A,0))="","— (a preencher em 01_Formulario_A00)",INDEX('01_Formulario_A00'!$D:$D,MATCH("D01-DOC-DDE-001.MEASUREMENT.METAS",'01_Formulario_A00'!$A:$A,0))),"— (a preencher em 01_Formulario_A00)")</f>
        <v/>
      </c>
    </row>
    <row r="46">
      <c r="A46" s="13" t="inlineStr">
        <is>
          <t>D01-DOC-DDE-001.MEASUREMENT.CRITERIOS_DE_SUCESSO</t>
        </is>
      </c>
      <c r="B46" s="2" t="inlineStr">
        <is>
          <t>criterios_de_sucesso</t>
        </is>
      </c>
      <c r="C46" s="14">
        <f>IFERROR(IF(INDEX('01_Formulario_A00'!$D:$D,MATCH("D01-DOC-DDE-001.MEASUREMENT.CRITERIOS_DE_SUCESSO",'01_Formulario_A00'!$A:$A,0))="","— (a preencher em 01_Formulario_A00)",INDEX('01_Formulario_A00'!$D:$D,MATCH("D01-DOC-DDE-001.MEASUREMENT.CRITERIOS_DE_SUCESSO",'01_Formulario_A00'!$A:$A,0))),"— (a preencher em 01_Formulario_A00)")</f>
        <v/>
      </c>
    </row>
    <row r="47">
      <c r="A47" s="13" t="inlineStr">
        <is>
          <t>D01-DOC-DDE-001.DECISIONS.DECISOES_VIGENTES</t>
        </is>
      </c>
      <c r="B47" s="2" t="inlineStr">
        <is>
          <t>decisoes_vigentes</t>
        </is>
      </c>
      <c r="C47" s="14">
        <f>IFERROR(IF(INDEX('01_Formulario_A00'!$D:$D,MATCH("D01-DOC-DDE-001.DECISIONS.DECISOES_VIGENTES",'01_Formulario_A00'!$A:$A,0))="","— (a preencher em 01_Formulario_A00)",INDEX('01_Formulario_A00'!$D:$D,MATCH("D01-DOC-DDE-001.DECISIONS.DECISOES_VIGENTES",'01_Formulario_A00'!$A:$A,0))),"— (a preencher em 01_Formulario_A00)")</f>
        <v/>
      </c>
    </row>
    <row r="48">
      <c r="A48" s="13" t="inlineStr">
        <is>
          <t>D01-DOC-DDE-001.DECISIONS.DECISOES_PENDENTES</t>
        </is>
      </c>
      <c r="B48" s="2" t="inlineStr">
        <is>
          <t>decisoes_pendentes</t>
        </is>
      </c>
      <c r="C48" s="14">
        <f>IFERROR(IF(INDEX('01_Formulario_A00'!$D:$D,MATCH("D01-DOC-DDE-001.DECISIONS.DECISOES_PENDENTES",'01_Formulario_A00'!$A:$A,0))="","— (a preencher em 01_Formulario_A00)",INDEX('01_Formulario_A00'!$D:$D,MATCH("D01-DOC-DDE-001.DECISIONS.DECISOES_PENDENTES",'01_Formulario_A00'!$A:$A,0))),"— (a preencher em 01_Formulario_A00)")</f>
        <v/>
      </c>
    </row>
    <row r="49">
      <c r="A49" s="13" t="inlineStr">
        <is>
          <t>D01-DOC-TAP-001.IDENTIFICATION.TITULO</t>
        </is>
      </c>
      <c r="B49" s="2" t="inlineStr">
        <is>
          <t>titulo</t>
        </is>
      </c>
      <c r="C49" s="14">
        <f>IFERROR(IF(INDEX('01_Formulario_A00'!$D:$D,MATCH("D01-DOC-TAP-001.IDENTIFICATION.TITULO",'01_Formulario_A00'!$A:$A,0))="","— (a preencher em 01_Formulario_A00)",INDEX('01_Formulario_A00'!$D:$D,MATCH("D01-DOC-TAP-001.IDENTIFICATION.TITULO",'01_Formulario_A00'!$A:$A,0))),"— (a preencher em 01_Formulario_A00)")</f>
        <v/>
      </c>
    </row>
    <row r="50">
      <c r="A50" s="13" t="inlineStr">
        <is>
          <t>D01-DOC-TAP-001.IDENTIFICATION.JUSTIFICATIVA</t>
        </is>
      </c>
      <c r="B50" s="2" t="inlineStr">
        <is>
          <t>justificativa</t>
        </is>
      </c>
      <c r="C50" s="14">
        <f>IFERROR(IF(INDEX('01_Formulario_A00'!$D:$D,MATCH("D01-DOC-TAP-001.IDENTIFICATION.JUSTIFICATIVA",'01_Formulario_A00'!$A:$A,0))="","— (a preencher em 01_Formulario_A00)",INDEX('01_Formulario_A00'!$D:$D,MATCH("D01-DOC-TAP-001.IDENTIFICATION.JUSTIFICATIVA",'01_Formulario_A00'!$A:$A,0))),"— (a preencher em 01_Formulario_A00)")</f>
        <v/>
      </c>
    </row>
    <row r="51">
      <c r="A51" s="13" t="inlineStr">
        <is>
          <t>D01-DOC-TAP-001.IDENTIFICATION.CONTEXTO</t>
        </is>
      </c>
      <c r="B51" s="2" t="inlineStr">
        <is>
          <t>contexto</t>
        </is>
      </c>
      <c r="C51" s="14">
        <f>IFERROR(IF(INDEX('01_Formulario_A00'!$D:$D,MATCH("D01-DOC-TAP-001.IDENTIFICATION.CONTEXTO",'01_Formulario_A00'!$A:$A,0))="","— (a preencher em 01_Formulario_A00)",INDEX('01_Formulario_A00'!$D:$D,MATCH("D01-DOC-TAP-001.IDENTIFICATION.CONTEXTO",'01_Formulario_A00'!$A:$A,0))),"— (a preencher em 01_Formulario_A00)")</f>
        <v/>
      </c>
    </row>
    <row r="52">
      <c r="A52" s="13" t="inlineStr">
        <is>
          <t>D01-DOC-TAP-001.IDENTIFICATION.SPONSOR</t>
        </is>
      </c>
      <c r="B52" s="2" t="inlineStr">
        <is>
          <t>sponsor</t>
        </is>
      </c>
      <c r="C52" s="14">
        <f>IFERROR(IF(INDEX('01_Formulario_A00'!$D:$D,MATCH("D01-DOC-TAP-001.IDENTIFICATION.SPONSOR",'01_Formulario_A00'!$A:$A,0))="","— (a preencher em 01_Formulario_A00)",INDEX('01_Formulario_A00'!$D:$D,MATCH("D01-DOC-TAP-001.IDENTIFICATION.SPONSOR",'01_Formulario_A00'!$A:$A,0))),"— (a preencher em 01_Formulario_A00)")</f>
        <v/>
      </c>
    </row>
    <row r="53">
      <c r="A53" s="13" t="inlineStr">
        <is>
          <t>D01-DOC-TAP-001.IDENTIFICATION.OWNER</t>
        </is>
      </c>
      <c r="B53" s="2" t="inlineStr">
        <is>
          <t>owner</t>
        </is>
      </c>
      <c r="C53" s="14">
        <f>IFERROR(IF(INDEX('01_Formulario_A00'!$D:$D,MATCH("D01-DOC-TAP-001.IDENTIFICATION.OWNER",'01_Formulario_A00'!$A:$A,0))="","— (a preencher em 01_Formulario_A00)",INDEX('01_Formulario_A00'!$D:$D,MATCH("D01-DOC-TAP-001.IDENTIFICATION.OWNER",'01_Formulario_A00'!$A:$A,0))),"— (a preencher em 01_Formulario_A00)")</f>
        <v/>
      </c>
    </row>
    <row r="54">
      <c r="A54" s="13" t="inlineStr">
        <is>
          <t>D01-DOC-TAP-001.OBJECTIVE.OBJETIVO_GERAL</t>
        </is>
      </c>
      <c r="B54" s="2" t="inlineStr">
        <is>
          <t>objetivo_geral</t>
        </is>
      </c>
      <c r="C54" s="14">
        <f>IFERROR(IF(INDEX('01_Formulario_A00'!$D:$D,MATCH("D01-DOC-TAP-001.OBJECTIVE.OBJETIVO_GERAL",'01_Formulario_A00'!$A:$A,0))="","— (a preencher em 01_Formulario_A00)",INDEX('01_Formulario_A00'!$D:$D,MATCH("D01-DOC-TAP-001.OBJECTIVE.OBJETIVO_GERAL",'01_Formulario_A00'!$A:$A,0))),"— (a preencher em 01_Formulario_A00)")</f>
        <v/>
      </c>
    </row>
    <row r="55">
      <c r="A55" s="13" t="inlineStr">
        <is>
          <t>D01-DOC-TAP-001.OBJECTIVE.OBJETIVOS_ESPECIFICOS</t>
        </is>
      </c>
      <c r="B55" s="2" t="inlineStr">
        <is>
          <t>objetivos_especificos</t>
        </is>
      </c>
      <c r="C55" s="14">
        <f>IFERROR(IF(INDEX('01_Formulario_A00'!$D:$D,MATCH("D01-DOC-TAP-001.OBJECTIVE.OBJETIVOS_ESPECIFICOS",'01_Formulario_A00'!$A:$A,0))="","— (a preencher em 01_Formulario_A00)",INDEX('01_Formulario_A00'!$D:$D,MATCH("D01-DOC-TAP-001.OBJECTIVE.OBJETIVOS_ESPECIFICOS",'01_Formulario_A00'!$A:$A,0))),"— (a preencher em 01_Formulario_A00)")</f>
        <v/>
      </c>
    </row>
    <row r="56">
      <c r="A56" s="13" t="inlineStr">
        <is>
          <t>D01-DOC-TAP-001.OBJECTIVE.RESULTADO_FINAL_ESPERADO</t>
        </is>
      </c>
      <c r="B56" s="2" t="inlineStr">
        <is>
          <t>resultado_final_esperado</t>
        </is>
      </c>
      <c r="C56" s="14">
        <f>IFERROR(IF(INDEX('01_Formulario_A00'!$D:$D,MATCH("D01-DOC-TAP-001.OBJECTIVE.RESULTADO_FINAL_ESPERADO",'01_Formulario_A00'!$A:$A,0))="","— (a preencher em 01_Formulario_A00)",INDEX('01_Formulario_A00'!$D:$D,MATCH("D01-DOC-TAP-001.OBJECTIVE.RESULTADO_FINAL_ESPERADO",'01_Formulario_A00'!$A:$A,0))),"— (a preencher em 01_Formulario_A00)")</f>
        <v/>
      </c>
    </row>
    <row r="57">
      <c r="A57" s="13" t="inlineStr">
        <is>
          <t>D01-DOC-TAP-001.SCOPE.ESCOPO_INCLUIDO</t>
        </is>
      </c>
      <c r="B57" s="2" t="inlineStr">
        <is>
          <t>escopo_incluido</t>
        </is>
      </c>
      <c r="C57" s="14">
        <f>IFERROR(IF(INDEX('01_Formulario_A00'!$D:$D,MATCH("D01-DOC-TAP-001.SCOPE.ESCOPO_INCLUIDO",'01_Formulario_A00'!$A:$A,0))="","— (a preencher em 01_Formulario_A00)",INDEX('01_Formulario_A00'!$D:$D,MATCH("D01-DOC-TAP-001.SCOPE.ESCOPO_INCLUIDO",'01_Formulario_A00'!$A:$A,0))),"— (a preencher em 01_Formulario_A00)")</f>
        <v/>
      </c>
    </row>
    <row r="58">
      <c r="A58" s="13" t="inlineStr">
        <is>
          <t>D01-DOC-TAP-001.SCOPE.ESCOPO_EXCLUIDO</t>
        </is>
      </c>
      <c r="B58" s="2" t="inlineStr">
        <is>
          <t>escopo_excluido</t>
        </is>
      </c>
      <c r="C58" s="14">
        <f>IFERROR(IF(INDEX('01_Formulario_A00'!$D:$D,MATCH("D01-DOC-TAP-001.SCOPE.ESCOPO_EXCLUIDO",'01_Formulario_A00'!$A:$A,0))="","— (a preencher em 01_Formulario_A00)",INDEX('01_Formulario_A00'!$D:$D,MATCH("D01-DOC-TAP-001.SCOPE.ESCOPO_EXCLUIDO",'01_Formulario_A00'!$A:$A,0))),"— (a preencher em 01_Formulario_A00)")</f>
        <v/>
      </c>
    </row>
    <row r="59">
      <c r="A59" s="13" t="inlineStr">
        <is>
          <t>D01-DOC-TAP-001.SCOPE.FRONTEIRAS</t>
        </is>
      </c>
      <c r="B59" s="2" t="inlineStr">
        <is>
          <t>fronteiras</t>
        </is>
      </c>
      <c r="C59" s="14">
        <f>IFERROR(IF(INDEX('01_Formulario_A00'!$D:$D,MATCH("D01-DOC-TAP-001.SCOPE.FRONTEIRAS",'01_Formulario_A00'!$A:$A,0))="","— (a preencher em 01_Formulario_A00)",INDEX('01_Formulario_A00'!$D:$D,MATCH("D01-DOC-TAP-001.SCOPE.FRONTEIRAS",'01_Formulario_A00'!$A:$A,0))),"— (a preencher em 01_Formulario_A00)")</f>
        <v/>
      </c>
    </row>
    <row r="60">
      <c r="A60" s="13" t="inlineStr">
        <is>
          <t>D01-DOC-TAP-001.DELIVERABLES.ENTREGAVEIS_PRINCIPAIS</t>
        </is>
      </c>
      <c r="B60" s="2" t="inlineStr">
        <is>
          <t>entregaveis_principais</t>
        </is>
      </c>
      <c r="C60" s="14">
        <f>IFERROR(IF(INDEX('01_Formulario_A00'!$D:$D,MATCH("D01-DOC-TAP-001.DELIVERABLES.ENTREGAVEIS_PRINCIPAIS",'01_Formulario_A00'!$A:$A,0))="","— (a preencher em 01_Formulario_A00)",INDEX('01_Formulario_A00'!$D:$D,MATCH("D01-DOC-TAP-001.DELIVERABLES.ENTREGAVEIS_PRINCIPAIS",'01_Formulario_A00'!$A:$A,0))),"— (a preencher em 01_Formulario_A00)")</f>
        <v/>
      </c>
    </row>
    <row r="61">
      <c r="A61" s="13" t="inlineStr">
        <is>
          <t>D01-DOC-TAP-001.DELIVERABLES.DEFINITION_OF_DONE</t>
        </is>
      </c>
      <c r="B61" s="2" t="inlineStr">
        <is>
          <t>definition_of_done</t>
        </is>
      </c>
      <c r="C61" s="14">
        <f>IFERROR(IF(INDEX('01_Formulario_A00'!$D:$D,MATCH("D01-DOC-TAP-001.DELIVERABLES.DEFINITION_OF_DONE",'01_Formulario_A00'!$A:$A,0))="","— (a preencher em 01_Formulario_A00)",INDEX('01_Formulario_A00'!$D:$D,MATCH("D01-DOC-TAP-001.DELIVERABLES.DEFINITION_OF_DONE",'01_Formulario_A00'!$A:$A,0))),"— (a preencher em 01_Formulario_A00)")</f>
        <v/>
      </c>
    </row>
    <row r="62">
      <c r="A62" s="13" t="inlineStr">
        <is>
          <t>D01-DOC-TAP-001.MILESTONES.MARCOS</t>
        </is>
      </c>
      <c r="B62" s="2" t="inlineStr">
        <is>
          <t>marcos</t>
        </is>
      </c>
      <c r="C62" s="14">
        <f>IFERROR(IF(INDEX('01_Formulario_A00'!$D:$D,MATCH("D01-DOC-TAP-001.MILESTONES.MARCOS",'01_Formulario_A00'!$A:$A,0))="","— (a preencher em 01_Formulario_A00)",INDEX('01_Formulario_A00'!$D:$D,MATCH("D01-DOC-TAP-001.MILESTONES.MARCOS",'01_Formulario_A00'!$A:$A,0))),"— (a preencher em 01_Formulario_A00)")</f>
        <v/>
      </c>
    </row>
    <row r="63">
      <c r="A63" s="13" t="inlineStr">
        <is>
          <t>D01-DOC-TAP-001.MILESTONES.DATAS_EXISTENTES</t>
        </is>
      </c>
      <c r="B63" s="2" t="inlineStr">
        <is>
          <t>datas_existentes</t>
        </is>
      </c>
      <c r="C63" s="14">
        <f>IFERROR(IF(INDEX('01_Formulario_A00'!$D:$D,MATCH("D01-DOC-TAP-001.MILESTONES.DATAS_EXISTENTES",'01_Formulario_A00'!$A:$A,0))="","— (a preencher em 01_Formulario_A00)",INDEX('01_Formulario_A00'!$D:$D,MATCH("D01-DOC-TAP-001.MILESTONES.DATAS_EXISTENTES",'01_Formulario_A00'!$A:$A,0))),"— (a preencher em 01_Formulario_A00)")</f>
        <v/>
      </c>
    </row>
    <row r="64">
      <c r="A64" s="13" t="inlineStr">
        <is>
          <t>D01-DOC-TAP-001.STAKEHOLDERS.PARTICIPANTES</t>
        </is>
      </c>
      <c r="B64" s="2" t="inlineStr">
        <is>
          <t>participantes</t>
        </is>
      </c>
      <c r="C64" s="14">
        <f>IFERROR(IF(INDEX('01_Formulario_A00'!$D:$D,MATCH("D01-DOC-TAP-001.STAKEHOLDERS.PARTICIPANTES",'01_Formulario_A00'!$A:$A,0))="","— (a preencher em 01_Formulario_A00)",INDEX('01_Formulario_A00'!$D:$D,MATCH("D01-DOC-TAP-001.STAKEHOLDERS.PARTICIPANTES",'01_Formulario_A00'!$A:$A,0))),"— (a preencher em 01_Formulario_A00)")</f>
        <v/>
      </c>
    </row>
    <row r="65">
      <c r="A65" s="13" t="inlineStr">
        <is>
          <t>D01-DOC-TAP-001.STAKEHOLDERS.PAPEIS</t>
        </is>
      </c>
      <c r="B65" s="2" t="inlineStr">
        <is>
          <t>papeis</t>
        </is>
      </c>
      <c r="C65" s="14">
        <f>IFERROR(IF(INDEX('01_Formulario_A00'!$D:$D,MATCH("D01-DOC-TAP-001.STAKEHOLDERS.PAPEIS",'01_Formulario_A00'!$A:$A,0))="","— (a preencher em 01_Formulario_A00)",INDEX('01_Formulario_A00'!$D:$D,MATCH("D01-DOC-TAP-001.STAKEHOLDERS.PAPEIS",'01_Formulario_A00'!$A:$A,0))),"— (a preencher em 01_Formulario_A00)")</f>
        <v/>
      </c>
    </row>
    <row r="66">
      <c r="A66" s="13" t="inlineStr">
        <is>
          <t>D01-DOC-TAP-001.STAKEHOLDERS.RESPONSABILIDADES</t>
        </is>
      </c>
      <c r="B66" s="2" t="inlineStr">
        <is>
          <t>responsabilidades</t>
        </is>
      </c>
      <c r="C66" s="14">
        <f>IFERROR(IF(INDEX('01_Formulario_A00'!$D:$D,MATCH("D01-DOC-TAP-001.STAKEHOLDERS.RESPONSABILIDADES",'01_Formulario_A00'!$A:$A,0))="","— (a preencher em 01_Formulario_A00)",INDEX('01_Formulario_A00'!$D:$D,MATCH("D01-DOC-TAP-001.STAKEHOLDERS.RESPONSABILIDADES",'01_Formulario_A00'!$A:$A,0))),"— (a preencher em 01_Formulario_A00)")</f>
        <v/>
      </c>
    </row>
    <row r="67">
      <c r="A67" s="13" t="inlineStr">
        <is>
          <t>D01-DOC-TAP-001.CONSTRAINTS.RESTRICOES</t>
        </is>
      </c>
      <c r="B67" s="2" t="inlineStr">
        <is>
          <t>restricoes</t>
        </is>
      </c>
      <c r="C67" s="14">
        <f>IFERROR(IF(INDEX('01_Formulario_A00'!$D:$D,MATCH("D01-DOC-TAP-001.CONSTRAINTS.RESTRICOES",'01_Formulario_A00'!$A:$A,0))="","— (a preencher em 01_Formulario_A00)",INDEX('01_Formulario_A00'!$D:$D,MATCH("D01-DOC-TAP-001.CONSTRAINTS.RESTRICOES",'01_Formulario_A00'!$A:$A,0))),"— (a preencher em 01_Formulario_A00)")</f>
        <v/>
      </c>
    </row>
    <row r="68">
      <c r="A68" s="13" t="inlineStr">
        <is>
          <t>D01-DOC-TAP-001.CONSTRAINTS.PREMISSAS</t>
        </is>
      </c>
      <c r="B68" s="2" t="inlineStr">
        <is>
          <t>premissas</t>
        </is>
      </c>
      <c r="C68" s="14">
        <f>IFERROR(IF(INDEX('01_Formulario_A00'!$D:$D,MATCH("D01-DOC-TAP-001.CONSTRAINTS.PREMISSAS",'01_Formulario_A00'!$A:$A,0))="","— (a preencher em 01_Formulario_A00)",INDEX('01_Formulario_A00'!$D:$D,MATCH("D01-DOC-TAP-001.CONSTRAINTS.PREMISSAS",'01_Formulario_A00'!$A:$A,0))),"— (a preencher em 01_Formulario_A00)")</f>
        <v/>
      </c>
    </row>
    <row r="69">
      <c r="A69" s="13" t="inlineStr">
        <is>
          <t>D01-DOC-TAP-001.CONSTRAINTS.DEPENDENCIAS</t>
        </is>
      </c>
      <c r="B69" s="2" t="inlineStr">
        <is>
          <t>dependencias</t>
        </is>
      </c>
      <c r="C69" s="14">
        <f>IFERROR(IF(INDEX('01_Formulario_A00'!$D:$D,MATCH("D01-DOC-TAP-001.CONSTRAINTS.DEPENDENCIAS",'01_Formulario_A00'!$A:$A,0))="","— (a preencher em 01_Formulario_A00)",INDEX('01_Formulario_A00'!$D:$D,MATCH("D01-DOC-TAP-001.CONSTRAINTS.DEPENDENCIAS",'01_Formulario_A00'!$A:$A,0))),"— (a preencher em 01_Formulario_A00)")</f>
        <v/>
      </c>
    </row>
    <row r="70">
      <c r="A70" s="13" t="inlineStr">
        <is>
          <t>D01-DOC-TAP-001.RESOURCES.CAPACIDADE</t>
        </is>
      </c>
      <c r="B70" s="2" t="inlineStr">
        <is>
          <t>capacidade</t>
        </is>
      </c>
      <c r="C70" s="14">
        <f>IFERROR(IF(INDEX('01_Formulario_A00'!$D:$D,MATCH("D01-DOC-TAP-001.RESOURCES.CAPACIDADE",'01_Formulario_A00'!$A:$A,0))="","— (a preencher em 01_Formulario_A00)",INDEX('01_Formulario_A00'!$D:$D,MATCH("D01-DOC-TAP-001.RESOURCES.CAPACIDADE",'01_Formulario_A00'!$A:$A,0))),"— (a preencher em 01_Formulario_A00)")</f>
        <v/>
      </c>
    </row>
    <row r="71">
      <c r="A71" s="13" t="inlineStr">
        <is>
          <t>D01-DOC-TAP-001.RESOURCES.RECURSOS</t>
        </is>
      </c>
      <c r="B71" s="2" t="inlineStr">
        <is>
          <t>recursos</t>
        </is>
      </c>
      <c r="C71" s="14">
        <f>IFERROR(IF(INDEX('01_Formulario_A00'!$D:$D,MATCH("D01-DOC-TAP-001.RESOURCES.RECURSOS",'01_Formulario_A00'!$A:$A,0))="","— (a preencher em 01_Formulario_A00)",INDEX('01_Formulario_A00'!$D:$D,MATCH("D01-DOC-TAP-001.RESOURCES.RECURSOS",'01_Formulario_A00'!$A:$A,0))),"— (a preencher em 01_Formulario_A00)")</f>
        <v/>
      </c>
    </row>
    <row r="72">
      <c r="A72" s="13" t="inlineStr">
        <is>
          <t>D01-DOC-TAP-001.RESOURCES.ORCAMENTO</t>
        </is>
      </c>
      <c r="B72" s="2" t="inlineStr">
        <is>
          <t>orcamento</t>
        </is>
      </c>
      <c r="C72" s="14">
        <f>IFERROR(IF(INDEX('01_Formulario_A00'!$D:$D,MATCH("D01-DOC-TAP-001.RESOURCES.ORCAMENTO",'01_Formulario_A00'!$A:$A,0))="","— (a preencher em 01_Formulario_A00)",INDEX('01_Formulario_A00'!$D:$D,MATCH("D01-DOC-TAP-001.RESOURCES.ORCAMENTO",'01_Formulario_A00'!$A:$A,0))),"— (a preencher em 01_Formulario_A00)")</f>
        <v/>
      </c>
    </row>
    <row r="73">
      <c r="A73" s="13" t="inlineStr">
        <is>
          <t>D01-DOC-TAP-001.SUCCESS.CRITERIOS_DE_ACEITE</t>
        </is>
      </c>
      <c r="B73" s="2" t="inlineStr">
        <is>
          <t>criterios_de_aceite</t>
        </is>
      </c>
      <c r="C73" s="14">
        <f>IFERROR(IF(INDEX('01_Formulario_A00'!$D:$D,MATCH("D01-DOC-TAP-001.SUCCESS.CRITERIOS_DE_ACEITE",'01_Formulario_A00'!$A:$A,0))="","— (a preencher em 01_Formulario_A00)",INDEX('01_Formulario_A00'!$D:$D,MATCH("D01-DOC-TAP-001.SUCCESS.CRITERIOS_DE_ACEITE",'01_Formulario_A00'!$A:$A,0))),"— (a preencher em 01_Formulario_A00)")</f>
        <v/>
      </c>
    </row>
    <row r="74">
      <c r="A74" s="13" t="inlineStr">
        <is>
          <t>D01-DOC-TAP-001.SUCCESS.INDICADORES_DE_SUCESSO</t>
        </is>
      </c>
      <c r="B74" s="2" t="inlineStr">
        <is>
          <t>indicadores_de_sucesso</t>
        </is>
      </c>
      <c r="C74" s="14">
        <f>IFERROR(IF(INDEX('01_Formulario_A00'!$D:$D,MATCH("D01-DOC-TAP-001.SUCCESS.INDICADORES_DE_SUCESSO",'01_Formulario_A00'!$A:$A,0))="","— (a preencher em 01_Formulario_A00)",INDEX('01_Formulario_A00'!$D:$D,MATCH("D01-DOC-TAP-001.SUCCESS.INDICADORES_DE_SUCESSO",'01_Formulario_A00'!$A:$A,0))),"— (a preencher em 01_Formulario_A00)")</f>
        <v/>
      </c>
    </row>
    <row r="75">
      <c r="A75" s="13" t="inlineStr">
        <is>
          <t>D01-DOC-TAP-001.RISKS.RISCOS_INICIAIS</t>
        </is>
      </c>
      <c r="B75" s="2" t="inlineStr">
        <is>
          <t>riscos_iniciais</t>
        </is>
      </c>
      <c r="C75" s="14">
        <f>IFERROR(IF(INDEX('01_Formulario_A00'!$D:$D,MATCH("D01-DOC-TAP-001.RISKS.RISCOS_INICIAIS",'01_Formulario_A00'!$A:$A,0))="","— (a preencher em 01_Formulario_A00)",INDEX('01_Formulario_A00'!$D:$D,MATCH("D01-DOC-TAP-001.RISKS.RISCOS_INICIAIS",'01_Formulario_A00'!$A:$A,0))),"— (a preencher em 01_Formulario_A00)")</f>
        <v/>
      </c>
    </row>
    <row r="76">
      <c r="A76" s="13" t="inlineStr">
        <is>
          <t>D01-DOC-TAP-001.APPROVALS.APROVADORES</t>
        </is>
      </c>
      <c r="B76" s="2" t="inlineStr">
        <is>
          <t>aprovadores</t>
        </is>
      </c>
      <c r="C76" s="14">
        <f>IFERROR(IF(INDEX('01_Formulario_A00'!$D:$D,MATCH("D01-DOC-TAP-001.APPROVALS.APROVADORES",'01_Formulario_A00'!$A:$A,0))="","— (a preencher em 01_Formulario_A00)",INDEX('01_Formulario_A00'!$D:$D,MATCH("D01-DOC-TAP-001.APPROVALS.APROVADORES",'01_Formulario_A00'!$A:$A,0))),"— (a preencher em 01_Formulario_A00)")</f>
        <v/>
      </c>
    </row>
    <row r="77">
      <c r="A77" s="13" t="inlineStr">
        <is>
          <t>D01-DOC-TAP-001.APPROVALS.STATUS_APROVACAO</t>
        </is>
      </c>
      <c r="B77" s="2" t="inlineStr">
        <is>
          <t>status_aprovacao</t>
        </is>
      </c>
      <c r="C77" s="14">
        <f>IFERROR(IF(INDEX('01_Formulario_A00'!$D:$D,MATCH("D01-DOC-TAP-001.APPROVALS.STATUS_APROVACAO",'01_Formulario_A00'!$A:$A,0))="","— (a preencher em 01_Formulario_A00)",INDEX('01_Formulario_A00'!$D:$D,MATCH("D01-DOC-TAP-001.APPROVALS.STATUS_APROVACAO",'01_Formulario_A00'!$A:$A,0))),"— (a preencher em 01_Formulario_A00)")</f>
        <v/>
      </c>
    </row>
    <row r="78">
      <c r="A78" s="13" t="inlineStr">
        <is>
          <t>D01-DOC-MNE-001.CUSTOMER.SEGMENTOS</t>
        </is>
      </c>
      <c r="B78" s="2" t="inlineStr">
        <is>
          <t>segmentos</t>
        </is>
      </c>
      <c r="C78" s="14">
        <f>IFERROR(IF(INDEX('01_Formulario_A00'!$D:$D,MATCH("D01-DOC-MNE-001.CUSTOMER.SEGMENTOS",'01_Formulario_A00'!$A:$A,0))="","— (a preencher em 01_Formulario_A00)",INDEX('01_Formulario_A00'!$D:$D,MATCH("D01-DOC-MNE-001.CUSTOMER.SEGMENTOS",'01_Formulario_A00'!$A:$A,0))),"— (a preencher em 01_Formulario_A00)")</f>
        <v/>
      </c>
    </row>
    <row r="79">
      <c r="A79" s="13" t="inlineStr">
        <is>
          <t>D01-DOC-MNE-001.CUSTOMER.USUARIOS</t>
        </is>
      </c>
      <c r="B79" s="2" t="inlineStr">
        <is>
          <t>usuarios</t>
        </is>
      </c>
      <c r="C79" s="14">
        <f>IFERROR(IF(INDEX('01_Formulario_A00'!$D:$D,MATCH("D01-DOC-MNE-001.CUSTOMER.USUARIOS",'01_Formulario_A00'!$A:$A,0))="","— (a preencher em 01_Formulario_A00)",INDEX('01_Formulario_A00'!$D:$D,MATCH("D01-DOC-MNE-001.CUSTOMER.USUARIOS",'01_Formulario_A00'!$A:$A,0))),"— (a preencher em 01_Formulario_A00)")</f>
        <v/>
      </c>
    </row>
    <row r="80">
      <c r="A80" s="13" t="inlineStr">
        <is>
          <t>D01-DOC-MNE-001.CUSTOMER.CLIENTES</t>
        </is>
      </c>
      <c r="B80" s="2" t="inlineStr">
        <is>
          <t>clientes</t>
        </is>
      </c>
      <c r="C80" s="14">
        <f>IFERROR(IF(INDEX('01_Formulario_A00'!$D:$D,MATCH("D01-DOC-MNE-001.CUSTOMER.CLIENTES",'01_Formulario_A00'!$A:$A,0))="","— (a preencher em 01_Formulario_A00)",INDEX('01_Formulario_A00'!$D:$D,MATCH("D01-DOC-MNE-001.CUSTOMER.CLIENTES",'01_Formulario_A00'!$A:$A,0))),"— (a preencher em 01_Formulario_A00)")</f>
        <v/>
      </c>
    </row>
    <row r="81">
      <c r="A81" s="13" t="inlineStr">
        <is>
          <t>D01-DOC-MNE-001.CUSTOMER.PROBLEMAS</t>
        </is>
      </c>
      <c r="B81" s="2" t="inlineStr">
        <is>
          <t>problemas</t>
        </is>
      </c>
      <c r="C81" s="14">
        <f>IFERROR(IF(INDEX('01_Formulario_A00'!$D:$D,MATCH("D01-DOC-MNE-001.CUSTOMER.PROBLEMAS",'01_Formulario_A00'!$A:$A,0))="","— (a preencher em 01_Formulario_A00)",INDEX('01_Formulario_A00'!$D:$D,MATCH("D01-DOC-MNE-001.CUSTOMER.PROBLEMAS",'01_Formulario_A00'!$A:$A,0))),"— (a preencher em 01_Formulario_A00)")</f>
        <v/>
      </c>
    </row>
    <row r="82">
      <c r="A82" s="13" t="inlineStr">
        <is>
          <t>D01-DOC-MNE-001.CUSTOMER.JTBD</t>
        </is>
      </c>
      <c r="B82" s="2" t="inlineStr">
        <is>
          <t>jtbd</t>
        </is>
      </c>
      <c r="C82" s="14">
        <f>IFERROR(IF(INDEX('01_Formulario_A00'!$D:$D,MATCH("D01-DOC-MNE-001.CUSTOMER.JTBD",'01_Formulario_A00'!$A:$A,0))="","— (a preencher em 01_Formulario_A00)",INDEX('01_Formulario_A00'!$D:$D,MATCH("D01-DOC-MNE-001.CUSTOMER.JTBD",'01_Formulario_A00'!$A:$A,0))),"— (a preencher em 01_Formulario_A00)")</f>
        <v/>
      </c>
    </row>
    <row r="83">
      <c r="A83" s="13" t="inlineStr">
        <is>
          <t>D01-DOC-MNE-001.VALUE.PROPOSTAS_DE_VALOR</t>
        </is>
      </c>
      <c r="B83" s="2" t="inlineStr">
        <is>
          <t>propostas_de_valor</t>
        </is>
      </c>
      <c r="C83" s="14">
        <f>IFERROR(IF(INDEX('01_Formulario_A00'!$D:$D,MATCH("D01-DOC-MNE-001.VALUE.PROPOSTAS_DE_VALOR",'01_Formulario_A00'!$A:$A,0))="","— (a preencher em 01_Formulario_A00)",INDEX('01_Formulario_A00'!$D:$D,MATCH("D01-DOC-MNE-001.VALUE.PROPOSTAS_DE_VALOR",'01_Formulario_A00'!$A:$A,0))),"— (a preencher em 01_Formulario_A00)")</f>
        <v/>
      </c>
    </row>
    <row r="84">
      <c r="A84" s="13" t="inlineStr">
        <is>
          <t>D01-DOC-MNE-001.VALUE.BENEFICIOS</t>
        </is>
      </c>
      <c r="B84" s="2" t="inlineStr">
        <is>
          <t>beneficios</t>
        </is>
      </c>
      <c r="C84" s="14">
        <f>IFERROR(IF(INDEX('01_Formulario_A00'!$D:$D,MATCH("D01-DOC-MNE-001.VALUE.BENEFICIOS",'01_Formulario_A00'!$A:$A,0))="","— (a preencher em 01_Formulario_A00)",INDEX('01_Formulario_A00'!$D:$D,MATCH("D01-DOC-MNE-001.VALUE.BENEFICIOS",'01_Formulario_A00'!$A:$A,0))),"— (a preencher em 01_Formulario_A00)")</f>
        <v/>
      </c>
    </row>
    <row r="85">
      <c r="A85" s="13" t="inlineStr">
        <is>
          <t>D01-DOC-MNE-001.VALUE.DIFERENCIADORES</t>
        </is>
      </c>
      <c r="B85" s="2" t="inlineStr">
        <is>
          <t>diferenciadores</t>
        </is>
      </c>
      <c r="C85" s="14">
        <f>IFERROR(IF(INDEX('01_Formulario_A00'!$D:$D,MATCH("D01-DOC-MNE-001.VALUE.DIFERENCIADORES",'01_Formulario_A00'!$A:$A,0))="","— (a preencher em 01_Formulario_A00)",INDEX('01_Formulario_A00'!$D:$D,MATCH("D01-DOC-MNE-001.VALUE.DIFERENCIADORES",'01_Formulario_A00'!$A:$A,0))),"— (a preencher em 01_Formulario_A00)")</f>
        <v/>
      </c>
    </row>
    <row r="86">
      <c r="A86" s="13" t="inlineStr">
        <is>
          <t>D01-DOC-MNE-001.VALUE.ALTERNATIVAS_EXISTENTES</t>
        </is>
      </c>
      <c r="B86" s="2" t="inlineStr">
        <is>
          <t>alternativas_existentes</t>
        </is>
      </c>
      <c r="C86" s="14">
        <f>IFERROR(IF(INDEX('01_Formulario_A00'!$D:$D,MATCH("D01-DOC-MNE-001.VALUE.ALTERNATIVAS_EXISTENTES",'01_Formulario_A00'!$A:$A,0))="","— (a preencher em 01_Formulario_A00)",INDEX('01_Formulario_A00'!$D:$D,MATCH("D01-DOC-MNE-001.VALUE.ALTERNATIVAS_EXISTENTES",'01_Formulario_A00'!$A:$A,0))),"— (a preencher em 01_Formulario_A00)")</f>
        <v/>
      </c>
    </row>
    <row r="87">
      <c r="A87" s="13" t="inlineStr">
        <is>
          <t>D01-DOC-MNE-001.OFFERINGS.PRODUTOS</t>
        </is>
      </c>
      <c r="B87" s="2" t="inlineStr">
        <is>
          <t>produtos</t>
        </is>
      </c>
      <c r="C87" s="14">
        <f>IFERROR(IF(INDEX('01_Formulario_A00'!$D:$D,MATCH("D01-DOC-MNE-001.OFFERINGS.PRODUTOS",'01_Formulario_A00'!$A:$A,0))="","— (a preencher em 01_Formulario_A00)",INDEX('01_Formulario_A00'!$D:$D,MATCH("D01-DOC-MNE-001.OFFERINGS.PRODUTOS",'01_Formulario_A00'!$A:$A,0))),"— (a preencher em 01_Formulario_A00)")</f>
        <v/>
      </c>
    </row>
    <row r="88">
      <c r="A88" s="13" t="inlineStr">
        <is>
          <t>D01-DOC-MNE-001.OFFERINGS.SERVICOS</t>
        </is>
      </c>
      <c r="B88" s="2" t="inlineStr">
        <is>
          <t>servicos</t>
        </is>
      </c>
      <c r="C88" s="14">
        <f>IFERROR(IF(INDEX('01_Formulario_A00'!$D:$D,MATCH("D01-DOC-MNE-001.OFFERINGS.SERVICOS",'01_Formulario_A00'!$A:$A,0))="","— (a preencher em 01_Formulario_A00)",INDEX('01_Formulario_A00'!$D:$D,MATCH("D01-DOC-MNE-001.OFFERINGS.SERVICOS",'01_Formulario_A00'!$A:$A,0))),"— (a preencher em 01_Formulario_A00)")</f>
        <v/>
      </c>
    </row>
    <row r="89">
      <c r="A89" s="13" t="inlineStr">
        <is>
          <t>D01-DOC-MNE-001.OFFERINGS.PLANOS</t>
        </is>
      </c>
      <c r="B89" s="2" t="inlineStr">
        <is>
          <t>planos</t>
        </is>
      </c>
      <c r="C89" s="14">
        <f>IFERROR(IF(INDEX('01_Formulario_A00'!$D:$D,MATCH("D01-DOC-MNE-001.OFFERINGS.PLANOS",'01_Formulario_A00'!$A:$A,0))="","— (a preencher em 01_Formulario_A00)",INDEX('01_Formulario_A00'!$D:$D,MATCH("D01-DOC-MNE-001.OFFERINGS.PLANOS",'01_Formulario_A00'!$A:$A,0))),"— (a preencher em 01_Formulario_A00)")</f>
        <v/>
      </c>
    </row>
    <row r="90">
      <c r="A90" s="13" t="inlineStr">
        <is>
          <t>D01-DOC-MNE-001.OFFERINGS.OFERTAS</t>
        </is>
      </c>
      <c r="B90" s="2" t="inlineStr">
        <is>
          <t>ofertas</t>
        </is>
      </c>
      <c r="C90" s="14">
        <f>IFERROR(IF(INDEX('01_Formulario_A00'!$D:$D,MATCH("D01-DOC-MNE-001.OFFERINGS.OFERTAS",'01_Formulario_A00'!$A:$A,0))="","— (a preencher em 01_Formulario_A00)",INDEX('01_Formulario_A00'!$D:$D,MATCH("D01-DOC-MNE-001.OFFERINGS.OFERTAS",'01_Formulario_A00'!$A:$A,0))),"— (a preencher em 01_Formulario_A00)")</f>
        <v/>
      </c>
    </row>
    <row r="91">
      <c r="A91" s="13" t="inlineStr">
        <is>
          <t>D01-DOC-MNE-001.CHANNELS.AQUISICAO</t>
        </is>
      </c>
      <c r="B91" s="2" t="inlineStr">
        <is>
          <t>aquisicao</t>
        </is>
      </c>
      <c r="C91" s="14">
        <f>IFERROR(IF(INDEX('01_Formulario_A00'!$D:$D,MATCH("D01-DOC-MNE-001.CHANNELS.AQUISICAO",'01_Formulario_A00'!$A:$A,0))="","— (a preencher em 01_Formulario_A00)",INDEX('01_Formulario_A00'!$D:$D,MATCH("D01-DOC-MNE-001.CHANNELS.AQUISICAO",'01_Formulario_A00'!$A:$A,0))),"— (a preencher em 01_Formulario_A00)")</f>
        <v/>
      </c>
    </row>
    <row r="92">
      <c r="A92" s="13" t="inlineStr">
        <is>
          <t>D01-DOC-MNE-001.CHANNELS.DISTRIBUICAO</t>
        </is>
      </c>
      <c r="B92" s="2" t="inlineStr">
        <is>
          <t>distribuicao</t>
        </is>
      </c>
      <c r="C92" s="14">
        <f>IFERROR(IF(INDEX('01_Formulario_A00'!$D:$D,MATCH("D01-DOC-MNE-001.CHANNELS.DISTRIBUICAO",'01_Formulario_A00'!$A:$A,0))="","— (a preencher em 01_Formulario_A00)",INDEX('01_Formulario_A00'!$D:$D,MATCH("D01-DOC-MNE-001.CHANNELS.DISTRIBUICAO",'01_Formulario_A00'!$A:$A,0))),"— (a preencher em 01_Formulario_A00)")</f>
        <v/>
      </c>
    </row>
    <row r="93">
      <c r="A93" s="13" t="inlineStr">
        <is>
          <t>D01-DOC-MNE-001.CHANNELS.ENTREGA</t>
        </is>
      </c>
      <c r="B93" s="2" t="inlineStr">
        <is>
          <t>entrega</t>
        </is>
      </c>
      <c r="C93" s="14">
        <f>IFERROR(IF(INDEX('01_Formulario_A00'!$D:$D,MATCH("D01-DOC-MNE-001.CHANNELS.ENTREGA",'01_Formulario_A00'!$A:$A,0))="","— (a preencher em 01_Formulario_A00)",INDEX('01_Formulario_A00'!$D:$D,MATCH("D01-DOC-MNE-001.CHANNELS.ENTREGA",'01_Formulario_A00'!$A:$A,0))),"— (a preencher em 01_Formulario_A00)")</f>
        <v/>
      </c>
    </row>
    <row r="94">
      <c r="A94" s="13" t="inlineStr">
        <is>
          <t>D01-DOC-MNE-001.RELATIONSHIPS.RELACIONAMENTO_COM_CLIENTE</t>
        </is>
      </c>
      <c r="B94" s="2" t="inlineStr">
        <is>
          <t>relacionamento_com_cliente</t>
        </is>
      </c>
      <c r="C94" s="14">
        <f>IFERROR(IF(INDEX('01_Formulario_A00'!$D:$D,MATCH("D01-DOC-MNE-001.RELATIONSHIPS.RELACIONAMENTO_COM_CLIENTE",'01_Formulario_A00'!$A:$A,0))="","— (a preencher em 01_Formulario_A00)",INDEX('01_Formulario_A00'!$D:$D,MATCH("D01-DOC-MNE-001.RELATIONSHIPS.RELACIONAMENTO_COM_CLIENTE",'01_Formulario_A00'!$A:$A,0))),"— (a preencher em 01_Formulario_A00)")</f>
        <v/>
      </c>
    </row>
    <row r="95">
      <c r="A95" s="13" t="inlineStr">
        <is>
          <t>D01-DOC-MNE-001.RELATIONSHIPS.COMUNIDADE</t>
        </is>
      </c>
      <c r="B95" s="2" t="inlineStr">
        <is>
          <t>comunidade</t>
        </is>
      </c>
      <c r="C95" s="14">
        <f>IFERROR(IF(INDEX('01_Formulario_A00'!$D:$D,MATCH("D01-DOC-MNE-001.RELATIONSHIPS.COMUNIDADE",'01_Formulario_A00'!$A:$A,0))="","— (a preencher em 01_Formulario_A00)",INDEX('01_Formulario_A00'!$D:$D,MATCH("D01-DOC-MNE-001.RELATIONSHIPS.COMUNIDADE",'01_Formulario_A00'!$A:$A,0))),"— (a preencher em 01_Formulario_A00)")</f>
        <v/>
      </c>
    </row>
    <row r="96">
      <c r="A96" s="13" t="inlineStr">
        <is>
          <t>D01-DOC-MNE-001.RELATIONSHIPS.SUPORTE</t>
        </is>
      </c>
      <c r="B96" s="2" t="inlineStr">
        <is>
          <t>suporte</t>
        </is>
      </c>
      <c r="C96" s="14">
        <f>IFERROR(IF(INDEX('01_Formulario_A00'!$D:$D,MATCH("D01-DOC-MNE-001.RELATIONSHIPS.SUPORTE",'01_Formulario_A00'!$A:$A,0))="","— (a preencher em 01_Formulario_A00)",INDEX('01_Formulario_A00'!$D:$D,MATCH("D01-DOC-MNE-001.RELATIONSHIPS.SUPORTE",'01_Formulario_A00'!$A:$A,0))),"— (a preencher em 01_Formulario_A00)")</f>
        <v/>
      </c>
    </row>
    <row r="97">
      <c r="A97" s="13" t="inlineStr">
        <is>
          <t>D01-DOC-MNE-001.REVENUE.FONTES_DE_RECEITA</t>
        </is>
      </c>
      <c r="B97" s="2" t="inlineStr">
        <is>
          <t>fontes_de_receita</t>
        </is>
      </c>
      <c r="C97" s="14">
        <f>IFERROR(IF(INDEX('01_Formulario_A00'!$D:$D,MATCH("D01-DOC-MNE-001.REVENUE.FONTES_DE_RECEITA",'01_Formulario_A00'!$A:$A,0))="","— (a preencher em 01_Formulario_A00)",INDEX('01_Formulario_A00'!$D:$D,MATCH("D01-DOC-MNE-001.REVENUE.FONTES_DE_RECEITA",'01_Formulario_A00'!$A:$A,0))),"— (a preencher em 01_Formulario_A00)")</f>
        <v/>
      </c>
    </row>
    <row r="98">
      <c r="A98" s="13" t="inlineStr">
        <is>
          <t>D01-DOC-MNE-001.REVENUE.PRECIFICACAO</t>
        </is>
      </c>
      <c r="B98" s="2" t="inlineStr">
        <is>
          <t>precificacao</t>
        </is>
      </c>
      <c r="C98" s="14">
        <f>IFERROR(IF(INDEX('01_Formulario_A00'!$D:$D,MATCH("D01-DOC-MNE-001.REVENUE.PRECIFICACAO",'01_Formulario_A00'!$A:$A,0))="","— (a preencher em 01_Formulario_A00)",INDEX('01_Formulario_A00'!$D:$D,MATCH("D01-DOC-MNE-001.REVENUE.PRECIFICACAO",'01_Formulario_A00'!$A:$A,0))),"— (a preencher em 01_Formulario_A00)")</f>
        <v/>
      </c>
    </row>
    <row r="99">
      <c r="A99" s="13" t="inlineStr">
        <is>
          <t>D01-DOC-MNE-001.REVENUE.RECORRENCIA</t>
        </is>
      </c>
      <c r="B99" s="2" t="inlineStr">
        <is>
          <t>recorrencia</t>
        </is>
      </c>
      <c r="C99" s="14">
        <f>IFERROR(IF(INDEX('01_Formulario_A00'!$D:$D,MATCH("D01-DOC-MNE-001.REVENUE.RECORRENCIA",'01_Formulario_A00'!$A:$A,0))="","— (a preencher em 01_Formulario_A00)",INDEX('01_Formulario_A00'!$D:$D,MATCH("D01-DOC-MNE-001.REVENUE.RECORRENCIA",'01_Formulario_A00'!$A:$A,0))),"— (a preencher em 01_Formulario_A00)")</f>
        <v/>
      </c>
    </row>
    <row r="100">
      <c r="A100" s="13" t="inlineStr">
        <is>
          <t>D01-DOC-MNE-001.COSTS.ESTRUTURA_DE_CUSTOS</t>
        </is>
      </c>
      <c r="B100" s="2" t="inlineStr">
        <is>
          <t>estrutura_de_custos</t>
        </is>
      </c>
      <c r="C100" s="14">
        <f>IFERROR(IF(INDEX('01_Formulario_A00'!$D:$D,MATCH("D01-DOC-MNE-001.COSTS.ESTRUTURA_DE_CUSTOS",'01_Formulario_A00'!$A:$A,0))="","— (a preencher em 01_Formulario_A00)",INDEX('01_Formulario_A00'!$D:$D,MATCH("D01-DOC-MNE-001.COSTS.ESTRUTURA_DE_CUSTOS",'01_Formulario_A00'!$A:$A,0))),"— (a preencher em 01_Formulario_A00)")</f>
        <v/>
      </c>
    </row>
    <row r="101">
      <c r="A101" s="13" t="inlineStr">
        <is>
          <t>D01-DOC-MNE-001.COSTS.CAPEX</t>
        </is>
      </c>
      <c r="B101" s="2" t="inlineStr">
        <is>
          <t>capex</t>
        </is>
      </c>
      <c r="C101" s="14">
        <f>IFERROR(IF(INDEX('01_Formulario_A00'!$D:$D,MATCH("D01-DOC-MNE-001.COSTS.CAPEX",'01_Formulario_A00'!$A:$A,0))="","— (a preencher em 01_Formulario_A00)",INDEX('01_Formulario_A00'!$D:$D,MATCH("D01-DOC-MNE-001.COSTS.CAPEX",'01_Formulario_A00'!$A:$A,0))),"— (a preencher em 01_Formulario_A00)")</f>
        <v/>
      </c>
    </row>
    <row r="102">
      <c r="A102" s="13" t="inlineStr">
        <is>
          <t>D01-DOC-MNE-001.COSTS.OPEX</t>
        </is>
      </c>
      <c r="B102" s="2" t="inlineStr">
        <is>
          <t>opex</t>
        </is>
      </c>
      <c r="C102" s="14">
        <f>IFERROR(IF(INDEX('01_Formulario_A00'!$D:$D,MATCH("D01-DOC-MNE-001.COSTS.OPEX",'01_Formulario_A00'!$A:$A,0))="","— (a preencher em 01_Formulario_A00)",INDEX('01_Formulario_A00'!$D:$D,MATCH("D01-DOC-MNE-001.COSTS.OPEX",'01_Formulario_A00'!$A:$A,0))),"— (a preencher em 01_Formulario_A00)")</f>
        <v/>
      </c>
    </row>
    <row r="103">
      <c r="A103" s="13" t="inlineStr">
        <is>
          <t>D01-DOC-MNE-001.RESOURCES.RECURSOS_CHAVE</t>
        </is>
      </c>
      <c r="B103" s="2" t="inlineStr">
        <is>
          <t>recursos_chave</t>
        </is>
      </c>
      <c r="C103" s="14">
        <f>IFERROR(IF(INDEX('01_Formulario_A00'!$D:$D,MATCH("D01-DOC-MNE-001.RESOURCES.RECURSOS_CHAVE",'01_Formulario_A00'!$A:$A,0))="","— (a preencher em 01_Formulario_A00)",INDEX('01_Formulario_A00'!$D:$D,MATCH("D01-DOC-MNE-001.RESOURCES.RECURSOS_CHAVE",'01_Formulario_A00'!$A:$A,0))),"— (a preencher em 01_Formulario_A00)")</f>
        <v/>
      </c>
    </row>
    <row r="104">
      <c r="A104" s="13" t="inlineStr">
        <is>
          <t>D01-DOC-MNE-001.RESOURCES.CAPACIDADES_CHAVE</t>
        </is>
      </c>
      <c r="B104" s="2" t="inlineStr">
        <is>
          <t>capacidades_chave</t>
        </is>
      </c>
      <c r="C104" s="14">
        <f>IFERROR(IF(INDEX('01_Formulario_A00'!$D:$D,MATCH("D01-DOC-MNE-001.RESOURCES.CAPACIDADES_CHAVE",'01_Formulario_A00'!$A:$A,0))="","— (a preencher em 01_Formulario_A00)",INDEX('01_Formulario_A00'!$D:$D,MATCH("D01-DOC-MNE-001.RESOURCES.CAPACIDADES_CHAVE",'01_Formulario_A00'!$A:$A,0))),"— (a preencher em 01_Formulario_A00)")</f>
        <v/>
      </c>
    </row>
    <row r="105">
      <c r="A105" s="13" t="inlineStr">
        <is>
          <t>D01-DOC-MNE-001.ACTIVITIES.ATIVIDADES_CHAVE</t>
        </is>
      </c>
      <c r="B105" s="2" t="inlineStr">
        <is>
          <t>atividades_chave</t>
        </is>
      </c>
      <c r="C105" s="14">
        <f>IFERROR(IF(INDEX('01_Formulario_A00'!$D:$D,MATCH("D01-DOC-MNE-001.ACTIVITIES.ATIVIDADES_CHAVE",'01_Formulario_A00'!$A:$A,0))="","— (a preencher em 01_Formulario_A00)",INDEX('01_Formulario_A00'!$D:$D,MATCH("D01-DOC-MNE-001.ACTIVITIES.ATIVIDADES_CHAVE",'01_Formulario_A00'!$A:$A,0))),"— (a preencher em 01_Formulario_A00)")</f>
        <v/>
      </c>
    </row>
    <row r="106">
      <c r="A106" s="13" t="inlineStr">
        <is>
          <t>D01-DOC-MNE-001.PARTNERS.PARCEIROS</t>
        </is>
      </c>
      <c r="B106" s="2" t="inlineStr">
        <is>
          <t>parceiros</t>
        </is>
      </c>
      <c r="C106" s="14">
        <f>IFERROR(IF(INDEX('01_Formulario_A00'!$D:$D,MATCH("D01-DOC-MNE-001.PARTNERS.PARCEIROS",'01_Formulario_A00'!$A:$A,0))="","— (a preencher em 01_Formulario_A00)",INDEX('01_Formulario_A00'!$D:$D,MATCH("D01-DOC-MNE-001.PARTNERS.PARCEIROS",'01_Formulario_A00'!$A:$A,0))),"— (a preencher em 01_Formulario_A00)")</f>
        <v/>
      </c>
    </row>
    <row r="107">
      <c r="A107" s="13" t="inlineStr">
        <is>
          <t>D01-DOC-MNE-001.PARTNERS.FORNECEDORES</t>
        </is>
      </c>
      <c r="B107" s="2" t="inlineStr">
        <is>
          <t>fornecedores</t>
        </is>
      </c>
      <c r="C107" s="14">
        <f>IFERROR(IF(INDEX('01_Formulario_A00'!$D:$D,MATCH("D01-DOC-MNE-001.PARTNERS.FORNECEDORES",'01_Formulario_A00'!$A:$A,0))="","— (a preencher em 01_Formulario_A00)",INDEX('01_Formulario_A00'!$D:$D,MATCH("D01-DOC-MNE-001.PARTNERS.FORNECEDORES",'01_Formulario_A00'!$A:$A,0))),"— (a preencher em 01_Formulario_A00)")</f>
        <v/>
      </c>
    </row>
    <row r="108">
      <c r="A108" s="13" t="inlineStr">
        <is>
          <t>D01-DOC-MNE-001.ECONOMICS.MARGEM</t>
        </is>
      </c>
      <c r="B108" s="2" t="inlineStr">
        <is>
          <t>margem</t>
        </is>
      </c>
      <c r="C108" s="14">
        <f>IFERROR(IF(INDEX('01_Formulario_A00'!$D:$D,MATCH("D01-DOC-MNE-001.ECONOMICS.MARGEM",'01_Formulario_A00'!$A:$A,0))="","— (a preencher em 01_Formulario_A00)",INDEX('01_Formulario_A00'!$D:$D,MATCH("D01-DOC-MNE-001.ECONOMICS.MARGEM",'01_Formulario_A00'!$A:$A,0))),"— (a preencher em 01_Formulario_A00)")</f>
        <v/>
      </c>
    </row>
    <row r="109">
      <c r="A109" s="13" t="inlineStr">
        <is>
          <t>D01-DOC-MNE-001.ECONOMICS.CAC</t>
        </is>
      </c>
      <c r="B109" s="2" t="inlineStr">
        <is>
          <t>cac</t>
        </is>
      </c>
      <c r="C109" s="14">
        <f>IFERROR(IF(INDEX('01_Formulario_A00'!$D:$D,MATCH("D01-DOC-MNE-001.ECONOMICS.CAC",'01_Formulario_A00'!$A:$A,0))="","— (a preencher em 01_Formulario_A00)",INDEX('01_Formulario_A00'!$D:$D,MATCH("D01-DOC-MNE-001.ECONOMICS.CAC",'01_Formulario_A00'!$A:$A,0))),"— (a preencher em 01_Formulario_A00)")</f>
        <v/>
      </c>
    </row>
    <row r="110">
      <c r="A110" s="13" t="inlineStr">
        <is>
          <t>D01-DOC-MNE-001.ECONOMICS.LTV</t>
        </is>
      </c>
      <c r="B110" s="2" t="inlineStr">
        <is>
          <t>ltv</t>
        </is>
      </c>
      <c r="C110" s="14">
        <f>IFERROR(IF(INDEX('01_Formulario_A00'!$D:$D,MATCH("D01-DOC-MNE-001.ECONOMICS.LTV",'01_Formulario_A00'!$A:$A,0))="","— (a preencher em 01_Formulario_A00)",INDEX('01_Formulario_A00'!$D:$D,MATCH("D01-DOC-MNE-001.ECONOMICS.LTV",'01_Formulario_A00'!$A:$A,0))),"— (a preencher em 01_Formulario_A00)")</f>
        <v/>
      </c>
    </row>
    <row r="111">
      <c r="A111" s="13" t="inlineStr">
        <is>
          <t>D01-DOC-MNE-001.ECONOMICS.BREAK_EVEN</t>
        </is>
      </c>
      <c r="B111" s="2" t="inlineStr">
        <is>
          <t>break_even</t>
        </is>
      </c>
      <c r="C111" s="14">
        <f>IFERROR(IF(INDEX('01_Formulario_A00'!$D:$D,MATCH("D01-DOC-MNE-001.ECONOMICS.BREAK_EVEN",'01_Formulario_A00'!$A:$A,0))="","— (a preencher em 01_Formulario_A00)",INDEX('01_Formulario_A00'!$D:$D,MATCH("D01-DOC-MNE-001.ECONOMICS.BREAK_EVEN",'01_Formulario_A00'!$A:$A,0))),"— (a preencher em 01_Formulario_A00)")</f>
        <v/>
      </c>
    </row>
    <row r="112">
      <c r="A112" s="13" t="inlineStr">
        <is>
          <t>D01-DOC-MNE-001.ASSUMPTIONS.HIPOTESES</t>
        </is>
      </c>
      <c r="B112" s="2" t="inlineStr">
        <is>
          <t>hipoteses</t>
        </is>
      </c>
      <c r="C112" s="14">
        <f>IFERROR(IF(INDEX('01_Formulario_A00'!$D:$D,MATCH("D01-DOC-MNE-001.ASSUMPTIONS.HIPOTESES",'01_Formulario_A00'!$A:$A,0))="","— (a preencher em 01_Formulario_A00)",INDEX('01_Formulario_A00'!$D:$D,MATCH("D01-DOC-MNE-001.ASSUMPTIONS.HIPOTESES",'01_Formulario_A00'!$A:$A,0))),"— (a preencher em 01_Formulario_A00)")</f>
        <v/>
      </c>
    </row>
    <row r="113">
      <c r="A113" s="13" t="inlineStr">
        <is>
          <t>D01-DOC-MNE-001.ASSUMPTIONS.VALIDACOES_PENDENTES</t>
        </is>
      </c>
      <c r="B113" s="2" t="inlineStr">
        <is>
          <t>validacoes_pendentes</t>
        </is>
      </c>
      <c r="C113" s="14">
        <f>IFERROR(IF(INDEX('01_Formulario_A00'!$D:$D,MATCH("D01-DOC-MNE-001.ASSUMPTIONS.VALIDACOES_PENDENTES",'01_Formulario_A00'!$A:$A,0))="","— (a preencher em 01_Formulario_A00)",INDEX('01_Formulario_A00'!$D:$D,MATCH("D01-DOC-MNE-001.ASSUMPTIONS.VALIDACOES_PENDENTES",'01_Formulario_A00'!$A:$A,0))),"— (a preencher em 01_Formulario_A00)")</f>
        <v/>
      </c>
    </row>
    <row r="114">
      <c r="A114" s="13" t="inlineStr">
        <is>
          <t>D01-DOC-MRE-001.NODES.COMPONENTES</t>
        </is>
      </c>
      <c r="B114" s="2" t="inlineStr">
        <is>
          <t>componentes</t>
        </is>
      </c>
      <c r="C114" s="14">
        <f>IFERROR(IF(INDEX('01_Formulario_A00'!$D:$D,MATCH("D01-DOC-MRE-001.NODES.COMPONENTES",'01_Formulario_A00'!$A:$A,0))="","— (a preencher em 01_Formulario_A00)",INDEX('01_Formulario_A00'!$D:$D,MATCH("D01-DOC-MRE-001.NODES.COMPONENTES",'01_Formulario_A00'!$A:$A,0))),"— (a preencher em 01_Formulario_A00)")</f>
        <v/>
      </c>
    </row>
    <row r="115">
      <c r="A115" s="13" t="inlineStr">
        <is>
          <t>D01-DOC-MRE-001.NODES.PRODUTOS</t>
        </is>
      </c>
      <c r="B115" s="2" t="inlineStr">
        <is>
          <t>produtos</t>
        </is>
      </c>
      <c r="C115" s="14">
        <f>IFERROR(IF(INDEX('01_Formulario_A00'!$D:$D,MATCH("D01-DOC-MRE-001.NODES.PRODUTOS",'01_Formulario_A00'!$A:$A,0))="","— (a preencher em 01_Formulario_A00)",INDEX('01_Formulario_A00'!$D:$D,MATCH("D01-DOC-MRE-001.NODES.PRODUTOS",'01_Formulario_A00'!$A:$A,0))),"— (a preencher em 01_Formulario_A00)")</f>
        <v/>
      </c>
    </row>
    <row r="116">
      <c r="A116" s="13" t="inlineStr">
        <is>
          <t>D01-DOC-MRE-001.NODES.SERVICOS</t>
        </is>
      </c>
      <c r="B116" s="2" t="inlineStr">
        <is>
          <t>servicos</t>
        </is>
      </c>
      <c r="C116" s="14">
        <f>IFERROR(IF(INDEX('01_Formulario_A00'!$D:$D,MATCH("D01-DOC-MRE-001.NODES.SERVICOS",'01_Formulario_A00'!$A:$A,0))="","— (a preencher em 01_Formulario_A00)",INDEX('01_Formulario_A00'!$D:$D,MATCH("D01-DOC-MRE-001.NODES.SERVICOS",'01_Formulario_A00'!$A:$A,0))),"— (a preencher em 01_Formulario_A00)")</f>
        <v/>
      </c>
    </row>
    <row r="117">
      <c r="A117" s="13" t="inlineStr">
        <is>
          <t>D01-DOC-MRE-001.NODES.AGENTES</t>
        </is>
      </c>
      <c r="B117" s="2" t="inlineStr">
        <is>
          <t>agentes</t>
        </is>
      </c>
      <c r="C117" s="14">
        <f>IFERROR(IF(INDEX('01_Formulario_A00'!$D:$D,MATCH("D01-DOC-MRE-001.NODES.AGENTES",'01_Formulario_A00'!$A:$A,0))="","— (a preencher em 01_Formulario_A00)",INDEX('01_Formulario_A00'!$D:$D,MATCH("D01-DOC-MRE-001.NODES.AGENTES",'01_Formulario_A00'!$A:$A,0))),"— (a preencher em 01_Formulario_A00)")</f>
        <v/>
      </c>
    </row>
    <row r="118">
      <c r="A118" s="13" t="inlineStr">
        <is>
          <t>D01-DOC-MRE-001.NODES.PLATAFORMAS</t>
        </is>
      </c>
      <c r="B118" s="2" t="inlineStr">
        <is>
          <t>plataformas</t>
        </is>
      </c>
      <c r="C118" s="14">
        <f>IFERROR(IF(INDEX('01_Formulario_A00'!$D:$D,MATCH("D01-DOC-MRE-001.NODES.PLATAFORMAS",'01_Formulario_A00'!$A:$A,0))="","— (a preencher em 01_Formulario_A00)",INDEX('01_Formulario_A00'!$D:$D,MATCH("D01-DOC-MRE-001.NODES.PLATAFORMAS",'01_Formulario_A00'!$A:$A,0))),"— (a preencher em 01_Formulario_A00)")</f>
        <v/>
      </c>
    </row>
    <row r="119">
      <c r="A119" s="13" t="inlineStr">
        <is>
          <t>D01-DOC-MRE-001.RELATIONSHIPS.ORIGEM</t>
        </is>
      </c>
      <c r="B119" s="2" t="inlineStr">
        <is>
          <t>origem</t>
        </is>
      </c>
      <c r="C119" s="14">
        <f>IFERROR(IF(INDEX('01_Formulario_A00'!$D:$D,MATCH("D01-DOC-MRE-001.RELATIONSHIPS.ORIGEM",'01_Formulario_A00'!$A:$A,0))="","— (a preencher em 01_Formulario_A00)",INDEX('01_Formulario_A00'!$D:$D,MATCH("D01-DOC-MRE-001.RELATIONSHIPS.ORIGEM",'01_Formulario_A00'!$A:$A,0))),"— (a preencher em 01_Formulario_A00)")</f>
        <v/>
      </c>
    </row>
    <row r="120">
      <c r="A120" s="13" t="inlineStr">
        <is>
          <t>D01-DOC-MRE-001.RELATIONSHIPS.DESTINO</t>
        </is>
      </c>
      <c r="B120" s="2" t="inlineStr">
        <is>
          <t>destino</t>
        </is>
      </c>
      <c r="C120" s="14">
        <f>IFERROR(IF(INDEX('01_Formulario_A00'!$D:$D,MATCH("D01-DOC-MRE-001.RELATIONSHIPS.DESTINO",'01_Formulario_A00'!$A:$A,0))="","— (a preencher em 01_Formulario_A00)",INDEX('01_Formulario_A00'!$D:$D,MATCH("D01-DOC-MRE-001.RELATIONSHIPS.DESTINO",'01_Formulario_A00'!$A:$A,0))),"— (a preencher em 01_Formulario_A00)")</f>
        <v/>
      </c>
    </row>
    <row r="121">
      <c r="A121" s="13" t="inlineStr">
        <is>
          <t>D01-DOC-MRE-001.RELATIONSHIPS.TIPO_DE_RELACAO</t>
        </is>
      </c>
      <c r="B121" s="2" t="inlineStr">
        <is>
          <t>tipo_de_relacao</t>
        </is>
      </c>
      <c r="C121" s="14">
        <f>IFERROR(IF(INDEX('01_Formulario_A00'!$D:$D,MATCH("D01-DOC-MRE-001.RELATIONSHIPS.TIPO_DE_RELACAO",'01_Formulario_A00'!$A:$A,0))="","— (a preencher em 01_Formulario_A00)",INDEX('01_Formulario_A00'!$D:$D,MATCH("D01-DOC-MRE-001.RELATIONSHIPS.TIPO_DE_RELACAO",'01_Formulario_A00'!$A:$A,0))),"— (a preencher em 01_Formulario_A00)")</f>
        <v/>
      </c>
    </row>
    <row r="122">
      <c r="A122" s="13" t="inlineStr">
        <is>
          <t>D01-DOC-MRE-001.RELATIONSHIPS.OBJETIVO</t>
        </is>
      </c>
      <c r="B122" s="2" t="inlineStr">
        <is>
          <t>objetivo</t>
        </is>
      </c>
      <c r="C122" s="14">
        <f>IFERROR(IF(INDEX('01_Formulario_A00'!$D:$D,MATCH("D01-DOC-MRE-001.RELATIONSHIPS.OBJETIVO",'01_Formulario_A00'!$A:$A,0))="","— (a preencher em 01_Formulario_A00)",INDEX('01_Formulario_A00'!$D:$D,MATCH("D01-DOC-MRE-001.RELATIONSHIPS.OBJETIVO",'01_Formulario_A00'!$A:$A,0))),"— (a preencher em 01_Formulario_A00)")</f>
        <v/>
      </c>
    </row>
    <row r="123">
      <c r="A123" s="13" t="inlineStr">
        <is>
          <t>D01-DOC-MRE-001.FLOWS.FLUXO_DE_VALOR</t>
        </is>
      </c>
      <c r="B123" s="2" t="inlineStr">
        <is>
          <t>fluxo_de_valor</t>
        </is>
      </c>
      <c r="C123" s="14">
        <f>IFERROR(IF(INDEX('01_Formulario_A00'!$D:$D,MATCH("D01-DOC-MRE-001.FLOWS.FLUXO_DE_VALOR",'01_Formulario_A00'!$A:$A,0))="","— (a preencher em 01_Formulario_A00)",INDEX('01_Formulario_A00'!$D:$D,MATCH("D01-DOC-MRE-001.FLOWS.FLUXO_DE_VALOR",'01_Formulario_A00'!$A:$A,0))),"— (a preencher em 01_Formulario_A00)")</f>
        <v/>
      </c>
    </row>
    <row r="124">
      <c r="A124" s="13" t="inlineStr">
        <is>
          <t>D01-DOC-MRE-001.FLOWS.FLUXO_DE_DADOS</t>
        </is>
      </c>
      <c r="B124" s="2" t="inlineStr">
        <is>
          <t>fluxo_de_dados</t>
        </is>
      </c>
      <c r="C124" s="14">
        <f>IFERROR(IF(INDEX('01_Formulario_A00'!$D:$D,MATCH("D01-DOC-MRE-001.FLOWS.FLUXO_DE_DADOS",'01_Formulario_A00'!$A:$A,0))="","— (a preencher em 01_Formulario_A00)",INDEX('01_Formulario_A00'!$D:$D,MATCH("D01-DOC-MRE-001.FLOWS.FLUXO_DE_DADOS",'01_Formulario_A00'!$A:$A,0))),"— (a preencher em 01_Formulario_A00)")</f>
        <v/>
      </c>
    </row>
    <row r="125">
      <c r="A125" s="13" t="inlineStr">
        <is>
          <t>D01-DOC-MRE-001.FLOWS.FLUXO_DE_CONHECIMENTO</t>
        </is>
      </c>
      <c r="B125" s="2" t="inlineStr">
        <is>
          <t>fluxo_de_conhecimento</t>
        </is>
      </c>
      <c r="C125" s="14">
        <f>IFERROR(IF(INDEX('01_Formulario_A00'!$D:$D,MATCH("D01-DOC-MRE-001.FLOWS.FLUXO_DE_CONHECIMENTO",'01_Formulario_A00'!$A:$A,0))="","— (a preencher em 01_Formulario_A00)",INDEX('01_Formulario_A00'!$D:$D,MATCH("D01-DOC-MRE-001.FLOWS.FLUXO_DE_CONHECIMENTO",'01_Formulario_A00'!$A:$A,0))),"— (a preencher em 01_Formulario_A00)")</f>
        <v/>
      </c>
    </row>
    <row r="126">
      <c r="A126" s="13" t="inlineStr">
        <is>
          <t>D01-DOC-MRE-001.FLOWS.FLUXO_COMERCIAL</t>
        </is>
      </c>
      <c r="B126" s="2" t="inlineStr">
        <is>
          <t>fluxo_comercial</t>
        </is>
      </c>
      <c r="C126" s="14">
        <f>IFERROR(IF(INDEX('01_Formulario_A00'!$D:$D,MATCH("D01-DOC-MRE-001.FLOWS.FLUXO_COMERCIAL",'01_Formulario_A00'!$A:$A,0))="","— (a preencher em 01_Formulario_A00)",INDEX('01_Formulario_A00'!$D:$D,MATCH("D01-DOC-MRE-001.FLOWS.FLUXO_COMERCIAL",'01_Formulario_A00'!$A:$A,0))),"— (a preencher em 01_Formulario_A00)")</f>
        <v/>
      </c>
    </row>
    <row r="127">
      <c r="A127" s="13" t="inlineStr">
        <is>
          <t>D01-DOC-MRE-001.FLOWS.FLUXO_DE_FEEDBACK</t>
        </is>
      </c>
      <c r="B127" s="2" t="inlineStr">
        <is>
          <t>fluxo_de_feedback</t>
        </is>
      </c>
      <c r="C127" s="14">
        <f>IFERROR(IF(INDEX('01_Formulario_A00'!$D:$D,MATCH("D01-DOC-MRE-001.FLOWS.FLUXO_DE_FEEDBACK",'01_Formulario_A00'!$A:$A,0))="","— (a preencher em 01_Formulario_A00)",INDEX('01_Formulario_A00'!$D:$D,MATCH("D01-DOC-MRE-001.FLOWS.FLUXO_DE_FEEDBACK",'01_Formulario_A00'!$A:$A,0))),"— (a preencher em 01_Formulario_A00)")</f>
        <v/>
      </c>
    </row>
    <row r="128">
      <c r="A128" s="13" t="inlineStr">
        <is>
          <t>D01-DOC-MRE-001.INTERFACES.ENTRADAS</t>
        </is>
      </c>
      <c r="B128" s="2" t="inlineStr">
        <is>
          <t>entradas</t>
        </is>
      </c>
      <c r="C128" s="14">
        <f>IFERROR(IF(INDEX('01_Formulario_A00'!$D:$D,MATCH("D01-DOC-MRE-001.INTERFACES.ENTRADAS",'01_Formulario_A00'!$A:$A,0))="","— (a preencher em 01_Formulario_A00)",INDEX('01_Formulario_A00'!$D:$D,MATCH("D01-DOC-MRE-001.INTERFACES.ENTRADAS",'01_Formulario_A00'!$A:$A,0))),"— (a preencher em 01_Formulario_A00)")</f>
        <v/>
      </c>
    </row>
    <row r="129">
      <c r="A129" s="13" t="inlineStr">
        <is>
          <t>D01-DOC-MRE-001.INTERFACES.SAIDAS</t>
        </is>
      </c>
      <c r="B129" s="2" t="inlineStr">
        <is>
          <t>saidas</t>
        </is>
      </c>
      <c r="C129" s="14">
        <f>IFERROR(IF(INDEX('01_Formulario_A00'!$D:$D,MATCH("D01-DOC-MRE-001.INTERFACES.SAIDAS",'01_Formulario_A00'!$A:$A,0))="","— (a preencher em 01_Formulario_A00)",INDEX('01_Formulario_A00'!$D:$D,MATCH("D01-DOC-MRE-001.INTERFACES.SAIDAS",'01_Formulario_A00'!$A:$A,0))),"— (a preencher em 01_Formulario_A00)")</f>
        <v/>
      </c>
    </row>
    <row r="130">
      <c r="A130" s="13" t="inlineStr">
        <is>
          <t>D01-DOC-MRE-001.INTERFACES.HANDOFFS</t>
        </is>
      </c>
      <c r="B130" s="2" t="inlineStr">
        <is>
          <t>handoffs</t>
        </is>
      </c>
      <c r="C130" s="14">
        <f>IFERROR(IF(INDEX('01_Formulario_A00'!$D:$D,MATCH("D01-DOC-MRE-001.INTERFACES.HANDOFFS",'01_Formulario_A00'!$A:$A,0))="","— (a preencher em 01_Formulario_A00)",INDEX('01_Formulario_A00'!$D:$D,MATCH("D01-DOC-MRE-001.INTERFACES.HANDOFFS",'01_Formulario_A00'!$A:$A,0))),"— (a preencher em 01_Formulario_A00)")</f>
        <v/>
      </c>
    </row>
    <row r="131">
      <c r="A131" s="13" t="inlineStr">
        <is>
          <t>D01-DOC-MRE-001.DEPENDENCIES.DEPENDENCIAS</t>
        </is>
      </c>
      <c r="B131" s="2" t="inlineStr">
        <is>
          <t>dependencias</t>
        </is>
      </c>
      <c r="C131" s="14">
        <f>IFERROR(IF(INDEX('01_Formulario_A00'!$D:$D,MATCH("D01-DOC-MRE-001.DEPENDENCIES.DEPENDENCIAS",'01_Formulario_A00'!$A:$A,0))="","— (a preencher em 01_Formulario_A00)",INDEX('01_Formulario_A00'!$D:$D,MATCH("D01-DOC-MRE-001.DEPENDENCIES.DEPENDENCIAS",'01_Formulario_A00'!$A:$A,0))),"— (a preencher em 01_Formulario_A00)")</f>
        <v/>
      </c>
    </row>
    <row r="132">
      <c r="A132" s="13" t="inlineStr">
        <is>
          <t>D01-DOC-MRE-001.DEPENDENCIES.GARGALOS</t>
        </is>
      </c>
      <c r="B132" s="2" t="inlineStr">
        <is>
          <t>gargalos</t>
        </is>
      </c>
      <c r="C132" s="14">
        <f>IFERROR(IF(INDEX('01_Formulario_A00'!$D:$D,MATCH("D01-DOC-MRE-001.DEPENDENCIES.GARGALOS",'01_Formulario_A00'!$A:$A,0))="","— (a preencher em 01_Formulario_A00)",INDEX('01_Formulario_A00'!$D:$D,MATCH("D01-DOC-MRE-001.DEPENDENCIES.GARGALOS",'01_Formulario_A00'!$A:$A,0))),"— (a preencher em 01_Formulario_A00)")</f>
        <v/>
      </c>
    </row>
    <row r="133">
      <c r="A133" s="13" t="inlineStr">
        <is>
          <t>D01-DOC-MRE-001.LOOPS.CICLOS_DE_APRENDIZADO</t>
        </is>
      </c>
      <c r="B133" s="2" t="inlineStr">
        <is>
          <t>ciclos_de_aprendizado</t>
        </is>
      </c>
      <c r="C133" s="14">
        <f>IFERROR(IF(INDEX('01_Formulario_A00'!$D:$D,MATCH("D01-DOC-MRE-001.LOOPS.CICLOS_DE_APRENDIZADO",'01_Formulario_A00'!$A:$A,0))="","— (a preencher em 01_Formulario_A00)",INDEX('01_Formulario_A00'!$D:$D,MATCH("D01-DOC-MRE-001.LOOPS.CICLOS_DE_APRENDIZADO",'01_Formulario_A00'!$A:$A,0))),"— (a preencher em 01_Formulario_A00)")</f>
        <v/>
      </c>
    </row>
    <row r="134">
      <c r="A134" s="13" t="inlineStr">
        <is>
          <t>D01-DOC-MRE-001.LOOPS.RETROALIMENTACAO</t>
        </is>
      </c>
      <c r="B134" s="2" t="inlineStr">
        <is>
          <t>retroalimentacao</t>
        </is>
      </c>
      <c r="C134" s="14">
        <f>IFERROR(IF(INDEX('01_Formulario_A00'!$D:$D,MATCH("D01-DOC-MRE-001.LOOPS.RETROALIMENTACAO",'01_Formulario_A00'!$A:$A,0))="","— (a preencher em 01_Formulario_A00)",INDEX('01_Formulario_A00'!$D:$D,MATCH("D01-DOC-MRE-001.LOOPS.RETROALIMENTACAO",'01_Formulario_A00'!$A:$A,0))),"— (a preencher em 01_Formulario_A00)")</f>
        <v/>
      </c>
    </row>
    <row r="135">
      <c r="A135" s="13" t="inlineStr">
        <is>
          <t>D01-DOC-MRE-001.RISKS.FALHAS_DE_INTEGRACAO</t>
        </is>
      </c>
      <c r="B135" s="2" t="inlineStr">
        <is>
          <t>falhas_de_integracao</t>
        </is>
      </c>
      <c r="C135" s="14">
        <f>IFERROR(IF(INDEX('01_Formulario_A00'!$D:$D,MATCH("D01-DOC-MRE-001.RISKS.FALHAS_DE_INTEGRACAO",'01_Formulario_A00'!$A:$A,0))="","— (a preencher em 01_Formulario_A00)",INDEX('01_Formulario_A00'!$D:$D,MATCH("D01-DOC-MRE-001.RISKS.FALHAS_DE_INTEGRACAO",'01_Formulario_A00'!$A:$A,0))),"— (a preencher em 01_Formulario_A00)")</f>
        <v/>
      </c>
    </row>
    <row r="136">
      <c r="A136" s="13" t="inlineStr">
        <is>
          <t>D01-DOC-MRE-001.RISKS.PONTOS_UNICOS_DE_FALHA</t>
        </is>
      </c>
      <c r="B136" s="2" t="inlineStr">
        <is>
          <t>pontos_unicos_de_falha</t>
        </is>
      </c>
      <c r="C136" s="14">
        <f>IFERROR(IF(INDEX('01_Formulario_A00'!$D:$D,MATCH("D01-DOC-MRE-001.RISKS.PONTOS_UNICOS_DE_FALHA",'01_Formulario_A00'!$A:$A,0))="","— (a preencher em 01_Formulario_A00)",INDEX('01_Formulario_A00'!$D:$D,MATCH("D01-DOC-MRE-001.RISKS.PONTOS_UNICOS_DE_FALHA",'01_Formulario_A00'!$A:$A,0))),"— (a preencher em 01_Formulario_A00)")</f>
        <v/>
      </c>
    </row>
    <row r="137">
      <c r="A137" s="13" t="inlineStr">
        <is>
          <t>D02-DOC-DGRC-001.GOVERNANCE.ESTRUTURA_JURIDICA</t>
        </is>
      </c>
      <c r="B137" s="2" t="inlineStr">
        <is>
          <t>estrutura_juridica</t>
        </is>
      </c>
      <c r="C137" s="14">
        <f>IFERROR(IF(INDEX('01_Formulario_A00'!$D:$D,MATCH("D02-DOC-DGRC-001.GOVERNANCE.ESTRUTURA_JURIDICA",'01_Formulario_A00'!$A:$A,0))="","— (a preencher em 01_Formulario_A00)",INDEX('01_Formulario_A00'!$D:$D,MATCH("D02-DOC-DGRC-001.GOVERNANCE.ESTRUTURA_JURIDICA",'01_Formulario_A00'!$A:$A,0))),"— (a preencher em 01_Formulario_A00)")</f>
        <v/>
      </c>
    </row>
    <row r="138">
      <c r="A138" s="13" t="inlineStr">
        <is>
          <t>D02-DOC-DGRC-001.GOVERNANCE.PAPEIS</t>
        </is>
      </c>
      <c r="B138" s="2" t="inlineStr">
        <is>
          <t>papeis</t>
        </is>
      </c>
      <c r="C138" s="14">
        <f>IFERROR(IF(INDEX('01_Formulario_A00'!$D:$D,MATCH("D02-DOC-DGRC-001.GOVERNANCE.PAPEIS",'01_Formulario_A00'!$A:$A,0))="","— (a preencher em 01_Formulario_A00)",INDEX('01_Formulario_A00'!$D:$D,MATCH("D02-DOC-DGRC-001.GOVERNANCE.PAPEIS",'01_Formulario_A00'!$A:$A,0))),"— (a preencher em 01_Formulario_A00)")</f>
        <v/>
      </c>
    </row>
    <row r="139">
      <c r="A139" s="13" t="inlineStr">
        <is>
          <t>D02-DOC-DGRC-001.GOVERNANCE.AUTORIDADES</t>
        </is>
      </c>
      <c r="B139" s="2" t="inlineStr">
        <is>
          <t>autoridades</t>
        </is>
      </c>
      <c r="C139" s="14">
        <f>IFERROR(IF(INDEX('01_Formulario_A00'!$D:$D,MATCH("D02-DOC-DGRC-001.GOVERNANCE.AUTORIDADES",'01_Formulario_A00'!$A:$A,0))="","— (a preencher em 01_Formulario_A00)",INDEX('01_Formulario_A00'!$D:$D,MATCH("D02-DOC-DGRC-001.GOVERNANCE.AUTORIDADES",'01_Formulario_A00'!$A:$A,0))),"— (a preencher em 01_Formulario_A00)")</f>
        <v/>
      </c>
    </row>
    <row r="140">
      <c r="A140" s="13" t="inlineStr">
        <is>
          <t>D02-DOC-DGRC-001.GOVERNANCE.POLITICAS</t>
        </is>
      </c>
      <c r="B140" s="2" t="inlineStr">
        <is>
          <t>politicas</t>
        </is>
      </c>
      <c r="C140" s="14">
        <f>IFERROR(IF(INDEX('01_Formulario_A00'!$D:$D,MATCH("D02-DOC-DGRC-001.GOVERNANCE.POLITICAS",'01_Formulario_A00'!$A:$A,0))="","— (a preencher em 01_Formulario_A00)",INDEX('01_Formulario_A00'!$D:$D,MATCH("D02-DOC-DGRC-001.GOVERNANCE.POLITICAS",'01_Formulario_A00'!$A:$A,0))),"— (a preencher em 01_Formulario_A00)")</f>
        <v/>
      </c>
    </row>
    <row r="141">
      <c r="A141" s="13" t="inlineStr">
        <is>
          <t>D02-DOC-DGRC-001.OBLIGATIONS.LEIS_APLICAVEIS</t>
        </is>
      </c>
      <c r="B141" s="2" t="inlineStr">
        <is>
          <t>leis_aplicaveis</t>
        </is>
      </c>
      <c r="C141" s="14">
        <f>IFERROR(IF(INDEX('01_Formulario_A00'!$D:$D,MATCH("D02-DOC-DGRC-001.OBLIGATIONS.LEIS_APLICAVEIS",'01_Formulario_A00'!$A:$A,0))="","— (a preencher em 01_Formulario_A00)",INDEX('01_Formulario_A00'!$D:$D,MATCH("D02-DOC-DGRC-001.OBLIGATIONS.LEIS_APLICAVEIS",'01_Formulario_A00'!$A:$A,0))),"— (a preencher em 01_Formulario_A00)")</f>
        <v/>
      </c>
    </row>
    <row r="142">
      <c r="A142" s="13" t="inlineStr">
        <is>
          <t>D02-DOC-DGRC-001.OBLIGATIONS.REGULAMENTOS</t>
        </is>
      </c>
      <c r="B142" s="2" t="inlineStr">
        <is>
          <t>regulamentos</t>
        </is>
      </c>
      <c r="C142" s="14">
        <f>IFERROR(IF(INDEX('01_Formulario_A00'!$D:$D,MATCH("D02-DOC-DGRC-001.OBLIGATIONS.REGULAMENTOS",'01_Formulario_A00'!$A:$A,0))="","— (a preencher em 01_Formulario_A00)",INDEX('01_Formulario_A00'!$D:$D,MATCH("D02-DOC-DGRC-001.OBLIGATIONS.REGULAMENTOS",'01_Formulario_A00'!$A:$A,0))),"— (a preencher em 01_Formulario_A00)")</f>
        <v/>
      </c>
    </row>
    <row r="143">
      <c r="A143" s="13" t="inlineStr">
        <is>
          <t>D02-DOC-DGRC-001.OBLIGATIONS.OBRIGACOES</t>
        </is>
      </c>
      <c r="B143" s="2" t="inlineStr">
        <is>
          <t>obrigacoes</t>
        </is>
      </c>
      <c r="C143" s="14">
        <f>IFERROR(IF(INDEX('01_Formulario_A00'!$D:$D,MATCH("D02-DOC-DGRC-001.OBLIGATIONS.OBRIGACOES",'01_Formulario_A00'!$A:$A,0))="","— (a preencher em 01_Formulario_A00)",INDEX('01_Formulario_A00'!$D:$D,MATCH("D02-DOC-DGRC-001.OBLIGATIONS.OBRIGACOES",'01_Formulario_A00'!$A:$A,0))),"— (a preencher em 01_Formulario_A00)")</f>
        <v/>
      </c>
    </row>
    <row r="144">
      <c r="A144" s="13" t="inlineStr">
        <is>
          <t>D02-DOC-DGRC-001.OBLIGATIONS.LICENCAS</t>
        </is>
      </c>
      <c r="B144" s="2" t="inlineStr">
        <is>
          <t>licencas</t>
        </is>
      </c>
      <c r="C144" s="14">
        <f>IFERROR(IF(INDEX('01_Formulario_A00'!$D:$D,MATCH("D02-DOC-DGRC-001.OBLIGATIONS.LICENCAS",'01_Formulario_A00'!$A:$A,0))="","— (a preencher em 01_Formulario_A00)",INDEX('01_Formulario_A00'!$D:$D,MATCH("D02-DOC-DGRC-001.OBLIGATIONS.LICENCAS",'01_Formulario_A00'!$A:$A,0))),"— (a preencher em 01_Formulario_A00)")</f>
        <v/>
      </c>
    </row>
    <row r="145">
      <c r="A145" s="13" t="inlineStr">
        <is>
          <t>D02-DOC-DGRC-001.CONTRACTS.CONTRATOS_EXISTENTES</t>
        </is>
      </c>
      <c r="B145" s="2" t="inlineStr">
        <is>
          <t>contratos_existentes</t>
        </is>
      </c>
      <c r="C145" s="14">
        <f>IFERROR(IF(INDEX('01_Formulario_A00'!$D:$D,MATCH("D02-DOC-DGRC-001.CONTRACTS.CONTRATOS_EXISTENTES",'01_Formulario_A00'!$A:$A,0))="","— (a preencher em 01_Formulario_A00)",INDEX('01_Formulario_A00'!$D:$D,MATCH("D02-DOC-DGRC-001.CONTRACTS.CONTRATOS_EXISTENTES",'01_Formulario_A00'!$A:$A,0))),"— (a preencher em 01_Formulario_A00)")</f>
        <v/>
      </c>
    </row>
    <row r="146">
      <c r="A146" s="13" t="inlineStr">
        <is>
          <t>D02-DOC-DGRC-001.CONTRACTS.CONTRATOS_NECESSARIOS</t>
        </is>
      </c>
      <c r="B146" s="2" t="inlineStr">
        <is>
          <t>contratos_necessarios</t>
        </is>
      </c>
      <c r="C146" s="14">
        <f>IFERROR(IF(INDEX('01_Formulario_A00'!$D:$D,MATCH("D02-DOC-DGRC-001.CONTRACTS.CONTRATOS_NECESSARIOS",'01_Formulario_A00'!$A:$A,0))="","— (a preencher em 01_Formulario_A00)",INDEX('01_Formulario_A00'!$D:$D,MATCH("D02-DOC-DGRC-001.CONTRACTS.CONTRATOS_NECESSARIOS",'01_Formulario_A00'!$A:$A,0))),"— (a preencher em 01_Formulario_A00)")</f>
        <v/>
      </c>
    </row>
    <row r="147">
      <c r="A147" s="13" t="inlineStr">
        <is>
          <t>D02-DOC-DGRC-001.CONTRACTS.OBRIGACOES_CONTRATUAIS</t>
        </is>
      </c>
      <c r="B147" s="2" t="inlineStr">
        <is>
          <t>obrigacoes_contratuais</t>
        </is>
      </c>
      <c r="C147" s="14">
        <f>IFERROR(IF(INDEX('01_Formulario_A00'!$D:$D,MATCH("D02-DOC-DGRC-001.CONTRACTS.OBRIGACOES_CONTRATUAIS",'01_Formulario_A00'!$A:$A,0))="","— (a preencher em 01_Formulario_A00)",INDEX('01_Formulario_A00'!$D:$D,MATCH("D02-DOC-DGRC-001.CONTRACTS.OBRIGACOES_CONTRATUAIS",'01_Formulario_A00'!$A:$A,0))),"— (a preencher em 01_Formulario_A00)")</f>
        <v/>
      </c>
    </row>
    <row r="148">
      <c r="A148" s="13" t="inlineStr">
        <is>
          <t>D02-DOC-DGRC-001.PRIVACY.DADOS_PESSOAIS</t>
        </is>
      </c>
      <c r="B148" s="2" t="inlineStr">
        <is>
          <t>dados_pessoais</t>
        </is>
      </c>
      <c r="C148" s="14">
        <f>IFERROR(IF(INDEX('01_Formulario_A00'!$D:$D,MATCH("D02-DOC-DGRC-001.PRIVACY.DADOS_PESSOAIS",'01_Formulario_A00'!$A:$A,0))="","— (a preencher em 01_Formulario_A00)",INDEX('01_Formulario_A00'!$D:$D,MATCH("D02-DOC-DGRC-001.PRIVACY.DADOS_PESSOAIS",'01_Formulario_A00'!$A:$A,0))),"— (a preencher em 01_Formulario_A00)")</f>
        <v/>
      </c>
    </row>
    <row r="149">
      <c r="A149" s="13" t="inlineStr">
        <is>
          <t>D02-DOC-DGRC-001.PRIVACY.FINALIDADES</t>
        </is>
      </c>
      <c r="B149" s="2" t="inlineStr">
        <is>
          <t>finalidades</t>
        </is>
      </c>
      <c r="C149" s="14">
        <f>IFERROR(IF(INDEX('01_Formulario_A00'!$D:$D,MATCH("D02-DOC-DGRC-001.PRIVACY.FINALIDADES",'01_Formulario_A00'!$A:$A,0))="","— (a preencher em 01_Formulario_A00)",INDEX('01_Formulario_A00'!$D:$D,MATCH("D02-DOC-DGRC-001.PRIVACY.FINALIDADES",'01_Formulario_A00'!$A:$A,0))),"— (a preencher em 01_Formulario_A00)")</f>
        <v/>
      </c>
    </row>
    <row r="150">
      <c r="A150" s="13" t="inlineStr">
        <is>
          <t>D02-DOC-DGRC-001.PRIVACY.BASES_LEGAIS</t>
        </is>
      </c>
      <c r="B150" s="2" t="inlineStr">
        <is>
          <t>bases_legais</t>
        </is>
      </c>
      <c r="C150" s="14">
        <f>IFERROR(IF(INDEX('01_Formulario_A00'!$D:$D,MATCH("D02-DOC-DGRC-001.PRIVACY.BASES_LEGAIS",'01_Formulario_A00'!$A:$A,0))="","— (a preencher em 01_Formulario_A00)",INDEX('01_Formulario_A00'!$D:$D,MATCH("D02-DOC-DGRC-001.PRIVACY.BASES_LEGAIS",'01_Formulario_A00'!$A:$A,0))),"— (a preencher em 01_Formulario_A00)")</f>
        <v/>
      </c>
    </row>
    <row r="151">
      <c r="A151" s="13" t="inlineStr">
        <is>
          <t>D02-DOC-DGRC-001.PRIVACY.DIREITOS</t>
        </is>
      </c>
      <c r="B151" s="2" t="inlineStr">
        <is>
          <t>direitos</t>
        </is>
      </c>
      <c r="C151" s="14">
        <f>IFERROR(IF(INDEX('01_Formulario_A00'!$D:$D,MATCH("D02-DOC-DGRC-001.PRIVACY.DIREITOS",'01_Formulario_A00'!$A:$A,0))="","— (a preencher em 01_Formulario_A00)",INDEX('01_Formulario_A00'!$D:$D,MATCH("D02-DOC-DGRC-001.PRIVACY.DIREITOS",'01_Formulario_A00'!$A:$A,0))),"— (a preencher em 01_Formulario_A00)")</f>
        <v/>
      </c>
    </row>
    <row r="152">
      <c r="A152" s="13" t="inlineStr">
        <is>
          <t>D02-DOC-DGRC-001.PRIVACY.RETENCAO</t>
        </is>
      </c>
      <c r="B152" s="2" t="inlineStr">
        <is>
          <t>retencao</t>
        </is>
      </c>
      <c r="C152" s="14">
        <f>IFERROR(IF(INDEX('01_Formulario_A00'!$D:$D,MATCH("D02-DOC-DGRC-001.PRIVACY.RETENCAO",'01_Formulario_A00'!$A:$A,0))="","— (a preencher em 01_Formulario_A00)",INDEX('01_Formulario_A00'!$D:$D,MATCH("D02-DOC-DGRC-001.PRIVACY.RETENCAO",'01_Formulario_A00'!$A:$A,0))),"— (a preencher em 01_Formulario_A00)")</f>
        <v/>
      </c>
    </row>
    <row r="153">
      <c r="A153" s="13" t="inlineStr">
        <is>
          <t>D02-DOC-DGRC-001.INTELLECTUAL_PROPERTY.MARCAS</t>
        </is>
      </c>
      <c r="B153" s="2" t="inlineStr">
        <is>
          <t>marcas</t>
        </is>
      </c>
      <c r="C153" s="14">
        <f>IFERROR(IF(INDEX('01_Formulario_A00'!$D:$D,MATCH("D02-DOC-DGRC-001.INTELLECTUAL_PROPERTY.MARCAS",'01_Formulario_A00'!$A:$A,0))="","— (a preencher em 01_Formulario_A00)",INDEX('01_Formulario_A00'!$D:$D,MATCH("D02-DOC-DGRC-001.INTELLECTUAL_PROPERTY.MARCAS",'01_Formulario_A00'!$A:$A,0))),"— (a preencher em 01_Formulario_A00)")</f>
        <v/>
      </c>
    </row>
    <row r="154">
      <c r="A154" s="13" t="inlineStr">
        <is>
          <t>D02-DOC-DGRC-001.INTELLECTUAL_PROPERTY.DIREITOS_AUTORAIS</t>
        </is>
      </c>
      <c r="B154" s="2" t="inlineStr">
        <is>
          <t>direitos_autorais</t>
        </is>
      </c>
      <c r="C154" s="14">
        <f>IFERROR(IF(INDEX('01_Formulario_A00'!$D:$D,MATCH("D02-DOC-DGRC-001.INTELLECTUAL_PROPERTY.DIREITOS_AUTORAIS",'01_Formulario_A00'!$A:$A,0))="","— (a preencher em 01_Formulario_A00)",INDEX('01_Formulario_A00'!$D:$D,MATCH("D02-DOC-DGRC-001.INTELLECTUAL_PROPERTY.DIREITOS_AUTORAIS",'01_Formulario_A00'!$A:$A,0))),"— (a preencher em 01_Formulario_A00)")</f>
        <v/>
      </c>
    </row>
    <row r="155">
      <c r="A155" s="13" t="inlineStr">
        <is>
          <t>D02-DOC-DGRC-001.INTELLECTUAL_PROPERTY.SOFTWARE</t>
        </is>
      </c>
      <c r="B155" s="2" t="inlineStr">
        <is>
          <t>software</t>
        </is>
      </c>
      <c r="C155" s="14">
        <f>IFERROR(IF(INDEX('01_Formulario_A00'!$D:$D,MATCH("D02-DOC-DGRC-001.INTELLECTUAL_PROPERTY.SOFTWARE",'01_Formulario_A00'!$A:$A,0))="","— (a preencher em 01_Formulario_A00)",INDEX('01_Formulario_A00'!$D:$D,MATCH("D02-DOC-DGRC-001.INTELLECTUAL_PROPERTY.SOFTWARE",'01_Formulario_A00'!$A:$A,0))),"— (a preencher em 01_Formulario_A00)")</f>
        <v/>
      </c>
    </row>
    <row r="156">
      <c r="A156" s="13" t="inlineStr">
        <is>
          <t>D02-DOC-DGRC-001.INTELLECTUAL_PROPERTY.LICENCAS</t>
        </is>
      </c>
      <c r="B156" s="2" t="inlineStr">
        <is>
          <t>licencas</t>
        </is>
      </c>
      <c r="C156" s="14">
        <f>IFERROR(IF(INDEX('01_Formulario_A00'!$D:$D,MATCH("D02-DOC-DGRC-001.INTELLECTUAL_PROPERTY.LICENCAS",'01_Formulario_A00'!$A:$A,0))="","— (a preencher em 01_Formulario_A00)",INDEX('01_Formulario_A00'!$D:$D,MATCH("D02-DOC-DGRC-001.INTELLECTUAL_PROPERTY.LICENCAS",'01_Formulario_A00'!$A:$A,0))),"— (a preencher em 01_Formulario_A00)")</f>
        <v/>
      </c>
    </row>
    <row r="157">
      <c r="A157" s="13" t="inlineStr">
        <is>
          <t>D02-DOC-DGRC-001.RISK_MANAGEMENT.RISCOS</t>
        </is>
      </c>
      <c r="B157" s="2" t="inlineStr">
        <is>
          <t>riscos</t>
        </is>
      </c>
      <c r="C157" s="14">
        <f>IFERROR(IF(INDEX('01_Formulario_A00'!$D:$D,MATCH("D02-DOC-DGRC-001.RISK_MANAGEMENT.RISCOS",'01_Formulario_A00'!$A:$A,0))="","— (a preencher em 01_Formulario_A00)",INDEX('01_Formulario_A00'!$D:$D,MATCH("D02-DOC-DGRC-001.RISK_MANAGEMENT.RISCOS",'01_Formulario_A00'!$A:$A,0))),"— (a preencher em 01_Formulario_A00)")</f>
        <v/>
      </c>
    </row>
    <row r="158">
      <c r="A158" s="13" t="inlineStr">
        <is>
          <t>D02-DOC-DGRC-001.RISK_MANAGEMENT.CONTROLES</t>
        </is>
      </c>
      <c r="B158" s="2" t="inlineStr">
        <is>
          <t>controles</t>
        </is>
      </c>
      <c r="C158" s="14">
        <f>IFERROR(IF(INDEX('01_Formulario_A00'!$D:$D,MATCH("D02-DOC-DGRC-001.RISK_MANAGEMENT.CONTROLES",'01_Formulario_A00'!$A:$A,0))="","— (a preencher em 01_Formulario_A00)",INDEX('01_Formulario_A00'!$D:$D,MATCH("D02-DOC-DGRC-001.RISK_MANAGEMENT.CONTROLES",'01_Formulario_A00'!$A:$A,0))),"— (a preencher em 01_Formulario_A00)")</f>
        <v/>
      </c>
    </row>
    <row r="159">
      <c r="A159" s="13" t="inlineStr">
        <is>
          <t>D02-DOC-DGRC-001.RISK_MANAGEMENT.OWNERS</t>
        </is>
      </c>
      <c r="B159" s="2" t="inlineStr">
        <is>
          <t>owners</t>
        </is>
      </c>
      <c r="C159" s="14">
        <f>IFERROR(IF(INDEX('01_Formulario_A00'!$D:$D,MATCH("D02-DOC-DGRC-001.RISK_MANAGEMENT.OWNERS",'01_Formulario_A00'!$A:$A,0))="","— (a preencher em 01_Formulario_A00)",INDEX('01_Formulario_A00'!$D:$D,MATCH("D02-DOC-DGRC-001.RISK_MANAGEMENT.OWNERS",'01_Formulario_A00'!$A:$A,0))),"— (a preencher em 01_Formulario_A00)")</f>
        <v/>
      </c>
    </row>
    <row r="160">
      <c r="A160" s="13" t="inlineStr">
        <is>
          <t>D02-DOC-DGRC-001.RISK_MANAGEMENT.RESPOSTA</t>
        </is>
      </c>
      <c r="B160" s="2" t="inlineStr">
        <is>
          <t>resposta</t>
        </is>
      </c>
      <c r="C160" s="14">
        <f>IFERROR(IF(INDEX('01_Formulario_A00'!$D:$D,MATCH("D02-DOC-DGRC-001.RISK_MANAGEMENT.RESPOSTA",'01_Formulario_A00'!$A:$A,0))="","— (a preencher em 01_Formulario_A00)",INDEX('01_Formulario_A00'!$D:$D,MATCH("D02-DOC-DGRC-001.RISK_MANAGEMENT.RESPOSTA",'01_Formulario_A00'!$A:$A,0))),"— (a preencher em 01_Formulario_A00)")</f>
        <v/>
      </c>
    </row>
    <row r="161">
      <c r="A161" s="13" t="inlineStr">
        <is>
          <t>D02-DOC-DGRC-001.COMPLIANCE.CONTROLES</t>
        </is>
      </c>
      <c r="B161" s="2" t="inlineStr">
        <is>
          <t>controles</t>
        </is>
      </c>
      <c r="C161" s="14">
        <f>IFERROR(IF(INDEX('01_Formulario_A00'!$D:$D,MATCH("D02-DOC-DGRC-001.COMPLIANCE.CONTROLES",'01_Formulario_A00'!$A:$A,0))="","— (a preencher em 01_Formulario_A00)",INDEX('01_Formulario_A00'!$D:$D,MATCH("D02-DOC-DGRC-001.COMPLIANCE.CONTROLES",'01_Formulario_A00'!$A:$A,0))),"— (a preencher em 01_Formulario_A00)")</f>
        <v/>
      </c>
    </row>
    <row r="162">
      <c r="A162" s="13" t="inlineStr">
        <is>
          <t>D02-DOC-DGRC-001.COMPLIANCE.AUDITORIAS</t>
        </is>
      </c>
      <c r="B162" s="2" t="inlineStr">
        <is>
          <t>auditorias</t>
        </is>
      </c>
      <c r="C162" s="14">
        <f>IFERROR(IF(INDEX('01_Formulario_A00'!$D:$D,MATCH("D02-DOC-DGRC-001.COMPLIANCE.AUDITORIAS",'01_Formulario_A00'!$A:$A,0))="","— (a preencher em 01_Formulario_A00)",INDEX('01_Formulario_A00'!$D:$D,MATCH("D02-DOC-DGRC-001.COMPLIANCE.AUDITORIAS",'01_Formulario_A00'!$A:$A,0))),"— (a preencher em 01_Formulario_A00)")</f>
        <v/>
      </c>
    </row>
    <row r="163">
      <c r="A163" s="13" t="inlineStr">
        <is>
          <t>D02-DOC-DGRC-001.COMPLIANCE.EVIDENCIAS</t>
        </is>
      </c>
      <c r="B163" s="2" t="inlineStr">
        <is>
          <t>evidencias</t>
        </is>
      </c>
      <c r="C163" s="14">
        <f>IFERROR(IF(INDEX('01_Formulario_A00'!$D:$D,MATCH("D02-DOC-DGRC-001.COMPLIANCE.EVIDENCIAS",'01_Formulario_A00'!$A:$A,0))="","— (a preencher em 01_Formulario_A00)",INDEX('01_Formulario_A00'!$D:$D,MATCH("D02-DOC-DGRC-001.COMPLIANCE.EVIDENCIAS",'01_Formulario_A00'!$A:$A,0))),"— (a preencher em 01_Formulario_A00)")</f>
        <v/>
      </c>
    </row>
    <row r="164">
      <c r="A164" s="13" t="inlineStr">
        <is>
          <t>D02-DOC-DGRC-001.COMPLIANCE.PERIODICIDADE</t>
        </is>
      </c>
      <c r="B164" s="2" t="inlineStr">
        <is>
          <t>periodicidade</t>
        </is>
      </c>
      <c r="C164" s="14">
        <f>IFERROR(IF(INDEX('01_Formulario_A00'!$D:$D,MATCH("D02-DOC-DGRC-001.COMPLIANCE.PERIODICIDADE",'01_Formulario_A00'!$A:$A,0))="","— (a preencher em 01_Formulario_A00)",INDEX('01_Formulario_A00'!$D:$D,MATCH("D02-DOC-DGRC-001.COMPLIANCE.PERIODICIDADE",'01_Formulario_A00'!$A:$A,0))),"— (a preencher em 01_Formulario_A00)")</f>
        <v/>
      </c>
    </row>
    <row r="165">
      <c r="A165" s="13" t="inlineStr">
        <is>
          <t>D02-DOC-DGRC-001.INCIDENTS.EVENTOS_REPORTAVEIS</t>
        </is>
      </c>
      <c r="B165" s="2" t="inlineStr">
        <is>
          <t>eventos_reportaveis</t>
        </is>
      </c>
      <c r="C165" s="14">
        <f>IFERROR(IF(INDEX('01_Formulario_A00'!$D:$D,MATCH("D02-DOC-DGRC-001.INCIDENTS.EVENTOS_REPORTAVEIS",'01_Formulario_A00'!$A:$A,0))="","— (a preencher em 01_Formulario_A00)",INDEX('01_Formulario_A00'!$D:$D,MATCH("D02-DOC-DGRC-001.INCIDENTS.EVENTOS_REPORTAVEIS",'01_Formulario_A00'!$A:$A,0))),"— (a preencher em 01_Formulario_A00)")</f>
        <v/>
      </c>
    </row>
    <row r="166">
      <c r="A166" s="13" t="inlineStr">
        <is>
          <t>D02-DOC-DGRC-001.INCIDENTS.RESPOSTA</t>
        </is>
      </c>
      <c r="B166" s="2" t="inlineStr">
        <is>
          <t>resposta</t>
        </is>
      </c>
      <c r="C166" s="14">
        <f>IFERROR(IF(INDEX('01_Formulario_A00'!$D:$D,MATCH("D02-DOC-DGRC-001.INCIDENTS.RESPOSTA",'01_Formulario_A00'!$A:$A,0))="","— (a preencher em 01_Formulario_A00)",INDEX('01_Formulario_A00'!$D:$D,MATCH("D02-DOC-DGRC-001.INCIDENTS.RESPOSTA",'01_Formulario_A00'!$A:$A,0))),"— (a preencher em 01_Formulario_A00)")</f>
        <v/>
      </c>
    </row>
    <row r="167">
      <c r="A167" s="13" t="inlineStr">
        <is>
          <t>D02-DOC-DGRC-001.INCIDENTS.ESCALACAO</t>
        </is>
      </c>
      <c r="B167" s="2" t="inlineStr">
        <is>
          <t>escalacao</t>
        </is>
      </c>
      <c r="C167" s="14">
        <f>IFERROR(IF(INDEX('01_Formulario_A00'!$D:$D,MATCH("D02-DOC-DGRC-001.INCIDENTS.ESCALACAO",'01_Formulario_A00'!$A:$A,0))="","— (a preencher em 01_Formulario_A00)",INDEX('01_Formulario_A00'!$D:$D,MATCH("D02-DOC-DGRC-001.INCIDENTS.ESCALACAO",'01_Formulario_A00'!$A:$A,0))),"— (a preencher em 01_Formulario_A00)")</f>
        <v/>
      </c>
    </row>
    <row r="168">
      <c r="A168" s="13" t="inlineStr">
        <is>
          <t>D02-DOC-DGRC-001.APPROVALS.APROVADORES</t>
        </is>
      </c>
      <c r="B168" s="2" t="inlineStr">
        <is>
          <t>aprovadores</t>
        </is>
      </c>
      <c r="C168" s="14">
        <f>IFERROR(IF(INDEX('01_Formulario_A00'!$D:$D,MATCH("D02-DOC-DGRC-001.APPROVALS.APROVADORES",'01_Formulario_A00'!$A:$A,0))="","— (a preencher em 01_Formulario_A00)",INDEX('01_Formulario_A00'!$D:$D,MATCH("D02-DOC-DGRC-001.APPROVALS.APROVADORES",'01_Formulario_A00'!$A:$A,0))),"— (a preencher em 01_Formulario_A00)")</f>
        <v/>
      </c>
    </row>
    <row r="169">
      <c r="A169" s="13" t="inlineStr">
        <is>
          <t>D02-DOC-DGRC-001.APPROVALS.GATES_JURIDICOS</t>
        </is>
      </c>
      <c r="B169" s="2" t="inlineStr">
        <is>
          <t>gates_juridicos</t>
        </is>
      </c>
      <c r="C169" s="14">
        <f>IFERROR(IF(INDEX('01_Formulario_A00'!$D:$D,MATCH("D02-DOC-DGRC-001.APPROVALS.GATES_JURIDICOS",'01_Formulario_A00'!$A:$A,0))="","— (a preencher em 01_Formulario_A00)",INDEX('01_Formulario_A00'!$D:$D,MATCH("D02-DOC-DGRC-001.APPROVALS.GATES_JURIDICOS",'01_Formulario_A00'!$A:$A,0))),"— (a preencher em 01_Formulario_A00)")</f>
        <v/>
      </c>
    </row>
    <row r="170">
      <c r="A170" s="13" t="inlineStr">
        <is>
          <t>D02-DOC-MRC-001.SCHEMA.RISK_ID</t>
        </is>
      </c>
      <c r="B170" s="2" t="inlineStr">
        <is>
          <t>risk_id</t>
        </is>
      </c>
      <c r="C170" s="14">
        <f>IFERROR(IF(INDEX('01_Formulario_A00'!$D:$D,MATCH("D02-DOC-MRC-001.SCHEMA.RISK_ID",'01_Formulario_A00'!$A:$A,0))="","— (a preencher em 01_Formulario_A00)",INDEX('01_Formulario_A00'!$D:$D,MATCH("D02-DOC-MRC-001.SCHEMA.RISK_ID",'01_Formulario_A00'!$A:$A,0))),"— (a preencher em 01_Formulario_A00)")</f>
        <v/>
      </c>
    </row>
    <row r="171">
      <c r="A171" s="13" t="inlineStr">
        <is>
          <t>D02-DOC-MRC-001.SCHEMA.CATEGORIA</t>
        </is>
      </c>
      <c r="B171" s="2" t="inlineStr">
        <is>
          <t>categoria</t>
        </is>
      </c>
      <c r="C171" s="14">
        <f>IFERROR(IF(INDEX('01_Formulario_A00'!$D:$D,MATCH("D02-DOC-MRC-001.SCHEMA.CATEGORIA",'01_Formulario_A00'!$A:$A,0))="","— (a preencher em 01_Formulario_A00)",INDEX('01_Formulario_A00'!$D:$D,MATCH("D02-DOC-MRC-001.SCHEMA.CATEGORIA",'01_Formulario_A00'!$A:$A,0))),"— (a preencher em 01_Formulario_A00)")</f>
        <v/>
      </c>
    </row>
    <row r="172">
      <c r="A172" s="13" t="inlineStr">
        <is>
          <t>D02-DOC-MRC-001.SCHEMA.ATIVO_PROCESSO_AFETADO</t>
        </is>
      </c>
      <c r="B172" s="2" t="inlineStr">
        <is>
          <t>ativo_processo_afetado</t>
        </is>
      </c>
      <c r="C172" s="14">
        <f>IFERROR(IF(INDEX('01_Formulario_A00'!$D:$D,MATCH("D02-DOC-MRC-001.SCHEMA.ATIVO_PROCESSO_AFETADO",'01_Formulario_A00'!$A:$A,0))="","— (a preencher em 01_Formulario_A00)",INDEX('01_Formulario_A00'!$D:$D,MATCH("D02-DOC-MRC-001.SCHEMA.ATIVO_PROCESSO_AFETADO",'01_Formulario_A00'!$A:$A,0))),"— (a preencher em 01_Formulario_A00)")</f>
        <v/>
      </c>
    </row>
    <row r="173">
      <c r="A173" s="13" t="inlineStr">
        <is>
          <t>D02-DOC-MRC-001.SCHEMA.EVENTO_DE_RISCO</t>
        </is>
      </c>
      <c r="B173" s="2" t="inlineStr">
        <is>
          <t>evento_de_risco</t>
        </is>
      </c>
      <c r="C173" s="14">
        <f>IFERROR(IF(INDEX('01_Formulario_A00'!$D:$D,MATCH("D02-DOC-MRC-001.SCHEMA.EVENTO_DE_RISCO",'01_Formulario_A00'!$A:$A,0))="","— (a preencher em 01_Formulario_A00)",INDEX('01_Formulario_A00'!$D:$D,MATCH("D02-DOC-MRC-001.SCHEMA.EVENTO_DE_RISCO",'01_Formulario_A00'!$A:$A,0))),"— (a preencher em 01_Formulario_A00)")</f>
        <v/>
      </c>
    </row>
    <row r="174">
      <c r="A174" s="13" t="inlineStr">
        <is>
          <t>D02-DOC-MRC-001.SCHEMA.CAUSA</t>
        </is>
      </c>
      <c r="B174" s="2" t="inlineStr">
        <is>
          <t>causa</t>
        </is>
      </c>
      <c r="C174" s="14">
        <f>IFERROR(IF(INDEX('01_Formulario_A00'!$D:$D,MATCH("D02-DOC-MRC-001.SCHEMA.CAUSA",'01_Formulario_A00'!$A:$A,0))="","— (a preencher em 01_Formulario_A00)",INDEX('01_Formulario_A00'!$D:$D,MATCH("D02-DOC-MRC-001.SCHEMA.CAUSA",'01_Formulario_A00'!$A:$A,0))),"— (a preencher em 01_Formulario_A00)")</f>
        <v/>
      </c>
    </row>
    <row r="175">
      <c r="A175" s="13" t="inlineStr">
        <is>
          <t>D02-DOC-MRC-001.SCHEMA.IMPACTO</t>
        </is>
      </c>
      <c r="B175" s="2" t="inlineStr">
        <is>
          <t>impacto</t>
        </is>
      </c>
      <c r="C175" s="14">
        <f>IFERROR(IF(INDEX('01_Formulario_A00'!$D:$D,MATCH("D02-DOC-MRC-001.SCHEMA.IMPACTO",'01_Formulario_A00'!$A:$A,0))="","— (a preencher em 01_Formulario_A00)",INDEX('01_Formulario_A00'!$D:$D,MATCH("D02-DOC-MRC-001.SCHEMA.IMPACTO",'01_Formulario_A00'!$A:$A,0))),"— (a preencher em 01_Formulario_A00)")</f>
        <v/>
      </c>
    </row>
    <row r="176">
      <c r="A176" s="13" t="inlineStr">
        <is>
          <t>D02-DOC-MRC-001.SCHEMA.PROBABILIDADE</t>
        </is>
      </c>
      <c r="B176" s="2" t="inlineStr">
        <is>
          <t>probabilidade</t>
        </is>
      </c>
      <c r="C176" s="14">
        <f>IFERROR(IF(INDEX('01_Formulario_A00'!$D:$D,MATCH("D02-DOC-MRC-001.SCHEMA.PROBABILIDADE",'01_Formulario_A00'!$A:$A,0))="","— (a preencher em 01_Formulario_A00)",INDEX('01_Formulario_A00'!$D:$D,MATCH("D02-DOC-MRC-001.SCHEMA.PROBABILIDADE",'01_Formulario_A00'!$A:$A,0))),"— (a preencher em 01_Formulario_A00)")</f>
        <v/>
      </c>
    </row>
    <row r="177">
      <c r="A177" s="13" t="inlineStr">
        <is>
          <t>D02-DOC-MRC-001.SCHEMA.SEVERIDADE</t>
        </is>
      </c>
      <c r="B177" s="2" t="inlineStr">
        <is>
          <t>severidade</t>
        </is>
      </c>
      <c r="C177" s="14">
        <f>IFERROR(IF(INDEX('01_Formulario_A00'!$D:$D,MATCH("D02-DOC-MRC-001.SCHEMA.SEVERIDADE",'01_Formulario_A00'!$A:$A,0))="","— (a preencher em 01_Formulario_A00)",INDEX('01_Formulario_A00'!$D:$D,MATCH("D02-DOC-MRC-001.SCHEMA.SEVERIDADE",'01_Formulario_A00'!$A:$A,0))),"— (a preencher em 01_Formulario_A00)")</f>
        <v/>
      </c>
    </row>
    <row r="178">
      <c r="A178" s="13" t="inlineStr">
        <is>
          <t>D02-DOC-MRC-001.SCHEMA.RISCO_INERENTE</t>
        </is>
      </c>
      <c r="B178" s="2" t="inlineStr">
        <is>
          <t>risco_inerente</t>
        </is>
      </c>
      <c r="C178" s="14">
        <f>IFERROR(IF(INDEX('01_Formulario_A00'!$D:$D,MATCH("D02-DOC-MRC-001.SCHEMA.RISCO_INERENTE",'01_Formulario_A00'!$A:$A,0))="","— (a preencher em 01_Formulario_A00)",INDEX('01_Formulario_A00'!$D:$D,MATCH("D02-DOC-MRC-001.SCHEMA.RISCO_INERENTE",'01_Formulario_A00'!$A:$A,0))),"— (a preencher em 01_Formulario_A00)")</f>
        <v/>
      </c>
    </row>
    <row r="179">
      <c r="A179" s="13" t="inlineStr">
        <is>
          <t>D02-DOC-MRC-001.SCHEMA.CONTROLES_EXISTENTES</t>
        </is>
      </c>
      <c r="B179" s="2" t="inlineStr">
        <is>
          <t>controles_existentes</t>
        </is>
      </c>
      <c r="C179" s="14">
        <f>IFERROR(IF(INDEX('01_Formulario_A00'!$D:$D,MATCH("D02-DOC-MRC-001.SCHEMA.CONTROLES_EXISTENTES",'01_Formulario_A00'!$A:$A,0))="","— (a preencher em 01_Formulario_A00)",INDEX('01_Formulario_A00'!$D:$D,MATCH("D02-DOC-MRC-001.SCHEMA.CONTROLES_EXISTENTES",'01_Formulario_A00'!$A:$A,0))),"— (a preencher em 01_Formulario_A00)")</f>
        <v/>
      </c>
    </row>
    <row r="180">
      <c r="A180" s="13" t="inlineStr">
        <is>
          <t>D02-DOC-MRC-001.SCHEMA.EFETIVIDADE_CONTROLE</t>
        </is>
      </c>
      <c r="B180" s="2" t="inlineStr">
        <is>
          <t>efetividade_controle</t>
        </is>
      </c>
      <c r="C180" s="14">
        <f>IFERROR(IF(INDEX('01_Formulario_A00'!$D:$D,MATCH("D02-DOC-MRC-001.SCHEMA.EFETIVIDADE_CONTROLE",'01_Formulario_A00'!$A:$A,0))="","— (a preencher em 01_Formulario_A00)",INDEX('01_Formulario_A00'!$D:$D,MATCH("D02-DOC-MRC-001.SCHEMA.EFETIVIDADE_CONTROLE",'01_Formulario_A00'!$A:$A,0))),"— (a preencher em 01_Formulario_A00)")</f>
        <v/>
      </c>
    </row>
    <row r="181">
      <c r="A181" s="13" t="inlineStr">
        <is>
          <t>D02-DOC-MRC-001.SCHEMA.RISCO_RESIDUAL</t>
        </is>
      </c>
      <c r="B181" s="2" t="inlineStr">
        <is>
          <t>risco_residual</t>
        </is>
      </c>
      <c r="C181" s="14">
        <f>IFERROR(IF(INDEX('01_Formulario_A00'!$D:$D,MATCH("D02-DOC-MRC-001.SCHEMA.RISCO_RESIDUAL",'01_Formulario_A00'!$A:$A,0))="","— (a preencher em 01_Formulario_A00)",INDEX('01_Formulario_A00'!$D:$D,MATCH("D02-DOC-MRC-001.SCHEMA.RISCO_RESIDUAL",'01_Formulario_A00'!$A:$A,0))),"— (a preencher em 01_Formulario_A00)")</f>
        <v/>
      </c>
    </row>
    <row r="182">
      <c r="A182" s="13" t="inlineStr">
        <is>
          <t>D02-DOC-MRC-001.SCHEMA.RESPOSTA</t>
        </is>
      </c>
      <c r="B182" s="2" t="inlineStr">
        <is>
          <t>resposta</t>
        </is>
      </c>
      <c r="C182" s="14">
        <f>IFERROR(IF(INDEX('01_Formulario_A00'!$D:$D,MATCH("D02-DOC-MRC-001.SCHEMA.RESPOSTA",'01_Formulario_A00'!$A:$A,0))="","— (a preencher em 01_Formulario_A00)",INDEX('01_Formulario_A00'!$D:$D,MATCH("D02-DOC-MRC-001.SCHEMA.RESPOSTA",'01_Formulario_A00'!$A:$A,0))),"— (a preencher em 01_Formulario_A00)")</f>
        <v/>
      </c>
    </row>
    <row r="183">
      <c r="A183" s="13" t="inlineStr">
        <is>
          <t>D02-DOC-MRC-001.SCHEMA.OWNER</t>
        </is>
      </c>
      <c r="B183" s="2" t="inlineStr">
        <is>
          <t>owner</t>
        </is>
      </c>
      <c r="C183" s="14">
        <f>IFERROR(IF(INDEX('01_Formulario_A00'!$D:$D,MATCH("D02-DOC-MRC-001.SCHEMA.OWNER",'01_Formulario_A00'!$A:$A,0))="","— (a preencher em 01_Formulario_A00)",INDEX('01_Formulario_A00'!$D:$D,MATCH("D02-DOC-MRC-001.SCHEMA.OWNER",'01_Formulario_A00'!$A:$A,0))),"— (a preencher em 01_Formulario_A00)")</f>
        <v/>
      </c>
    </row>
    <row r="184">
      <c r="A184" s="13" t="inlineStr">
        <is>
          <t>D02-DOC-MRC-001.SCHEMA.TRIGGER</t>
        </is>
      </c>
      <c r="B184" s="2" t="inlineStr">
        <is>
          <t>trigger</t>
        </is>
      </c>
      <c r="C184" s="14">
        <f>IFERROR(IF(INDEX('01_Formulario_A00'!$D:$D,MATCH("D02-DOC-MRC-001.SCHEMA.TRIGGER",'01_Formulario_A00'!$A:$A,0))="","— (a preencher em 01_Formulario_A00)",INDEX('01_Formulario_A00'!$D:$D,MATCH("D02-DOC-MRC-001.SCHEMA.TRIGGER",'01_Formulario_A00'!$A:$A,0))),"— (a preencher em 01_Formulario_A00)")</f>
        <v/>
      </c>
    </row>
    <row r="185">
      <c r="A185" s="13" t="inlineStr">
        <is>
          <t>D02-DOC-MRC-001.SCHEMA.PRAZO</t>
        </is>
      </c>
      <c r="B185" s="2" t="inlineStr">
        <is>
          <t>prazo</t>
        </is>
      </c>
      <c r="C185" s="14">
        <f>IFERROR(IF(INDEX('01_Formulario_A00'!$D:$D,MATCH("D02-DOC-MRC-001.SCHEMA.PRAZO",'01_Formulario_A00'!$A:$A,0))="","— (a preencher em 01_Formulario_A00)",INDEX('01_Formulario_A00'!$D:$D,MATCH("D02-DOC-MRC-001.SCHEMA.PRAZO",'01_Formulario_A00'!$A:$A,0))),"— (a preencher em 01_Formulario_A00)")</f>
        <v/>
      </c>
    </row>
    <row r="186">
      <c r="A186" s="13" t="inlineStr">
        <is>
          <t>D02-DOC-MRC-001.SCHEMA.EVIDENCIA</t>
        </is>
      </c>
      <c r="B186" s="2" t="inlineStr">
        <is>
          <t>evidencia</t>
        </is>
      </c>
      <c r="C186" s="14">
        <f>IFERROR(IF(INDEX('01_Formulario_A00'!$D:$D,MATCH("D02-DOC-MRC-001.SCHEMA.EVIDENCIA",'01_Formulario_A00'!$A:$A,0))="","— (a preencher em 01_Formulario_A00)",INDEX('01_Formulario_A00'!$D:$D,MATCH("D02-DOC-MRC-001.SCHEMA.EVIDENCIA",'01_Formulario_A00'!$A:$A,0))),"— (a preencher em 01_Formulario_A00)")</f>
        <v/>
      </c>
    </row>
    <row r="187">
      <c r="A187" s="13" t="inlineStr">
        <is>
          <t>D02-DOC-MRC-001.SCHEMA.STATUS</t>
        </is>
      </c>
      <c r="B187" s="2" t="inlineStr">
        <is>
          <t>status</t>
        </is>
      </c>
      <c r="C187" s="14">
        <f>IFERROR(IF(INDEX('01_Formulario_A00'!$D:$D,MATCH("D02-DOC-MRC-001.SCHEMA.STATUS",'01_Formulario_A00'!$A:$A,0))="","— (a preencher em 01_Formulario_A00)",INDEX('01_Formulario_A00'!$D:$D,MATCH("D02-DOC-MRC-001.SCHEMA.STATUS",'01_Formulario_A00'!$A:$A,0))),"— (a preencher em 01_Formulario_A00)")</f>
        <v/>
      </c>
    </row>
    <row r="188">
      <c r="A188" s="13" t="inlineStr">
        <is>
          <t>D02-DOC-PPT-001.ORGANIZATION.CONTROLADOR</t>
        </is>
      </c>
      <c r="B188" s="2" t="inlineStr">
        <is>
          <t>controlador</t>
        </is>
      </c>
      <c r="C188" s="14">
        <f>IFERROR(IF(INDEX('01_Formulario_A00'!$D:$D,MATCH("D02-DOC-PPT-001.ORGANIZATION.CONTROLADOR",'01_Formulario_A00'!$A:$A,0))="","— (a preencher em 01_Formulario_A00)",INDEX('01_Formulario_A00'!$D:$D,MATCH("D02-DOC-PPT-001.ORGANIZATION.CONTROLADOR",'01_Formulario_A00'!$A:$A,0))),"— (a preencher em 01_Formulario_A00)")</f>
        <v/>
      </c>
    </row>
    <row r="189">
      <c r="A189" s="13" t="inlineStr">
        <is>
          <t>D02-DOC-PPT-001.ORGANIZATION.OPERADOR</t>
        </is>
      </c>
      <c r="B189" s="2" t="inlineStr">
        <is>
          <t>operador</t>
        </is>
      </c>
      <c r="C189" s="14">
        <f>IFERROR(IF(INDEX('01_Formulario_A00'!$D:$D,MATCH("D02-DOC-PPT-001.ORGANIZATION.OPERADOR",'01_Formulario_A00'!$A:$A,0))="","— (a preencher em 01_Formulario_A00)",INDEX('01_Formulario_A00'!$D:$D,MATCH("D02-DOC-PPT-001.ORGANIZATION.OPERADOR",'01_Formulario_A00'!$A:$A,0))),"— (a preencher em 01_Formulario_A00)")</f>
        <v/>
      </c>
    </row>
    <row r="190">
      <c r="A190" s="13" t="inlineStr">
        <is>
          <t>D02-DOC-PPT-001.ORGANIZATION.CONTATO</t>
        </is>
      </c>
      <c r="B190" s="2" t="inlineStr">
        <is>
          <t>contato</t>
        </is>
      </c>
      <c r="C190" s="14">
        <f>IFERROR(IF(INDEX('01_Formulario_A00'!$D:$D,MATCH("D02-DOC-PPT-001.ORGANIZATION.CONTATO",'01_Formulario_A00'!$A:$A,0))="","— (a preencher em 01_Formulario_A00)",INDEX('01_Formulario_A00'!$D:$D,MATCH("D02-DOC-PPT-001.ORGANIZATION.CONTATO",'01_Formulario_A00'!$A:$A,0))),"— (a preencher em 01_Formulario_A00)")</f>
        <v/>
      </c>
    </row>
    <row r="191">
      <c r="A191" s="13" t="inlineStr">
        <is>
          <t>D02-DOC-PPT-001.COLLECTED_DATA.CATEGORIAS_DE_DADOS</t>
        </is>
      </c>
      <c r="B191" s="2" t="inlineStr">
        <is>
          <t>categorias_de_dados</t>
        </is>
      </c>
      <c r="C191" s="14">
        <f>IFERROR(IF(INDEX('01_Formulario_A00'!$D:$D,MATCH("D02-DOC-PPT-001.COLLECTED_DATA.CATEGORIAS_DE_DADOS",'01_Formulario_A00'!$A:$A,0))="","— (a preencher em 01_Formulario_A00)",INDEX('01_Formulario_A00'!$D:$D,MATCH("D02-DOC-PPT-001.COLLECTED_DATA.CATEGORIAS_DE_DADOS",'01_Formulario_A00'!$A:$A,0))),"— (a preencher em 01_Formulario_A00)")</f>
        <v/>
      </c>
    </row>
    <row r="192">
      <c r="A192" s="13" t="inlineStr">
        <is>
          <t>D02-DOC-PPT-001.COLLECTED_DATA.ORIGEM</t>
        </is>
      </c>
      <c r="B192" s="2" t="inlineStr">
        <is>
          <t>origem</t>
        </is>
      </c>
      <c r="C192" s="14">
        <f>IFERROR(IF(INDEX('01_Formulario_A00'!$D:$D,MATCH("D02-DOC-PPT-001.COLLECTED_DATA.ORIGEM",'01_Formulario_A00'!$A:$A,0))="","— (a preencher em 01_Formulario_A00)",INDEX('01_Formulario_A00'!$D:$D,MATCH("D02-DOC-PPT-001.COLLECTED_DATA.ORIGEM",'01_Formulario_A00'!$A:$A,0))),"— (a preencher em 01_Formulario_A00)")</f>
        <v/>
      </c>
    </row>
    <row r="193">
      <c r="A193" s="13" t="inlineStr">
        <is>
          <t>D02-DOC-PPT-001.PURPOSES.FINALIDADE</t>
        </is>
      </c>
      <c r="B193" s="2" t="inlineStr">
        <is>
          <t>finalidade</t>
        </is>
      </c>
      <c r="C193" s="14">
        <f>IFERROR(IF(INDEX('01_Formulario_A00'!$D:$D,MATCH("D02-DOC-PPT-001.PURPOSES.FINALIDADE",'01_Formulario_A00'!$A:$A,0))="","— (a preencher em 01_Formulario_A00)",INDEX('01_Formulario_A00'!$D:$D,MATCH("D02-DOC-PPT-001.PURPOSES.FINALIDADE",'01_Formulario_A00'!$A:$A,0))),"— (a preencher em 01_Formulario_A00)")</f>
        <v/>
      </c>
    </row>
    <row r="194">
      <c r="A194" s="13" t="inlineStr">
        <is>
          <t>D02-DOC-PPT-001.PURPOSES.BASE_LEGAL</t>
        </is>
      </c>
      <c r="B194" s="2" t="inlineStr">
        <is>
          <t>base_legal</t>
        </is>
      </c>
      <c r="C194" s="14">
        <f>IFERROR(IF(INDEX('01_Formulario_A00'!$D:$D,MATCH("D02-DOC-PPT-001.PURPOSES.BASE_LEGAL",'01_Formulario_A00'!$A:$A,0))="","— (a preencher em 01_Formulario_A00)",INDEX('01_Formulario_A00'!$D:$D,MATCH("D02-DOC-PPT-001.PURPOSES.BASE_LEGAL",'01_Formulario_A00'!$A:$A,0))),"— (a preencher em 01_Formulario_A00)")</f>
        <v/>
      </c>
    </row>
    <row r="195">
      <c r="A195" s="13" t="inlineStr">
        <is>
          <t>D02-DOC-PPT-001.SHARING.TERCEIROS</t>
        </is>
      </c>
      <c r="B195" s="2" t="inlineStr">
        <is>
          <t>terceiros</t>
        </is>
      </c>
      <c r="C195" s="14">
        <f>IFERROR(IF(INDEX('01_Formulario_A00'!$D:$D,MATCH("D02-DOC-PPT-001.SHARING.TERCEIROS",'01_Formulario_A00'!$A:$A,0))="","— (a preencher em 01_Formulario_A00)",INDEX('01_Formulario_A00'!$D:$D,MATCH("D02-DOC-PPT-001.SHARING.TERCEIROS",'01_Formulario_A00'!$A:$A,0))),"— (a preencher em 01_Formulario_A00)")</f>
        <v/>
      </c>
    </row>
    <row r="196">
      <c r="A196" s="13" t="inlineStr">
        <is>
          <t>D02-DOC-PPT-001.SHARING.OPERADORES</t>
        </is>
      </c>
      <c r="B196" s="2" t="inlineStr">
        <is>
          <t>operadores</t>
        </is>
      </c>
      <c r="C196" s="14">
        <f>IFERROR(IF(INDEX('01_Formulario_A00'!$D:$D,MATCH("D02-DOC-PPT-001.SHARING.OPERADORES",'01_Formulario_A00'!$A:$A,0))="","— (a preencher em 01_Formulario_A00)",INDEX('01_Formulario_A00'!$D:$D,MATCH("D02-DOC-PPT-001.SHARING.OPERADORES",'01_Formulario_A00'!$A:$A,0))),"— (a preencher em 01_Formulario_A00)")</f>
        <v/>
      </c>
    </row>
    <row r="197">
      <c r="A197" s="13" t="inlineStr">
        <is>
          <t>D02-DOC-PPT-001.SHARING.TRANSFERENCIA</t>
        </is>
      </c>
      <c r="B197" s="2" t="inlineStr">
        <is>
          <t>transferencia</t>
        </is>
      </c>
      <c r="C197" s="14">
        <f>IFERROR(IF(INDEX('01_Formulario_A00'!$D:$D,MATCH("D02-DOC-PPT-001.SHARING.TRANSFERENCIA",'01_Formulario_A00'!$A:$A,0))="","— (a preencher em 01_Formulario_A00)",INDEX('01_Formulario_A00'!$D:$D,MATCH("D02-DOC-PPT-001.SHARING.TRANSFERENCIA",'01_Formulario_A00'!$A:$A,0))),"— (a preencher em 01_Formulario_A00)")</f>
        <v/>
      </c>
    </row>
    <row r="198">
      <c r="A198" s="13" t="inlineStr">
        <is>
          <t>D02-DOC-PPT-001.STORAGE.RETENCAO</t>
        </is>
      </c>
      <c r="B198" s="2" t="inlineStr">
        <is>
          <t>retencao</t>
        </is>
      </c>
      <c r="C198" s="14">
        <f>IFERROR(IF(INDEX('01_Formulario_A00'!$D:$D,MATCH("D02-DOC-PPT-001.STORAGE.RETENCAO",'01_Formulario_A00'!$A:$A,0))="","— (a preencher em 01_Formulario_A00)",INDEX('01_Formulario_A00'!$D:$D,MATCH("D02-DOC-PPT-001.STORAGE.RETENCAO",'01_Formulario_A00'!$A:$A,0))),"— (a preencher em 01_Formulario_A00)")</f>
        <v/>
      </c>
    </row>
    <row r="199">
      <c r="A199" s="13" t="inlineStr">
        <is>
          <t>D02-DOC-PPT-001.STORAGE.EXCLUSAO</t>
        </is>
      </c>
      <c r="B199" s="2" t="inlineStr">
        <is>
          <t>exclusao</t>
        </is>
      </c>
      <c r="C199" s="14">
        <f>IFERROR(IF(INDEX('01_Formulario_A00'!$D:$D,MATCH("D02-DOC-PPT-001.STORAGE.EXCLUSAO",'01_Formulario_A00'!$A:$A,0))="","— (a preencher em 01_Formulario_A00)",INDEX('01_Formulario_A00'!$D:$D,MATCH("D02-DOC-PPT-001.STORAGE.EXCLUSAO",'01_Formulario_A00'!$A:$A,0))),"— (a preencher em 01_Formulario_A00)")</f>
        <v/>
      </c>
    </row>
    <row r="200">
      <c r="A200" s="13" t="inlineStr">
        <is>
          <t>D02-DOC-PPT-001.RIGHTS.DIREITOS_DO_TITULAR</t>
        </is>
      </c>
      <c r="B200" s="2" t="inlineStr">
        <is>
          <t>direitos_do_titular</t>
        </is>
      </c>
      <c r="C200" s="14">
        <f>IFERROR(IF(INDEX('01_Formulario_A00'!$D:$D,MATCH("D02-DOC-PPT-001.RIGHTS.DIREITOS_DO_TITULAR",'01_Formulario_A00'!$A:$A,0))="","— (a preencher em 01_Formulario_A00)",INDEX('01_Formulario_A00'!$D:$D,MATCH("D02-DOC-PPT-001.RIGHTS.DIREITOS_DO_TITULAR",'01_Formulario_A00'!$A:$A,0))),"— (a preencher em 01_Formulario_A00)")</f>
        <v/>
      </c>
    </row>
    <row r="201">
      <c r="A201" s="13" t="inlineStr">
        <is>
          <t>D02-DOC-PPT-001.RIGHTS.CANAL_DE_SOLICITACAO</t>
        </is>
      </c>
      <c r="B201" s="2" t="inlineStr">
        <is>
          <t>canal_de_solicitacao</t>
        </is>
      </c>
      <c r="C201" s="14">
        <f>IFERROR(IF(INDEX('01_Formulario_A00'!$D:$D,MATCH("D02-DOC-PPT-001.RIGHTS.CANAL_DE_SOLICITACAO",'01_Formulario_A00'!$A:$A,0))="","— (a preencher em 01_Formulario_A00)",INDEX('01_Formulario_A00'!$D:$D,MATCH("D02-DOC-PPT-001.RIGHTS.CANAL_DE_SOLICITACAO",'01_Formulario_A00'!$A:$A,0))),"— (a preencher em 01_Formulario_A00)")</f>
        <v/>
      </c>
    </row>
    <row r="202">
      <c r="A202" s="13" t="inlineStr">
        <is>
          <t>D02-DOC-PPT-001.COOKIES.COOKIES</t>
        </is>
      </c>
      <c r="B202" s="2" t="inlineStr">
        <is>
          <t>cookies</t>
        </is>
      </c>
      <c r="C202" s="14">
        <f>IFERROR(IF(INDEX('01_Formulario_A00'!$D:$D,MATCH("D02-DOC-PPT-001.COOKIES.COOKIES",'01_Formulario_A00'!$A:$A,0))="","— (a preencher em 01_Formulario_A00)",INDEX('01_Formulario_A00'!$D:$D,MATCH("D02-DOC-PPT-001.COOKIES.COOKIES",'01_Formulario_A00'!$A:$A,0))),"— (a preencher em 01_Formulario_A00)")</f>
        <v/>
      </c>
    </row>
    <row r="203">
      <c r="A203" s="13" t="inlineStr">
        <is>
          <t>D02-DOC-PPT-001.COOKIES.ANALYTICS</t>
        </is>
      </c>
      <c r="B203" s="2" t="inlineStr">
        <is>
          <t>analytics</t>
        </is>
      </c>
      <c r="C203" s="14">
        <f>IFERROR(IF(INDEX('01_Formulario_A00'!$D:$D,MATCH("D02-DOC-PPT-001.COOKIES.ANALYTICS",'01_Formulario_A00'!$A:$A,0))="","— (a preencher em 01_Formulario_A00)",INDEX('01_Formulario_A00'!$D:$D,MATCH("D02-DOC-PPT-001.COOKIES.ANALYTICS",'01_Formulario_A00'!$A:$A,0))),"— (a preencher em 01_Formulario_A00)")</f>
        <v/>
      </c>
    </row>
    <row r="204">
      <c r="A204" s="13" t="inlineStr">
        <is>
          <t>D02-DOC-PPT-001.COOKIES.PREFERENCIAS</t>
        </is>
      </c>
      <c r="B204" s="2" t="inlineStr">
        <is>
          <t>preferencias</t>
        </is>
      </c>
      <c r="C204" s="14">
        <f>IFERROR(IF(INDEX('01_Formulario_A00'!$D:$D,MATCH("D02-DOC-PPT-001.COOKIES.PREFERENCIAS",'01_Formulario_A00'!$A:$A,0))="","— (a preencher em 01_Formulario_A00)",INDEX('01_Formulario_A00'!$D:$D,MATCH("D02-DOC-PPT-001.COOKIES.PREFERENCIAS",'01_Formulario_A00'!$A:$A,0))),"— (a preencher em 01_Formulario_A00)")</f>
        <v/>
      </c>
    </row>
    <row r="205">
      <c r="A205" s="13" t="inlineStr">
        <is>
          <t>D02-DOC-PPT-001.SECURITY.MEDIDAS_DE_SEGURANCA</t>
        </is>
      </c>
      <c r="B205" s="2" t="inlineStr">
        <is>
          <t>medidas_de_seguranca</t>
        </is>
      </c>
      <c r="C205" s="14">
        <f>IFERROR(IF(INDEX('01_Formulario_A00'!$D:$D,MATCH("D02-DOC-PPT-001.SECURITY.MEDIDAS_DE_SEGURANCA",'01_Formulario_A00'!$A:$A,0))="","— (a preencher em 01_Formulario_A00)",INDEX('01_Formulario_A00'!$D:$D,MATCH("D02-DOC-PPT-001.SECURITY.MEDIDAS_DE_SEGURANCA",'01_Formulario_A00'!$A:$A,0))),"— (a preencher em 01_Formulario_A00)")</f>
        <v/>
      </c>
    </row>
    <row r="206">
      <c r="A206" s="13" t="inlineStr">
        <is>
          <t>D02-DOC-PPT-001.TERMS.ELEGIBILIDADE</t>
        </is>
      </c>
      <c r="B206" s="2" t="inlineStr">
        <is>
          <t>elegibilidade</t>
        </is>
      </c>
      <c r="C206" s="14">
        <f>IFERROR(IF(INDEX('01_Formulario_A00'!$D:$D,MATCH("D02-DOC-PPT-001.TERMS.ELEGIBILIDADE",'01_Formulario_A00'!$A:$A,0))="","— (a preencher em 01_Formulario_A00)",INDEX('01_Formulario_A00'!$D:$D,MATCH("D02-DOC-PPT-001.TERMS.ELEGIBILIDADE",'01_Formulario_A00'!$A:$A,0))),"— (a preencher em 01_Formulario_A00)")</f>
        <v/>
      </c>
    </row>
    <row r="207">
      <c r="A207" s="13" t="inlineStr">
        <is>
          <t>D02-DOC-PPT-001.TERMS.USO_PERMITIDO</t>
        </is>
      </c>
      <c r="B207" s="2" t="inlineStr">
        <is>
          <t>uso_permitido</t>
        </is>
      </c>
      <c r="C207" s="14">
        <f>IFERROR(IF(INDEX('01_Formulario_A00'!$D:$D,MATCH("D02-DOC-PPT-001.TERMS.USO_PERMITIDO",'01_Formulario_A00'!$A:$A,0))="","— (a preencher em 01_Formulario_A00)",INDEX('01_Formulario_A00'!$D:$D,MATCH("D02-DOC-PPT-001.TERMS.USO_PERMITIDO",'01_Formulario_A00'!$A:$A,0))),"— (a preencher em 01_Formulario_A00)")</f>
        <v/>
      </c>
    </row>
    <row r="208">
      <c r="A208" s="13" t="inlineStr">
        <is>
          <t>D02-DOC-PPT-001.TERMS.USO_PROIBIDO</t>
        </is>
      </c>
      <c r="B208" s="2" t="inlineStr">
        <is>
          <t>uso_proibido</t>
        </is>
      </c>
      <c r="C208" s="14">
        <f>IFERROR(IF(INDEX('01_Formulario_A00'!$D:$D,MATCH("D02-DOC-PPT-001.TERMS.USO_PROIBIDO",'01_Formulario_A00'!$A:$A,0))="","— (a preencher em 01_Formulario_A00)",INDEX('01_Formulario_A00'!$D:$D,MATCH("D02-DOC-PPT-001.TERMS.USO_PROIBIDO",'01_Formulario_A00'!$A:$A,0))),"— (a preencher em 01_Formulario_A00)")</f>
        <v/>
      </c>
    </row>
    <row r="209">
      <c r="A209" s="13" t="inlineStr">
        <is>
          <t>D02-DOC-PPT-001.LIABILITY.LIMITACOES</t>
        </is>
      </c>
      <c r="B209" s="2" t="inlineStr">
        <is>
          <t>limitacoes</t>
        </is>
      </c>
      <c r="C209" s="14">
        <f>IFERROR(IF(INDEX('01_Formulario_A00'!$D:$D,MATCH("D02-DOC-PPT-001.LIABILITY.LIMITACOES",'01_Formulario_A00'!$A:$A,0))="","— (a preencher em 01_Formulario_A00)",INDEX('01_Formulario_A00'!$D:$D,MATCH("D02-DOC-PPT-001.LIABILITY.LIMITACOES",'01_Formulario_A00'!$A:$A,0))),"— (a preencher em 01_Formulario_A00)")</f>
        <v/>
      </c>
    </row>
    <row r="210">
      <c r="A210" s="13" t="inlineStr">
        <is>
          <t>D02-DOC-PPT-001.LIABILITY.RESPONSABILIDADES</t>
        </is>
      </c>
      <c r="B210" s="2" t="inlineStr">
        <is>
          <t>responsabilidades</t>
        </is>
      </c>
      <c r="C210" s="14">
        <f>IFERROR(IF(INDEX('01_Formulario_A00'!$D:$D,MATCH("D02-DOC-PPT-001.LIABILITY.RESPONSABILIDADES",'01_Formulario_A00'!$A:$A,0))="","— (a preencher em 01_Formulario_A00)",INDEX('01_Formulario_A00'!$D:$D,MATCH("D02-DOC-PPT-001.LIABILITY.RESPONSABILIDADES",'01_Formulario_A00'!$A:$A,0))),"— (a preencher em 01_Formulario_A00)")</f>
        <v/>
      </c>
    </row>
    <row r="211">
      <c r="A211" s="13" t="inlineStr">
        <is>
          <t>D02-DOC-PPT-001.IP.PROPRIEDADE_INTELECTUAL</t>
        </is>
      </c>
      <c r="B211" s="2" t="inlineStr">
        <is>
          <t>propriedade_intelectual</t>
        </is>
      </c>
      <c r="C211" s="14">
        <f>IFERROR(IF(INDEX('01_Formulario_A00'!$D:$D,MATCH("D02-DOC-PPT-001.IP.PROPRIEDADE_INTELECTUAL",'01_Formulario_A00'!$A:$A,0))="","— (a preencher em 01_Formulario_A00)",INDEX('01_Formulario_A00'!$D:$D,MATCH("D02-DOC-PPT-001.IP.PROPRIEDADE_INTELECTUAL",'01_Formulario_A00'!$A:$A,0))),"— (a preencher em 01_Formulario_A00)")</f>
        <v/>
      </c>
    </row>
    <row r="212">
      <c r="A212" s="13" t="inlineStr">
        <is>
          <t>D02-DOC-PPT-001.TERMINATION.SUSPENSAO</t>
        </is>
      </c>
      <c r="B212" s="2" t="inlineStr">
        <is>
          <t>suspensao</t>
        </is>
      </c>
      <c r="C212" s="14">
        <f>IFERROR(IF(INDEX('01_Formulario_A00'!$D:$D,MATCH("D02-DOC-PPT-001.TERMINATION.SUSPENSAO",'01_Formulario_A00'!$A:$A,0))="","— (a preencher em 01_Formulario_A00)",INDEX('01_Formulario_A00'!$D:$D,MATCH("D02-DOC-PPT-001.TERMINATION.SUSPENSAO",'01_Formulario_A00'!$A:$A,0))),"— (a preencher em 01_Formulario_A00)")</f>
        <v/>
      </c>
    </row>
    <row r="213">
      <c r="A213" s="13" t="inlineStr">
        <is>
          <t>D02-DOC-PPT-001.TERMINATION.ENCERRAMENTO</t>
        </is>
      </c>
      <c r="B213" s="2" t="inlineStr">
        <is>
          <t>encerramento</t>
        </is>
      </c>
      <c r="C213" s="14">
        <f>IFERROR(IF(INDEX('01_Formulario_A00'!$D:$D,MATCH("D02-DOC-PPT-001.TERMINATION.ENCERRAMENTO",'01_Formulario_A00'!$A:$A,0))="","— (a preencher em 01_Formulario_A00)",INDEX('01_Formulario_A00'!$D:$D,MATCH("D02-DOC-PPT-001.TERMINATION.ENCERRAMENTO",'01_Formulario_A00'!$A:$A,0))),"— (a preencher em 01_Formulario_A00)")</f>
        <v/>
      </c>
    </row>
    <row r="214">
      <c r="A214" s="13" t="inlineStr">
        <is>
          <t>D02-DOC-PPT-001.UPDATES.ALTERACOES_DA_POLITICA</t>
        </is>
      </c>
      <c r="B214" s="2" t="inlineStr">
        <is>
          <t>alteracoes_da_politica</t>
        </is>
      </c>
      <c r="C214" s="14">
        <f>IFERROR(IF(INDEX('01_Formulario_A00'!$D:$D,MATCH("D02-DOC-PPT-001.UPDATES.ALTERACOES_DA_POLITICA",'01_Formulario_A00'!$A:$A,0))="","— (a preencher em 01_Formulario_A00)",INDEX('01_Formulario_A00'!$D:$D,MATCH("D02-DOC-PPT-001.UPDATES.ALTERACOES_DA_POLITICA",'01_Formulario_A00'!$A:$A,0))),"— (a preencher em 01_Formulario_A00)")</f>
        <v/>
      </c>
    </row>
    <row r="215">
      <c r="A215" s="13" t="inlineStr">
        <is>
          <t>D03-DOC-PFO-001.ASSUMPTIONS.PREMISSAS_FINANCEIRAS</t>
        </is>
      </c>
      <c r="B215" s="2" t="inlineStr">
        <is>
          <t>premissas_financeiras</t>
        </is>
      </c>
      <c r="C215" s="14">
        <f>IFERROR(IF(INDEX('01_Formulario_A00'!$D:$D,MATCH("D03-DOC-PFO-001.ASSUMPTIONS.PREMISSAS_FINANCEIRAS",'01_Formulario_A00'!$A:$A,0))="","— (a preencher em 01_Formulario_A00)",INDEX('01_Formulario_A00'!$D:$D,MATCH("D03-DOC-PFO-001.ASSUMPTIONS.PREMISSAS_FINANCEIRAS",'01_Formulario_A00'!$A:$A,0))),"— (a preencher em 01_Formulario_A00)")</f>
        <v/>
      </c>
    </row>
    <row r="216">
      <c r="A216" s="13" t="inlineStr">
        <is>
          <t>D03-DOC-PFO-001.ASSUMPTIONS.PERIODO</t>
        </is>
      </c>
      <c r="B216" s="2" t="inlineStr">
        <is>
          <t>periodo</t>
        </is>
      </c>
      <c r="C216" s="14">
        <f>IFERROR(IF(INDEX('01_Formulario_A00'!$D:$D,MATCH("D03-DOC-PFO-001.ASSUMPTIONS.PERIODO",'01_Formulario_A00'!$A:$A,0))="","— (a preencher em 01_Formulario_A00)",INDEX('01_Formulario_A00'!$D:$D,MATCH("D03-DOC-PFO-001.ASSUMPTIONS.PERIODO",'01_Formulario_A00'!$A:$A,0))),"— (a preencher em 01_Formulario_A00)")</f>
        <v/>
      </c>
    </row>
    <row r="217">
      <c r="A217" s="13" t="inlineStr">
        <is>
          <t>D03-DOC-PFO-001.ASSUMPTIONS.MOEDA</t>
        </is>
      </c>
      <c r="B217" s="2" t="inlineStr">
        <is>
          <t>moeda</t>
        </is>
      </c>
      <c r="C217" s="14">
        <f>IFERROR(IF(INDEX('01_Formulario_A00'!$D:$D,MATCH("D03-DOC-PFO-001.ASSUMPTIONS.MOEDA",'01_Formulario_A00'!$A:$A,0))="","— (a preencher em 01_Formulario_A00)",INDEX('01_Formulario_A00'!$D:$D,MATCH("D03-DOC-PFO-001.ASSUMPTIONS.MOEDA",'01_Formulario_A00'!$A:$A,0))),"— (a preencher em 01_Formulario_A00)")</f>
        <v/>
      </c>
    </row>
    <row r="218">
      <c r="A218" s="13" t="inlineStr">
        <is>
          <t>D03-DOC-PFO-001.REVENUE.FONTES</t>
        </is>
      </c>
      <c r="B218" s="2" t="inlineStr">
        <is>
          <t>fontes</t>
        </is>
      </c>
      <c r="C218" s="14">
        <f>IFERROR(IF(INDEX('01_Formulario_A00'!$D:$D,MATCH("D03-DOC-PFO-001.REVENUE.FONTES",'01_Formulario_A00'!$A:$A,0))="","— (a preencher em 01_Formulario_A00)",INDEX('01_Formulario_A00'!$D:$D,MATCH("D03-DOC-PFO-001.REVENUE.FONTES",'01_Formulario_A00'!$A:$A,0))),"— (a preencher em 01_Formulario_A00)")</f>
        <v/>
      </c>
    </row>
    <row r="219">
      <c r="A219" s="13" t="inlineStr">
        <is>
          <t>D03-DOC-PFO-001.REVENUE.PREVISOES</t>
        </is>
      </c>
      <c r="B219" s="2" t="inlineStr">
        <is>
          <t>previsoes</t>
        </is>
      </c>
      <c r="C219" s="14">
        <f>IFERROR(IF(INDEX('01_Formulario_A00'!$D:$D,MATCH("D03-DOC-PFO-001.REVENUE.PREVISOES",'01_Formulario_A00'!$A:$A,0))="","— (a preencher em 01_Formulario_A00)",INDEX('01_Formulario_A00'!$D:$D,MATCH("D03-DOC-PFO-001.REVENUE.PREVISOES",'01_Formulario_A00'!$A:$A,0))),"— (a preencher em 01_Formulario_A00)")</f>
        <v/>
      </c>
    </row>
    <row r="220">
      <c r="A220" s="13" t="inlineStr">
        <is>
          <t>D03-DOC-PFO-001.REVENUE.RECORRENCIA</t>
        </is>
      </c>
      <c r="B220" s="2" t="inlineStr">
        <is>
          <t>recorrencia</t>
        </is>
      </c>
      <c r="C220" s="14">
        <f>IFERROR(IF(INDEX('01_Formulario_A00'!$D:$D,MATCH("D03-DOC-PFO-001.REVENUE.RECORRENCIA",'01_Formulario_A00'!$A:$A,0))="","— (a preencher em 01_Formulario_A00)",INDEX('01_Formulario_A00'!$D:$D,MATCH("D03-DOC-PFO-001.REVENUE.RECORRENCIA",'01_Formulario_A00'!$A:$A,0))),"— (a preencher em 01_Formulario_A00)")</f>
        <v/>
      </c>
    </row>
    <row r="221">
      <c r="A221" s="13" t="inlineStr">
        <is>
          <t>D03-DOC-PFO-001.CAPEX.ITEM</t>
        </is>
      </c>
      <c r="B221" s="2" t="inlineStr">
        <is>
          <t>item</t>
        </is>
      </c>
      <c r="C221" s="14">
        <f>IFERROR(IF(INDEX('01_Formulario_A00'!$D:$D,MATCH("D03-DOC-PFO-001.CAPEX.ITEM",'01_Formulario_A00'!$A:$A,0))="","— (a preencher em 01_Formulario_A00)",INDEX('01_Formulario_A00'!$D:$D,MATCH("D03-DOC-PFO-001.CAPEX.ITEM",'01_Formulario_A00'!$A:$A,0))),"— (a preencher em 01_Formulario_A00)")</f>
        <v/>
      </c>
    </row>
    <row r="222">
      <c r="A222" s="13" t="inlineStr">
        <is>
          <t>D03-DOC-PFO-001.CAPEX.VALOR</t>
        </is>
      </c>
      <c r="B222" s="2" t="inlineStr">
        <is>
          <t>valor</t>
        </is>
      </c>
      <c r="C222" s="14">
        <f>IFERROR(IF(INDEX('01_Formulario_A00'!$D:$D,MATCH("D03-DOC-PFO-001.CAPEX.VALOR",'01_Formulario_A00'!$A:$A,0))="","— (a preencher em 01_Formulario_A00)",INDEX('01_Formulario_A00'!$D:$D,MATCH("D03-DOC-PFO-001.CAPEX.VALOR",'01_Formulario_A00'!$A:$A,0))),"— (a preencher em 01_Formulario_A00)")</f>
        <v/>
      </c>
    </row>
    <row r="223">
      <c r="A223" s="13" t="inlineStr">
        <is>
          <t>D03-DOC-PFO-001.CAPEX.PERIODO</t>
        </is>
      </c>
      <c r="B223" s="2" t="inlineStr">
        <is>
          <t>periodo</t>
        </is>
      </c>
      <c r="C223" s="14">
        <f>IFERROR(IF(INDEX('01_Formulario_A00'!$D:$D,MATCH("D03-DOC-PFO-001.CAPEX.PERIODO",'01_Formulario_A00'!$A:$A,0))="","— (a preencher em 01_Formulario_A00)",INDEX('01_Formulario_A00'!$D:$D,MATCH("D03-DOC-PFO-001.CAPEX.PERIODO",'01_Formulario_A00'!$A:$A,0))),"— (a preencher em 01_Formulario_A00)")</f>
        <v/>
      </c>
    </row>
    <row r="224">
      <c r="A224" s="13" t="inlineStr">
        <is>
          <t>D03-DOC-PFO-001.CAPEX.JUSTIFICATIVA</t>
        </is>
      </c>
      <c r="B224" s="2" t="inlineStr">
        <is>
          <t>justificativa</t>
        </is>
      </c>
      <c r="C224" s="14">
        <f>IFERROR(IF(INDEX('01_Formulario_A00'!$D:$D,MATCH("D03-DOC-PFO-001.CAPEX.JUSTIFICATIVA",'01_Formulario_A00'!$A:$A,0))="","— (a preencher em 01_Formulario_A00)",INDEX('01_Formulario_A00'!$D:$D,MATCH("D03-DOC-PFO-001.CAPEX.JUSTIFICATIVA",'01_Formulario_A00'!$A:$A,0))),"— (a preencher em 01_Formulario_A00)")</f>
        <v/>
      </c>
    </row>
    <row r="225">
      <c r="A225" s="13" t="inlineStr">
        <is>
          <t>D03-DOC-PFO-001.OPEX.CATEGORIA</t>
        </is>
      </c>
      <c r="B225" s="2" t="inlineStr">
        <is>
          <t>categoria</t>
        </is>
      </c>
      <c r="C225" s="14">
        <f>IFERROR(IF(INDEX('01_Formulario_A00'!$D:$D,MATCH("D03-DOC-PFO-001.OPEX.CATEGORIA",'01_Formulario_A00'!$A:$A,0))="","— (a preencher em 01_Formulario_A00)",INDEX('01_Formulario_A00'!$D:$D,MATCH("D03-DOC-PFO-001.OPEX.CATEGORIA",'01_Formulario_A00'!$A:$A,0))),"— (a preencher em 01_Formulario_A00)")</f>
        <v/>
      </c>
    </row>
    <row r="226">
      <c r="A226" s="13" t="inlineStr">
        <is>
          <t>D03-DOC-PFO-001.OPEX.VALOR</t>
        </is>
      </c>
      <c r="B226" s="2" t="inlineStr">
        <is>
          <t>valor</t>
        </is>
      </c>
      <c r="C226" s="14">
        <f>IFERROR(IF(INDEX('01_Formulario_A00'!$D:$D,MATCH("D03-DOC-PFO-001.OPEX.VALOR",'01_Formulario_A00'!$A:$A,0))="","— (a preencher em 01_Formulario_A00)",INDEX('01_Formulario_A00'!$D:$D,MATCH("D03-DOC-PFO-001.OPEX.VALOR",'01_Formulario_A00'!$A:$A,0))),"— (a preencher em 01_Formulario_A00)")</f>
        <v/>
      </c>
    </row>
    <row r="227">
      <c r="A227" s="13" t="inlineStr">
        <is>
          <t>D03-DOC-PFO-001.OPEX.PERIODICIDADE</t>
        </is>
      </c>
      <c r="B227" s="2" t="inlineStr">
        <is>
          <t>periodicidade</t>
        </is>
      </c>
      <c r="C227" s="14">
        <f>IFERROR(IF(INDEX('01_Formulario_A00'!$D:$D,MATCH("D03-DOC-PFO-001.OPEX.PERIODICIDADE",'01_Formulario_A00'!$A:$A,0))="","— (a preencher em 01_Formulario_A00)",INDEX('01_Formulario_A00'!$D:$D,MATCH("D03-DOC-PFO-001.OPEX.PERIODICIDADE",'01_Formulario_A00'!$A:$A,0))),"— (a preencher em 01_Formulario_A00)")</f>
        <v/>
      </c>
    </row>
    <row r="228">
      <c r="A228" s="13" t="inlineStr">
        <is>
          <t>D03-DOC-PFO-001.BUDGET.ORCAMENTO_POR_AREA</t>
        </is>
      </c>
      <c r="B228" s="2" t="inlineStr">
        <is>
          <t>orcamento_por_area</t>
        </is>
      </c>
      <c r="C228" s="14">
        <f>IFERROR(IF(INDEX('01_Formulario_A00'!$D:$D,MATCH("D03-DOC-PFO-001.BUDGET.ORCAMENTO_POR_AREA",'01_Formulario_A00'!$A:$A,0))="","— (a preencher em 01_Formulario_A00)",INDEX('01_Formulario_A00'!$D:$D,MATCH("D03-DOC-PFO-001.BUDGET.ORCAMENTO_POR_AREA",'01_Formulario_A00'!$A:$A,0))),"— (a preencher em 01_Formulario_A00)")</f>
        <v/>
      </c>
    </row>
    <row r="229">
      <c r="A229" s="13" t="inlineStr">
        <is>
          <t>D03-DOC-PFO-001.BUDGET.LIMITE</t>
        </is>
      </c>
      <c r="B229" s="2" t="inlineStr">
        <is>
          <t>limite</t>
        </is>
      </c>
      <c r="C229" s="14">
        <f>IFERROR(IF(INDEX('01_Formulario_A00'!$D:$D,MATCH("D03-DOC-PFO-001.BUDGET.LIMITE",'01_Formulario_A00'!$A:$A,0))="","— (a preencher em 01_Formulario_A00)",INDEX('01_Formulario_A00'!$D:$D,MATCH("D03-DOC-PFO-001.BUDGET.LIMITE",'01_Formulario_A00'!$A:$A,0))),"— (a preencher em 01_Formulario_A00)")</f>
        <v/>
      </c>
    </row>
    <row r="230">
      <c r="A230" s="13" t="inlineStr">
        <is>
          <t>D03-DOC-PFO-001.BUDGET.REALIZADO</t>
        </is>
      </c>
      <c r="B230" s="2" t="inlineStr">
        <is>
          <t>realizado</t>
        </is>
      </c>
      <c r="C230" s="14">
        <f>IFERROR(IF(INDEX('01_Formulario_A00'!$D:$D,MATCH("D03-DOC-PFO-001.BUDGET.REALIZADO",'01_Formulario_A00'!$A:$A,0))="","— (a preencher em 01_Formulario_A00)",INDEX('01_Formulario_A00'!$D:$D,MATCH("D03-DOC-PFO-001.BUDGET.REALIZADO",'01_Formulario_A00'!$A:$A,0))),"— (a preencher em 01_Formulario_A00)")</f>
        <v/>
      </c>
    </row>
    <row r="231">
      <c r="A231" s="13" t="inlineStr">
        <is>
          <t>D03-DOC-PFO-001.CASHFLOW.ENTRADAS</t>
        </is>
      </c>
      <c r="B231" s="2" t="inlineStr">
        <is>
          <t>entradas</t>
        </is>
      </c>
      <c r="C231" s="14">
        <f>IFERROR(IF(INDEX('01_Formulario_A00'!$D:$D,MATCH("D03-DOC-PFO-001.CASHFLOW.ENTRADAS",'01_Formulario_A00'!$A:$A,0))="","— (a preencher em 01_Formulario_A00)",INDEX('01_Formulario_A00'!$D:$D,MATCH("D03-DOC-PFO-001.CASHFLOW.ENTRADAS",'01_Formulario_A00'!$A:$A,0))),"— (a preencher em 01_Formulario_A00)")</f>
        <v/>
      </c>
    </row>
    <row r="232">
      <c r="A232" s="13" t="inlineStr">
        <is>
          <t>D03-DOC-PFO-001.CASHFLOW.SAIDAS</t>
        </is>
      </c>
      <c r="B232" s="2" t="inlineStr">
        <is>
          <t>saidas</t>
        </is>
      </c>
      <c r="C232" s="14">
        <f>IFERROR(IF(INDEX('01_Formulario_A00'!$D:$D,MATCH("D03-DOC-PFO-001.CASHFLOW.SAIDAS",'01_Formulario_A00'!$A:$A,0))="","— (a preencher em 01_Formulario_A00)",INDEX('01_Formulario_A00'!$D:$D,MATCH("D03-DOC-PFO-001.CASHFLOW.SAIDAS",'01_Formulario_A00'!$A:$A,0))),"— (a preencher em 01_Formulario_A00)")</f>
        <v/>
      </c>
    </row>
    <row r="233">
      <c r="A233" s="13" t="inlineStr">
        <is>
          <t>D03-DOC-PFO-001.CASHFLOW.SALDO</t>
        </is>
      </c>
      <c r="B233" s="2" t="inlineStr">
        <is>
          <t>saldo</t>
        </is>
      </c>
      <c r="C233" s="14">
        <f>IFERROR(IF(INDEX('01_Formulario_A00'!$D:$D,MATCH("D03-DOC-PFO-001.CASHFLOW.SALDO",'01_Formulario_A00'!$A:$A,0))="","— (a preencher em 01_Formulario_A00)",INDEX('01_Formulario_A00'!$D:$D,MATCH("D03-DOC-PFO-001.CASHFLOW.SALDO",'01_Formulario_A00'!$A:$A,0))),"— (a preencher em 01_Formulario_A00)")</f>
        <v/>
      </c>
    </row>
    <row r="234">
      <c r="A234" s="13" t="inlineStr">
        <is>
          <t>D03-DOC-PFO-001.RUNWAY.CAIXA_DISPONIVEL</t>
        </is>
      </c>
      <c r="B234" s="2" t="inlineStr">
        <is>
          <t>caixa_disponivel</t>
        </is>
      </c>
      <c r="C234" s="14">
        <f>IFERROR(IF(INDEX('01_Formulario_A00'!$D:$D,MATCH("D03-DOC-PFO-001.RUNWAY.CAIXA_DISPONIVEL",'01_Formulario_A00'!$A:$A,0))="","— (a preencher em 01_Formulario_A00)",INDEX('01_Formulario_A00'!$D:$D,MATCH("D03-DOC-PFO-001.RUNWAY.CAIXA_DISPONIVEL",'01_Formulario_A00'!$A:$A,0))),"— (a preencher em 01_Formulario_A00)")</f>
        <v/>
      </c>
    </row>
    <row r="235">
      <c r="A235" s="13" t="inlineStr">
        <is>
          <t>D03-DOC-PFO-001.RUNWAY.BURN_RATE</t>
        </is>
      </c>
      <c r="B235" s="2" t="inlineStr">
        <is>
          <t>burn_rate</t>
        </is>
      </c>
      <c r="C235" s="14">
        <f>IFERROR(IF(INDEX('01_Formulario_A00'!$D:$D,MATCH("D03-DOC-PFO-001.RUNWAY.BURN_RATE",'01_Formulario_A00'!$A:$A,0))="","— (a preencher em 01_Formulario_A00)",INDEX('01_Formulario_A00'!$D:$D,MATCH("D03-DOC-PFO-001.RUNWAY.BURN_RATE",'01_Formulario_A00'!$A:$A,0))),"— (a preencher em 01_Formulario_A00)")</f>
        <v/>
      </c>
    </row>
    <row r="236">
      <c r="A236" s="13" t="inlineStr">
        <is>
          <t>D03-DOC-PFO-001.RUNWAY.MESES</t>
        </is>
      </c>
      <c r="B236" s="2" t="inlineStr">
        <is>
          <t>meses</t>
        </is>
      </c>
      <c r="C236" s="14">
        <f>IFERROR(IF(INDEX('01_Formulario_A00'!$D:$D,MATCH("D03-DOC-PFO-001.RUNWAY.MESES",'01_Formulario_A00'!$A:$A,0))="","— (a preencher em 01_Formulario_A00)",INDEX('01_Formulario_A00'!$D:$D,MATCH("D03-DOC-PFO-001.RUNWAY.MESES",'01_Formulario_A00'!$A:$A,0))),"— (a preencher em 01_Formulario_A00)")</f>
        <v/>
      </c>
    </row>
    <row r="237">
      <c r="A237" s="13" t="inlineStr">
        <is>
          <t>D03-DOC-PFO-001.FINANCING.CAPITAL_PROPRIO</t>
        </is>
      </c>
      <c r="B237" s="2" t="inlineStr">
        <is>
          <t>capital_proprio</t>
        </is>
      </c>
      <c r="C237" s="14">
        <f>IFERROR(IF(INDEX('01_Formulario_A00'!$D:$D,MATCH("D03-DOC-PFO-001.FINANCING.CAPITAL_PROPRIO",'01_Formulario_A00'!$A:$A,0))="","— (a preencher em 01_Formulario_A00)",INDEX('01_Formulario_A00'!$D:$D,MATCH("D03-DOC-PFO-001.FINANCING.CAPITAL_PROPRIO",'01_Formulario_A00'!$A:$A,0))),"— (a preencher em 01_Formulario_A00)")</f>
        <v/>
      </c>
    </row>
    <row r="238">
      <c r="A238" s="13" t="inlineStr">
        <is>
          <t>D03-DOC-PFO-001.FINANCING.DIVIDA</t>
        </is>
      </c>
      <c r="B238" s="2" t="inlineStr">
        <is>
          <t>divida</t>
        </is>
      </c>
      <c r="C238" s="14">
        <f>IFERROR(IF(INDEX('01_Formulario_A00'!$D:$D,MATCH("D03-DOC-PFO-001.FINANCING.DIVIDA",'01_Formulario_A00'!$A:$A,0))="","— (a preencher em 01_Formulario_A00)",INDEX('01_Formulario_A00'!$D:$D,MATCH("D03-DOC-PFO-001.FINANCING.DIVIDA",'01_Formulario_A00'!$A:$A,0))),"— (a preencher em 01_Formulario_A00)")</f>
        <v/>
      </c>
    </row>
    <row r="239">
      <c r="A239" s="13" t="inlineStr">
        <is>
          <t>D03-DOC-PFO-001.FINANCING.INVESTIMENTO</t>
        </is>
      </c>
      <c r="B239" s="2" t="inlineStr">
        <is>
          <t>investimento</t>
        </is>
      </c>
      <c r="C239" s="14">
        <f>IFERROR(IF(INDEX('01_Formulario_A00'!$D:$D,MATCH("D03-DOC-PFO-001.FINANCING.INVESTIMENTO",'01_Formulario_A00'!$A:$A,0))="","— (a preencher em 01_Formulario_A00)",INDEX('01_Formulario_A00'!$D:$D,MATCH("D03-DOC-PFO-001.FINANCING.INVESTIMENTO",'01_Formulario_A00'!$A:$A,0))),"— (a preencher em 01_Formulario_A00)")</f>
        <v/>
      </c>
    </row>
    <row r="240">
      <c r="A240" s="13" t="inlineStr">
        <is>
          <t>D03-DOC-PFO-001.PRICING.PRECOS</t>
        </is>
      </c>
      <c r="B240" s="2" t="inlineStr">
        <is>
          <t>precos</t>
        </is>
      </c>
      <c r="C240" s="14">
        <f>IFERROR(IF(INDEX('01_Formulario_A00'!$D:$D,MATCH("D03-DOC-PFO-001.PRICING.PRECOS",'01_Formulario_A00'!$A:$A,0))="","— (a preencher em 01_Formulario_A00)",INDEX('01_Formulario_A00'!$D:$D,MATCH("D03-DOC-PFO-001.PRICING.PRECOS",'01_Formulario_A00'!$A:$A,0))),"— (a preencher em 01_Formulario_A00)")</f>
        <v/>
      </c>
    </row>
    <row r="241">
      <c r="A241" s="13" t="inlineStr">
        <is>
          <t>D03-DOC-PFO-001.PRICING.DESCONTOS</t>
        </is>
      </c>
      <c r="B241" s="2" t="inlineStr">
        <is>
          <t>descontos</t>
        </is>
      </c>
      <c r="C241" s="14">
        <f>IFERROR(IF(INDEX('01_Formulario_A00'!$D:$D,MATCH("D03-DOC-PFO-001.PRICING.DESCONTOS",'01_Formulario_A00'!$A:$A,0))="","— (a preencher em 01_Formulario_A00)",INDEX('01_Formulario_A00'!$D:$D,MATCH("D03-DOC-PFO-001.PRICING.DESCONTOS",'01_Formulario_A00'!$A:$A,0))),"— (a preencher em 01_Formulario_A00)")</f>
        <v/>
      </c>
    </row>
    <row r="242">
      <c r="A242" s="13" t="inlineStr">
        <is>
          <t>D03-DOC-PFO-001.PRICING.IMPOSTOS</t>
        </is>
      </c>
      <c r="B242" s="2" t="inlineStr">
        <is>
          <t>impostos</t>
        </is>
      </c>
      <c r="C242" s="14">
        <f>IFERROR(IF(INDEX('01_Formulario_A00'!$D:$D,MATCH("D03-DOC-PFO-001.PRICING.IMPOSTOS",'01_Formulario_A00'!$A:$A,0))="","— (a preencher em 01_Formulario_A00)",INDEX('01_Formulario_A00'!$D:$D,MATCH("D03-DOC-PFO-001.PRICING.IMPOSTOS",'01_Formulario_A00'!$A:$A,0))),"— (a preencher em 01_Formulario_A00)")</f>
        <v/>
      </c>
    </row>
    <row r="243">
      <c r="A243" s="13" t="inlineStr">
        <is>
          <t>D03-DOC-PFO-001.SCENARIOS.BASE</t>
        </is>
      </c>
      <c r="B243" s="2" t="inlineStr">
        <is>
          <t>base</t>
        </is>
      </c>
      <c r="C243" s="14">
        <f>IFERROR(IF(INDEX('01_Formulario_A00'!$D:$D,MATCH("D03-DOC-PFO-001.SCENARIOS.BASE",'01_Formulario_A00'!$A:$A,0))="","— (a preencher em 01_Formulario_A00)",INDEX('01_Formulario_A00'!$D:$D,MATCH("D03-DOC-PFO-001.SCENARIOS.BASE",'01_Formulario_A00'!$A:$A,0))),"— (a preencher em 01_Formulario_A00)")</f>
        <v/>
      </c>
    </row>
    <row r="244">
      <c r="A244" s="13" t="inlineStr">
        <is>
          <t>D03-DOC-PFO-001.SCENARIOS.OTIMISTA</t>
        </is>
      </c>
      <c r="B244" s="2" t="inlineStr">
        <is>
          <t>otimista</t>
        </is>
      </c>
      <c r="C244" s="14">
        <f>IFERROR(IF(INDEX('01_Formulario_A00'!$D:$D,MATCH("D03-DOC-PFO-001.SCENARIOS.OTIMISTA",'01_Formulario_A00'!$A:$A,0))="","— (a preencher em 01_Formulario_A00)",INDEX('01_Formulario_A00'!$D:$D,MATCH("D03-DOC-PFO-001.SCENARIOS.OTIMISTA",'01_Formulario_A00'!$A:$A,0))),"— (a preencher em 01_Formulario_A00)")</f>
        <v/>
      </c>
    </row>
    <row r="245">
      <c r="A245" s="13" t="inlineStr">
        <is>
          <t>D03-DOC-PFO-001.SCENARIOS.CONSERVADOR</t>
        </is>
      </c>
      <c r="B245" s="2" t="inlineStr">
        <is>
          <t>conservador</t>
        </is>
      </c>
      <c r="C245" s="14">
        <f>IFERROR(IF(INDEX('01_Formulario_A00'!$D:$D,MATCH("D03-DOC-PFO-001.SCENARIOS.CONSERVADOR",'01_Formulario_A00'!$A:$A,0))="","— (a preencher em 01_Formulario_A00)",INDEX('01_Formulario_A00'!$D:$D,MATCH("D03-DOC-PFO-001.SCENARIOS.CONSERVADOR",'01_Formulario_A00'!$A:$A,0))),"— (a preencher em 01_Formulario_A00)")</f>
        <v/>
      </c>
    </row>
    <row r="246">
      <c r="A246" s="13" t="inlineStr">
        <is>
          <t>D03-DOC-PFO-001.CONTROLS.APROVACAO_DE_GASTOS</t>
        </is>
      </c>
      <c r="B246" s="2" t="inlineStr">
        <is>
          <t>aprovacao_de_gastos</t>
        </is>
      </c>
      <c r="C246" s="14">
        <f>IFERROR(IF(INDEX('01_Formulario_A00'!$D:$D,MATCH("D03-DOC-PFO-001.CONTROLS.APROVACAO_DE_GASTOS",'01_Formulario_A00'!$A:$A,0))="","— (a preencher em 01_Formulario_A00)",INDEX('01_Formulario_A00'!$D:$D,MATCH("D03-DOC-PFO-001.CONTROLS.APROVACAO_DE_GASTOS",'01_Formulario_A00'!$A:$A,0))),"— (a preencher em 01_Formulario_A00)")</f>
        <v/>
      </c>
    </row>
    <row r="247">
      <c r="A247" s="13" t="inlineStr">
        <is>
          <t>D03-DOC-PFO-001.CONTROLS.CONCILIACAO</t>
        </is>
      </c>
      <c r="B247" s="2" t="inlineStr">
        <is>
          <t>conciliacao</t>
        </is>
      </c>
      <c r="C247" s="14">
        <f>IFERROR(IF(INDEX('01_Formulario_A00'!$D:$D,MATCH("D03-DOC-PFO-001.CONTROLS.CONCILIACAO",'01_Formulario_A00'!$A:$A,0))="","— (a preencher em 01_Formulario_A00)",INDEX('01_Formulario_A00'!$D:$D,MATCH("D03-DOC-PFO-001.CONTROLS.CONCILIACAO",'01_Formulario_A00'!$A:$A,0))),"— (a preencher em 01_Formulario_A00)")</f>
        <v/>
      </c>
    </row>
    <row r="248">
      <c r="A248" s="13" t="inlineStr">
        <is>
          <t>D03-DOC-PFO-001.INDICATORS.RECEITA</t>
        </is>
      </c>
      <c r="B248" s="2" t="inlineStr">
        <is>
          <t>receita</t>
        </is>
      </c>
      <c r="C248" s="14">
        <f>IFERROR(IF(INDEX('01_Formulario_A00'!$D:$D,MATCH("D03-DOC-PFO-001.INDICATORS.RECEITA",'01_Formulario_A00'!$A:$A,0))="","— (a preencher em 01_Formulario_A00)",INDEX('01_Formulario_A00'!$D:$D,MATCH("D03-DOC-PFO-001.INDICATORS.RECEITA",'01_Formulario_A00'!$A:$A,0))),"— (a preencher em 01_Formulario_A00)")</f>
        <v/>
      </c>
    </row>
    <row r="249">
      <c r="A249" s="13" t="inlineStr">
        <is>
          <t>D03-DOC-PFO-001.INDICATORS.MARGEM</t>
        </is>
      </c>
      <c r="B249" s="2" t="inlineStr">
        <is>
          <t>margem</t>
        </is>
      </c>
      <c r="C249" s="14">
        <f>IFERROR(IF(INDEX('01_Formulario_A00'!$D:$D,MATCH("D03-DOC-PFO-001.INDICATORS.MARGEM",'01_Formulario_A00'!$A:$A,0))="","— (a preencher em 01_Formulario_A00)",INDEX('01_Formulario_A00'!$D:$D,MATCH("D03-DOC-PFO-001.INDICATORS.MARGEM",'01_Formulario_A00'!$A:$A,0))),"— (a preencher em 01_Formulario_A00)")</f>
        <v/>
      </c>
    </row>
    <row r="250">
      <c r="A250" s="13" t="inlineStr">
        <is>
          <t>D03-DOC-PFO-001.INDICATORS.BURN</t>
        </is>
      </c>
      <c r="B250" s="2" t="inlineStr">
        <is>
          <t>burn</t>
        </is>
      </c>
      <c r="C250" s="14">
        <f>IFERROR(IF(INDEX('01_Formulario_A00'!$D:$D,MATCH("D03-DOC-PFO-001.INDICATORS.BURN",'01_Formulario_A00'!$A:$A,0))="","— (a preencher em 01_Formulario_A00)",INDEX('01_Formulario_A00'!$D:$D,MATCH("D03-DOC-PFO-001.INDICATORS.BURN",'01_Formulario_A00'!$A:$A,0))),"— (a preencher em 01_Formulario_A00)")</f>
        <v/>
      </c>
    </row>
    <row r="251">
      <c r="A251" s="13" t="inlineStr">
        <is>
          <t>D03-DOC-PFO-001.INDICATORS.RUNWAY</t>
        </is>
      </c>
      <c r="B251" s="2" t="inlineStr">
        <is>
          <t>runway</t>
        </is>
      </c>
      <c r="C251" s="14">
        <f>IFERROR(IF(INDEX('01_Formulario_A00'!$D:$D,MATCH("D03-DOC-PFO-001.INDICATORS.RUNWAY",'01_Formulario_A00'!$A:$A,0))="","— (a preencher em 01_Formulario_A00)",INDEX('01_Formulario_A00'!$D:$D,MATCH("D03-DOC-PFO-001.INDICATORS.RUNWAY",'01_Formulario_A00'!$A:$A,0))),"— (a preencher em 01_Formulario_A00)")</f>
        <v/>
      </c>
    </row>
    <row r="252">
      <c r="A252" s="13" t="inlineStr">
        <is>
          <t>D03-DOC-PFO-001.INDICATORS.RESULTADO</t>
        </is>
      </c>
      <c r="B252" s="2" t="inlineStr">
        <is>
          <t>resultado</t>
        </is>
      </c>
      <c r="C252" s="14">
        <f>IFERROR(IF(INDEX('01_Formulario_A00'!$D:$D,MATCH("D03-DOC-PFO-001.INDICATORS.RESULTADO",'01_Formulario_A00'!$A:$A,0))="","— (a preencher em 01_Formulario_A00)",INDEX('01_Formulario_A00'!$D:$D,MATCH("D03-DOC-PFO-001.INDICATORS.RESULTADO",'01_Formulario_A00'!$A:$A,0))),"— (a preencher em 01_Formulario_A00)")</f>
        <v/>
      </c>
    </row>
    <row r="253">
      <c r="A253" s="13" t="inlineStr">
        <is>
          <t>D03-DOC-MFO-001.MODEL_INPUTS.PREMISSAS</t>
        </is>
      </c>
      <c r="B253" s="2" t="inlineStr">
        <is>
          <t>premissas</t>
        </is>
      </c>
      <c r="C253" s="14">
        <f>IFERROR(IF(INDEX('01_Formulario_A00'!$D:$D,MATCH("D03-DOC-MFO-001.MODEL_INPUTS.PREMISSAS",'01_Formulario_A00'!$A:$A,0))="","— (a preencher em 01_Formulario_A00)",INDEX('01_Formulario_A00'!$D:$D,MATCH("D03-DOC-MFO-001.MODEL_INPUTS.PREMISSAS",'01_Formulario_A00'!$A:$A,0))),"— (a preencher em 01_Formulario_A00)")</f>
        <v/>
      </c>
    </row>
    <row r="254">
      <c r="A254" s="13" t="inlineStr">
        <is>
          <t>D03-DOC-MFO-001.MODEL_INPUTS.DRIVERS</t>
        </is>
      </c>
      <c r="B254" s="2" t="inlineStr">
        <is>
          <t>drivers</t>
        </is>
      </c>
      <c r="C254" s="14">
        <f>IFERROR(IF(INDEX('01_Formulario_A00'!$D:$D,MATCH("D03-DOC-MFO-001.MODEL_INPUTS.DRIVERS",'01_Formulario_A00'!$A:$A,0))="","— (a preencher em 01_Formulario_A00)",INDEX('01_Formulario_A00'!$D:$D,MATCH("D03-DOC-MFO-001.MODEL_INPUTS.DRIVERS",'01_Formulario_A00'!$A:$A,0))),"— (a preencher em 01_Formulario_A00)")</f>
        <v/>
      </c>
    </row>
    <row r="255">
      <c r="A255" s="13" t="inlineStr">
        <is>
          <t>D03-DOC-MFO-001.REVENUE_MODEL.PRODUTO</t>
        </is>
      </c>
      <c r="B255" s="2" t="inlineStr">
        <is>
          <t>produto</t>
        </is>
      </c>
      <c r="C255" s="14">
        <f>IFERROR(IF(INDEX('01_Formulario_A00'!$D:$D,MATCH("D03-DOC-MFO-001.REVENUE_MODEL.PRODUTO",'01_Formulario_A00'!$A:$A,0))="","— (a preencher em 01_Formulario_A00)",INDEX('01_Formulario_A00'!$D:$D,MATCH("D03-DOC-MFO-001.REVENUE_MODEL.PRODUTO",'01_Formulario_A00'!$A:$A,0))),"— (a preencher em 01_Formulario_A00)")</f>
        <v/>
      </c>
    </row>
    <row r="256">
      <c r="A256" s="13" t="inlineStr">
        <is>
          <t>D03-DOC-MFO-001.REVENUE_MODEL.UNIDADE</t>
        </is>
      </c>
      <c r="B256" s="2" t="inlineStr">
        <is>
          <t>unidade</t>
        </is>
      </c>
      <c r="C256" s="14">
        <f>IFERROR(IF(INDEX('01_Formulario_A00'!$D:$D,MATCH("D03-DOC-MFO-001.REVENUE_MODEL.UNIDADE",'01_Formulario_A00'!$A:$A,0))="","— (a preencher em 01_Formulario_A00)",INDEX('01_Formulario_A00'!$D:$D,MATCH("D03-DOC-MFO-001.REVENUE_MODEL.UNIDADE",'01_Formulario_A00'!$A:$A,0))),"— (a preencher em 01_Formulario_A00)")</f>
        <v/>
      </c>
    </row>
    <row r="257">
      <c r="A257" s="13" t="inlineStr">
        <is>
          <t>D03-DOC-MFO-001.REVENUE_MODEL.VOLUME</t>
        </is>
      </c>
      <c r="B257" s="2" t="inlineStr">
        <is>
          <t>volume</t>
        </is>
      </c>
      <c r="C257" s="14">
        <f>IFERROR(IF(INDEX('01_Formulario_A00'!$D:$D,MATCH("D03-DOC-MFO-001.REVENUE_MODEL.VOLUME",'01_Formulario_A00'!$A:$A,0))="","— (a preencher em 01_Formulario_A00)",INDEX('01_Formulario_A00'!$D:$D,MATCH("D03-DOC-MFO-001.REVENUE_MODEL.VOLUME",'01_Formulario_A00'!$A:$A,0))),"— (a preencher em 01_Formulario_A00)")</f>
        <v/>
      </c>
    </row>
    <row r="258">
      <c r="A258" s="13" t="inlineStr">
        <is>
          <t>D03-DOC-MFO-001.REVENUE_MODEL.PRECO</t>
        </is>
      </c>
      <c r="B258" s="2" t="inlineStr">
        <is>
          <t>preco</t>
        </is>
      </c>
      <c r="C258" s="14">
        <f>IFERROR(IF(INDEX('01_Formulario_A00'!$D:$D,MATCH("D03-DOC-MFO-001.REVENUE_MODEL.PRECO",'01_Formulario_A00'!$A:$A,0))="","— (a preencher em 01_Formulario_A00)",INDEX('01_Formulario_A00'!$D:$D,MATCH("D03-DOC-MFO-001.REVENUE_MODEL.PRECO",'01_Formulario_A00'!$A:$A,0))),"— (a preencher em 01_Formulario_A00)")</f>
        <v/>
      </c>
    </row>
    <row r="259">
      <c r="A259" s="13" t="inlineStr">
        <is>
          <t>D03-DOC-MFO-001.COST_MODEL.FIXOS</t>
        </is>
      </c>
      <c r="B259" s="2" t="inlineStr">
        <is>
          <t>fixos</t>
        </is>
      </c>
      <c r="C259" s="14">
        <f>IFERROR(IF(INDEX('01_Formulario_A00'!$D:$D,MATCH("D03-DOC-MFO-001.COST_MODEL.FIXOS",'01_Formulario_A00'!$A:$A,0))="","— (a preencher em 01_Formulario_A00)",INDEX('01_Formulario_A00'!$D:$D,MATCH("D03-DOC-MFO-001.COST_MODEL.FIXOS",'01_Formulario_A00'!$A:$A,0))),"— (a preencher em 01_Formulario_A00)")</f>
        <v/>
      </c>
    </row>
    <row r="260">
      <c r="A260" s="13" t="inlineStr">
        <is>
          <t>D03-DOC-MFO-001.COST_MODEL.VARIAVEIS</t>
        </is>
      </c>
      <c r="B260" s="2" t="inlineStr">
        <is>
          <t>variaveis</t>
        </is>
      </c>
      <c r="C260" s="14">
        <f>IFERROR(IF(INDEX('01_Formulario_A00'!$D:$D,MATCH("D03-DOC-MFO-001.COST_MODEL.VARIAVEIS",'01_Formulario_A00'!$A:$A,0))="","— (a preencher em 01_Formulario_A00)",INDEX('01_Formulario_A00'!$D:$D,MATCH("D03-DOC-MFO-001.COST_MODEL.VARIAVEIS",'01_Formulario_A00'!$A:$A,0))),"— (a preencher em 01_Formulario_A00)")</f>
        <v/>
      </c>
    </row>
    <row r="261">
      <c r="A261" s="13" t="inlineStr">
        <is>
          <t>D03-DOC-MFO-001.PNL.RECEITA</t>
        </is>
      </c>
      <c r="B261" s="2" t="inlineStr">
        <is>
          <t>receita</t>
        </is>
      </c>
      <c r="C261" s="14">
        <f>IFERROR(IF(INDEX('01_Formulario_A00'!$D:$D,MATCH("D03-DOC-MFO-001.PNL.RECEITA",'01_Formulario_A00'!$A:$A,0))="","— (a preencher em 01_Formulario_A00)",INDEX('01_Formulario_A00'!$D:$D,MATCH("D03-DOC-MFO-001.PNL.RECEITA",'01_Formulario_A00'!$A:$A,0))),"— (a preencher em 01_Formulario_A00)")</f>
        <v/>
      </c>
    </row>
    <row r="262">
      <c r="A262" s="13" t="inlineStr">
        <is>
          <t>D03-DOC-MFO-001.PNL.CUSTOS</t>
        </is>
      </c>
      <c r="B262" s="2" t="inlineStr">
        <is>
          <t>custos</t>
        </is>
      </c>
      <c r="C262" s="14">
        <f>IFERROR(IF(INDEX('01_Formulario_A00'!$D:$D,MATCH("D03-DOC-MFO-001.PNL.CUSTOS",'01_Formulario_A00'!$A:$A,0))="","— (a preencher em 01_Formulario_A00)",INDEX('01_Formulario_A00'!$D:$D,MATCH("D03-DOC-MFO-001.PNL.CUSTOS",'01_Formulario_A00'!$A:$A,0))),"— (a preencher em 01_Formulario_A00)")</f>
        <v/>
      </c>
    </row>
    <row r="263">
      <c r="A263" s="13" t="inlineStr">
        <is>
          <t>D03-DOC-MFO-001.PNL.MARGEM</t>
        </is>
      </c>
      <c r="B263" s="2" t="inlineStr">
        <is>
          <t>margem</t>
        </is>
      </c>
      <c r="C263" s="14">
        <f>IFERROR(IF(INDEX('01_Formulario_A00'!$D:$D,MATCH("D03-DOC-MFO-001.PNL.MARGEM",'01_Formulario_A00'!$A:$A,0))="","— (a preencher em 01_Formulario_A00)",INDEX('01_Formulario_A00'!$D:$D,MATCH("D03-DOC-MFO-001.PNL.MARGEM",'01_Formulario_A00'!$A:$A,0))),"— (a preencher em 01_Formulario_A00)")</f>
        <v/>
      </c>
    </row>
    <row r="264">
      <c r="A264" s="13" t="inlineStr">
        <is>
          <t>D03-DOC-MFO-001.PNL.DESPESAS</t>
        </is>
      </c>
      <c r="B264" s="2" t="inlineStr">
        <is>
          <t>despesas</t>
        </is>
      </c>
      <c r="C264" s="14">
        <f>IFERROR(IF(INDEX('01_Formulario_A00'!$D:$D,MATCH("D03-DOC-MFO-001.PNL.DESPESAS",'01_Formulario_A00'!$A:$A,0))="","— (a preencher em 01_Formulario_A00)",INDEX('01_Formulario_A00'!$D:$D,MATCH("D03-DOC-MFO-001.PNL.DESPESAS",'01_Formulario_A00'!$A:$A,0))),"— (a preencher em 01_Formulario_A00)")</f>
        <v/>
      </c>
    </row>
    <row r="265">
      <c r="A265" s="13" t="inlineStr">
        <is>
          <t>D03-DOC-MFO-001.PNL.RESULTADO</t>
        </is>
      </c>
      <c r="B265" s="2" t="inlineStr">
        <is>
          <t>resultado</t>
        </is>
      </c>
      <c r="C265" s="14">
        <f>IFERROR(IF(INDEX('01_Formulario_A00'!$D:$D,MATCH("D03-DOC-MFO-001.PNL.RESULTADO",'01_Formulario_A00'!$A:$A,0))="","— (a preencher em 01_Formulario_A00)",INDEX('01_Formulario_A00'!$D:$D,MATCH("D03-DOC-MFO-001.PNL.RESULTADO",'01_Formulario_A00'!$A:$A,0))),"— (a preencher em 01_Formulario_A00)")</f>
        <v/>
      </c>
    </row>
    <row r="266">
      <c r="A266" s="13" t="inlineStr">
        <is>
          <t>D03-DOC-MFO-001.CASHFLOW.OPERACIONAL</t>
        </is>
      </c>
      <c r="B266" s="2" t="inlineStr">
        <is>
          <t>operacional</t>
        </is>
      </c>
      <c r="C266" s="14">
        <f>IFERROR(IF(INDEX('01_Formulario_A00'!$D:$D,MATCH("D03-DOC-MFO-001.CASHFLOW.OPERACIONAL",'01_Formulario_A00'!$A:$A,0))="","— (a preencher em 01_Formulario_A00)",INDEX('01_Formulario_A00'!$D:$D,MATCH("D03-DOC-MFO-001.CASHFLOW.OPERACIONAL",'01_Formulario_A00'!$A:$A,0))),"— (a preencher em 01_Formulario_A00)")</f>
        <v/>
      </c>
    </row>
    <row r="267">
      <c r="A267" s="13" t="inlineStr">
        <is>
          <t>D03-DOC-MFO-001.CASHFLOW.INVESTIMENTO</t>
        </is>
      </c>
      <c r="B267" s="2" t="inlineStr">
        <is>
          <t>investimento</t>
        </is>
      </c>
      <c r="C267" s="14">
        <f>IFERROR(IF(INDEX('01_Formulario_A00'!$D:$D,MATCH("D03-DOC-MFO-001.CASHFLOW.INVESTIMENTO",'01_Formulario_A00'!$A:$A,0))="","— (a preencher em 01_Formulario_A00)",INDEX('01_Formulario_A00'!$D:$D,MATCH("D03-DOC-MFO-001.CASHFLOW.INVESTIMENTO",'01_Formulario_A00'!$A:$A,0))),"— (a preencher em 01_Formulario_A00)")</f>
        <v/>
      </c>
    </row>
    <row r="268">
      <c r="A268" s="13" t="inlineStr">
        <is>
          <t>D03-DOC-MFO-001.CASHFLOW.FINANCIAMENTO</t>
        </is>
      </c>
      <c r="B268" s="2" t="inlineStr">
        <is>
          <t>financiamento</t>
        </is>
      </c>
      <c r="C268" s="14">
        <f>IFERROR(IF(INDEX('01_Formulario_A00'!$D:$D,MATCH("D03-DOC-MFO-001.CASHFLOW.FINANCIAMENTO",'01_Formulario_A00'!$A:$A,0))="","— (a preencher em 01_Formulario_A00)",INDEX('01_Formulario_A00'!$D:$D,MATCH("D03-DOC-MFO-001.CASHFLOW.FINANCIAMENTO",'01_Formulario_A00'!$A:$A,0))),"— (a preencher em 01_Formulario_A00)")</f>
        <v/>
      </c>
    </row>
    <row r="269">
      <c r="A269" s="13" t="inlineStr">
        <is>
          <t>D03-DOC-MFO-001.UNIT_ECONOMICS.CAC</t>
        </is>
      </c>
      <c r="B269" s="2" t="inlineStr">
        <is>
          <t>cac</t>
        </is>
      </c>
      <c r="C269" s="14">
        <f>IFERROR(IF(INDEX('01_Formulario_A00'!$D:$D,MATCH("D03-DOC-MFO-001.UNIT_ECONOMICS.CAC",'01_Formulario_A00'!$A:$A,0))="","— (a preencher em 01_Formulario_A00)",INDEX('01_Formulario_A00'!$D:$D,MATCH("D03-DOC-MFO-001.UNIT_ECONOMICS.CAC",'01_Formulario_A00'!$A:$A,0))),"— (a preencher em 01_Formulario_A00)")</f>
        <v/>
      </c>
    </row>
    <row r="270">
      <c r="A270" s="13" t="inlineStr">
        <is>
          <t>D03-DOC-MFO-001.UNIT_ECONOMICS.LTV</t>
        </is>
      </c>
      <c r="B270" s="2" t="inlineStr">
        <is>
          <t>ltv</t>
        </is>
      </c>
      <c r="C270" s="14">
        <f>IFERROR(IF(INDEX('01_Formulario_A00'!$D:$D,MATCH("D03-DOC-MFO-001.UNIT_ECONOMICS.LTV",'01_Formulario_A00'!$A:$A,0))="","— (a preencher em 01_Formulario_A00)",INDEX('01_Formulario_A00'!$D:$D,MATCH("D03-DOC-MFO-001.UNIT_ECONOMICS.LTV",'01_Formulario_A00'!$A:$A,0))),"— (a preencher em 01_Formulario_A00)")</f>
        <v/>
      </c>
    </row>
    <row r="271">
      <c r="A271" s="13" t="inlineStr">
        <is>
          <t>D03-DOC-MFO-001.UNIT_ECONOMICS.ARPU</t>
        </is>
      </c>
      <c r="B271" s="2" t="inlineStr">
        <is>
          <t>arpu</t>
        </is>
      </c>
      <c r="C271" s="14">
        <f>IFERROR(IF(INDEX('01_Formulario_A00'!$D:$D,MATCH("D03-DOC-MFO-001.UNIT_ECONOMICS.ARPU",'01_Formulario_A00'!$A:$A,0))="","— (a preencher em 01_Formulario_A00)",INDEX('01_Formulario_A00'!$D:$D,MATCH("D03-DOC-MFO-001.UNIT_ECONOMICS.ARPU",'01_Formulario_A00'!$A:$A,0))),"— (a preencher em 01_Formulario_A00)")</f>
        <v/>
      </c>
    </row>
    <row r="272">
      <c r="A272" s="13" t="inlineStr">
        <is>
          <t>D03-DOC-MFO-001.UNIT_ECONOMICS.CHURN</t>
        </is>
      </c>
      <c r="B272" s="2" t="inlineStr">
        <is>
          <t>churn</t>
        </is>
      </c>
      <c r="C272" s="14">
        <f>IFERROR(IF(INDEX('01_Formulario_A00'!$D:$D,MATCH("D03-DOC-MFO-001.UNIT_ECONOMICS.CHURN",'01_Formulario_A00'!$A:$A,0))="","— (a preencher em 01_Formulario_A00)",INDEX('01_Formulario_A00'!$D:$D,MATCH("D03-DOC-MFO-001.UNIT_ECONOMICS.CHURN",'01_Formulario_A00'!$A:$A,0))),"— (a preencher em 01_Formulario_A00)")</f>
        <v/>
      </c>
    </row>
    <row r="273">
      <c r="A273" s="13" t="inlineStr">
        <is>
          <t>D03-DOC-MFO-001.UNIT_ECONOMICS.MARGEM</t>
        </is>
      </c>
      <c r="B273" s="2" t="inlineStr">
        <is>
          <t>margem</t>
        </is>
      </c>
      <c r="C273" s="14">
        <f>IFERROR(IF(INDEX('01_Formulario_A00'!$D:$D,MATCH("D03-DOC-MFO-001.UNIT_ECONOMICS.MARGEM",'01_Formulario_A00'!$A:$A,0))="","— (a preencher em 01_Formulario_A00)",INDEX('01_Formulario_A00'!$D:$D,MATCH("D03-DOC-MFO-001.UNIT_ECONOMICS.MARGEM",'01_Formulario_A00'!$A:$A,0))),"— (a preencher em 01_Formulario_A00)")</f>
        <v/>
      </c>
    </row>
    <row r="274">
      <c r="A274" s="13" t="inlineStr">
        <is>
          <t>D03-DOC-MFO-001.BREAK_EVEN.PONTO_DE_EQUILIBRIO</t>
        </is>
      </c>
      <c r="B274" s="2" t="inlineStr">
        <is>
          <t>ponto_de_equilibrio</t>
        </is>
      </c>
      <c r="C274" s="14">
        <f>IFERROR(IF(INDEX('01_Formulario_A00'!$D:$D,MATCH("D03-DOC-MFO-001.BREAK_EVEN.PONTO_DE_EQUILIBRIO",'01_Formulario_A00'!$A:$A,0))="","— (a preencher em 01_Formulario_A00)",INDEX('01_Formulario_A00'!$D:$D,MATCH("D03-DOC-MFO-001.BREAK_EVEN.PONTO_DE_EQUILIBRIO",'01_Formulario_A00'!$A:$A,0))),"— (a preencher em 01_Formulario_A00)")</f>
        <v/>
      </c>
    </row>
    <row r="275">
      <c r="A275" s="13" t="inlineStr">
        <is>
          <t>D03-DOC-MFO-001.SENSITIVITY.VARIAVEIS_CRITICAS</t>
        </is>
      </c>
      <c r="B275" s="2" t="inlineStr">
        <is>
          <t>variaveis_criticas</t>
        </is>
      </c>
      <c r="C275" s="14">
        <f>IFERROR(IF(INDEX('01_Formulario_A00'!$D:$D,MATCH("D03-DOC-MFO-001.SENSITIVITY.VARIAVEIS_CRITICAS",'01_Formulario_A00'!$A:$A,0))="","— (a preencher em 01_Formulario_A00)",INDEX('01_Formulario_A00'!$D:$D,MATCH("D03-DOC-MFO-001.SENSITIVITY.VARIAVEIS_CRITICAS",'01_Formulario_A00'!$A:$A,0))),"— (a preencher em 01_Formulario_A00)")</f>
        <v/>
      </c>
    </row>
    <row r="276">
      <c r="A276" s="13" t="inlineStr">
        <is>
          <t>D03-DOC-MFO-001.SENSITIVITY.IMPACTO</t>
        </is>
      </c>
      <c r="B276" s="2" t="inlineStr">
        <is>
          <t>impacto</t>
        </is>
      </c>
      <c r="C276" s="14">
        <f>IFERROR(IF(INDEX('01_Formulario_A00'!$D:$D,MATCH("D03-DOC-MFO-001.SENSITIVITY.IMPACTO",'01_Formulario_A00'!$A:$A,0))="","— (a preencher em 01_Formulario_A00)",INDEX('01_Formulario_A00'!$D:$D,MATCH("D03-DOC-MFO-001.SENSITIVITY.IMPACTO",'01_Formulario_A00'!$A:$A,0))),"— (a preencher em 01_Formulario_A00)")</f>
        <v/>
      </c>
    </row>
    <row r="277">
      <c r="A277" s="13" t="inlineStr">
        <is>
          <t>D03-DOC-MFO-001.SCENARIOS.CENARIO</t>
        </is>
      </c>
      <c r="B277" s="2" t="inlineStr">
        <is>
          <t>cenario</t>
        </is>
      </c>
      <c r="C277" s="14">
        <f>IFERROR(IF(INDEX('01_Formulario_A00'!$D:$D,MATCH("D03-DOC-MFO-001.SCENARIOS.CENARIO",'01_Formulario_A00'!$A:$A,0))="","— (a preencher em 01_Formulario_A00)",INDEX('01_Formulario_A00'!$D:$D,MATCH("D03-DOC-MFO-001.SCENARIOS.CENARIO",'01_Formulario_A00'!$A:$A,0))),"— (a preencher em 01_Formulario_A00)")</f>
        <v/>
      </c>
    </row>
    <row r="278">
      <c r="A278" s="13" t="inlineStr">
        <is>
          <t>D03-DOC-MFO-001.SCENARIOS.PREMISSAS</t>
        </is>
      </c>
      <c r="B278" s="2" t="inlineStr">
        <is>
          <t>premissas</t>
        </is>
      </c>
      <c r="C278" s="14">
        <f>IFERROR(IF(INDEX('01_Formulario_A00'!$D:$D,MATCH("D03-DOC-MFO-001.SCENARIOS.PREMISSAS",'01_Formulario_A00'!$A:$A,0))="","— (a preencher em 01_Formulario_A00)",INDEX('01_Formulario_A00'!$D:$D,MATCH("D03-DOC-MFO-001.SCENARIOS.PREMISSAS",'01_Formulario_A00'!$A:$A,0))),"— (a preencher em 01_Formulario_A00)")</f>
        <v/>
      </c>
    </row>
    <row r="279">
      <c r="A279" s="13" t="inlineStr">
        <is>
          <t>D03-DOC-MFO-001.SCENARIOS.RESULTADO</t>
        </is>
      </c>
      <c r="B279" s="2" t="inlineStr">
        <is>
          <t>resultado</t>
        </is>
      </c>
      <c r="C279" s="14">
        <f>IFERROR(IF(INDEX('01_Formulario_A00'!$D:$D,MATCH("D03-DOC-MFO-001.SCENARIOS.RESULTADO",'01_Formulario_A00'!$A:$A,0))="","— (a preencher em 01_Formulario_A00)",INDEX('01_Formulario_A00'!$D:$D,MATCH("D03-DOC-MFO-001.SCENARIOS.RESULTADO",'01_Formulario_A00'!$A:$A,0))),"— (a preencher em 01_Formulario_A00)")</f>
        <v/>
      </c>
    </row>
    <row r="280">
      <c r="A280" s="13" t="inlineStr">
        <is>
          <t>D18-DOC-PCE-001.CONTRACT_INVENTORY.CONTRATO</t>
        </is>
      </c>
      <c r="B280" s="2" t="inlineStr">
        <is>
          <t>contrato</t>
        </is>
      </c>
      <c r="C280" s="14">
        <f>IFERROR(IF(INDEX('01_Formulario_A00'!$D:$D,MATCH("D18-DOC-PCE-001.CONTRACT_INVENTORY.CONTRATO",'01_Formulario_A00'!$A:$A,0))="","— (a preencher em 01_Formulario_A00)",INDEX('01_Formulario_A00'!$D:$D,MATCH("D18-DOC-PCE-001.CONTRACT_INVENTORY.CONTRATO",'01_Formulario_A00'!$A:$A,0))),"— (a preencher em 01_Formulario_A00)")</f>
        <v/>
      </c>
    </row>
    <row r="281">
      <c r="A281" s="13" t="inlineStr">
        <is>
          <t>D18-DOC-PCE-001.CONTRACT_INVENTORY.TIPO</t>
        </is>
      </c>
      <c r="B281" s="2" t="inlineStr">
        <is>
          <t>tipo</t>
        </is>
      </c>
      <c r="C281" s="14">
        <f>IFERROR(IF(INDEX('01_Formulario_A00'!$D:$D,MATCH("D18-DOC-PCE-001.CONTRACT_INVENTORY.TIPO",'01_Formulario_A00'!$A:$A,0))="","— (a preencher em 01_Formulario_A00)",INDEX('01_Formulario_A00'!$D:$D,MATCH("D18-DOC-PCE-001.CONTRACT_INVENTORY.TIPO",'01_Formulario_A00'!$A:$A,0))),"— (a preencher em 01_Formulario_A00)")</f>
        <v/>
      </c>
    </row>
    <row r="282">
      <c r="A282" s="13" t="inlineStr">
        <is>
          <t>D18-DOC-PCE-001.CONTRACT_INVENTORY.OWNER</t>
        </is>
      </c>
      <c r="B282" s="2" t="inlineStr">
        <is>
          <t>owner</t>
        </is>
      </c>
      <c r="C282" s="14">
        <f>IFERROR(IF(INDEX('01_Formulario_A00'!$D:$D,MATCH("D18-DOC-PCE-001.CONTRACT_INVENTORY.OWNER",'01_Formulario_A00'!$A:$A,0))="","— (a preencher em 01_Formulario_A00)",INDEX('01_Formulario_A00'!$D:$D,MATCH("D18-DOC-PCE-001.CONTRACT_INVENTORY.OWNER",'01_Formulario_A00'!$A:$A,0))),"— (a preencher em 01_Formulario_A00)")</f>
        <v/>
      </c>
    </row>
    <row r="283">
      <c r="A283" s="13" t="inlineStr">
        <is>
          <t>D18-DOC-PCE-001.DOCUMENT_SCHEMAS.DOCUMENTO</t>
        </is>
      </c>
      <c r="B283" s="2" t="inlineStr">
        <is>
          <t>documento</t>
        </is>
      </c>
      <c r="C283" s="14">
        <f>IFERROR(IF(INDEX('01_Formulario_A00'!$D:$D,MATCH("D18-DOC-PCE-001.DOCUMENT_SCHEMAS.DOCUMENTO",'01_Formulario_A00'!$A:$A,0))="","— (a preencher em 01_Formulario_A00)",INDEX('01_Formulario_A00'!$D:$D,MATCH("D18-DOC-PCE-001.DOCUMENT_SCHEMAS.DOCUMENTO",'01_Formulario_A00'!$A:$A,0))),"— (a preencher em 01_Formulario_A00)")</f>
        <v/>
      </c>
    </row>
    <row r="284">
      <c r="A284" s="13" t="inlineStr">
        <is>
          <t>D18-DOC-PCE-001.DOCUMENT_SCHEMAS.SCHEMA</t>
        </is>
      </c>
      <c r="B284" s="2" t="inlineStr">
        <is>
          <t>schema</t>
        </is>
      </c>
      <c r="C284" s="14">
        <f>IFERROR(IF(INDEX('01_Formulario_A00'!$D:$D,MATCH("D18-DOC-PCE-001.DOCUMENT_SCHEMAS.SCHEMA",'01_Formulario_A00'!$A:$A,0))="","— (a preencher em 01_Formulario_A00)",INDEX('01_Formulario_A00'!$D:$D,MATCH("D18-DOC-PCE-001.DOCUMENT_SCHEMAS.SCHEMA",'01_Formulario_A00'!$A:$A,0))),"— (a preencher em 01_Formulario_A00)")</f>
        <v/>
      </c>
    </row>
    <row r="285">
      <c r="A285" s="13" t="inlineStr">
        <is>
          <t>D18-DOC-PCE-001.DATA_CONTRACTS.PRODUCER</t>
        </is>
      </c>
      <c r="B285" s="2" t="inlineStr">
        <is>
          <t>producer</t>
        </is>
      </c>
      <c r="C285" s="14">
        <f>IFERROR(IF(INDEX('01_Formulario_A00'!$D:$D,MATCH("D18-DOC-PCE-001.DATA_CONTRACTS.PRODUCER",'01_Formulario_A00'!$A:$A,0))="","— (a preencher em 01_Formulario_A00)",INDEX('01_Formulario_A00'!$D:$D,MATCH("D18-DOC-PCE-001.DATA_CONTRACTS.PRODUCER",'01_Formulario_A00'!$A:$A,0))),"— (a preencher em 01_Formulario_A00)")</f>
        <v/>
      </c>
    </row>
    <row r="286">
      <c r="A286" s="13" t="inlineStr">
        <is>
          <t>D18-DOC-PCE-001.DATA_CONTRACTS.CONSUMER</t>
        </is>
      </c>
      <c r="B286" s="2" t="inlineStr">
        <is>
          <t>consumer</t>
        </is>
      </c>
      <c r="C286" s="14">
        <f>IFERROR(IF(INDEX('01_Formulario_A00'!$D:$D,MATCH("D18-DOC-PCE-001.DATA_CONTRACTS.CONSUMER",'01_Formulario_A00'!$A:$A,0))="","— (a preencher em 01_Formulario_A00)",INDEX('01_Formulario_A00'!$D:$D,MATCH("D18-DOC-PCE-001.DATA_CONTRACTS.CONSUMER",'01_Formulario_A00'!$A:$A,0))),"— (a preencher em 01_Formulario_A00)")</f>
        <v/>
      </c>
    </row>
    <row r="287">
      <c r="A287" s="13" t="inlineStr">
        <is>
          <t>D18-DOC-PCE-001.DATA_CONTRACTS.PAYLOAD</t>
        </is>
      </c>
      <c r="B287" s="2" t="inlineStr">
        <is>
          <t>payload</t>
        </is>
      </c>
      <c r="C287" s="14">
        <f>IFERROR(IF(INDEX('01_Formulario_A00'!$D:$D,MATCH("D18-DOC-PCE-001.DATA_CONTRACTS.PAYLOAD",'01_Formulario_A00'!$A:$A,0))="","— (a preencher em 01_Formulario_A00)",INDEX('01_Formulario_A00'!$D:$D,MATCH("D18-DOC-PCE-001.DATA_CONTRACTS.PAYLOAD",'01_Formulario_A00'!$A:$A,0))),"— (a preencher em 01_Formulario_A00)")</f>
        <v/>
      </c>
    </row>
    <row r="288">
      <c r="A288" s="13" t="inlineStr">
        <is>
          <t>D18-DOC-PCE-001.API_CONTRACTS.ENDPOINT</t>
        </is>
      </c>
      <c r="B288" s="2" t="inlineStr">
        <is>
          <t>endpoint</t>
        </is>
      </c>
      <c r="C288" s="14">
        <f>IFERROR(IF(INDEX('01_Formulario_A00'!$D:$D,MATCH("D18-DOC-PCE-001.API_CONTRACTS.ENDPOINT",'01_Formulario_A00'!$A:$A,0))="","— (a preencher em 01_Formulario_A00)",INDEX('01_Formulario_A00'!$D:$D,MATCH("D18-DOC-PCE-001.API_CONTRACTS.ENDPOINT",'01_Formulario_A00'!$A:$A,0))),"— (a preencher em 01_Formulario_A00)")</f>
        <v/>
      </c>
    </row>
    <row r="289">
      <c r="A289" s="13" t="inlineStr">
        <is>
          <t>D18-DOC-PCE-001.API_CONTRACTS.REQUEST</t>
        </is>
      </c>
      <c r="B289" s="2" t="inlineStr">
        <is>
          <t>request</t>
        </is>
      </c>
      <c r="C289" s="14">
        <f>IFERROR(IF(INDEX('01_Formulario_A00'!$D:$D,MATCH("D18-DOC-PCE-001.API_CONTRACTS.REQUEST",'01_Formulario_A00'!$A:$A,0))="","— (a preencher em 01_Formulario_A00)",INDEX('01_Formulario_A00'!$D:$D,MATCH("D18-DOC-PCE-001.API_CONTRACTS.REQUEST",'01_Formulario_A00'!$A:$A,0))),"— (a preencher em 01_Formulario_A00)")</f>
        <v/>
      </c>
    </row>
    <row r="290">
      <c r="A290" s="13" t="inlineStr">
        <is>
          <t>D18-DOC-PCE-001.API_CONTRACTS.RESPONSE</t>
        </is>
      </c>
      <c r="B290" s="2" t="inlineStr">
        <is>
          <t>response</t>
        </is>
      </c>
      <c r="C290" s="14">
        <f>IFERROR(IF(INDEX('01_Formulario_A00'!$D:$D,MATCH("D18-DOC-PCE-001.API_CONTRACTS.RESPONSE",'01_Formulario_A00'!$A:$A,0))="","— (a preencher em 01_Formulario_A00)",INDEX('01_Formulario_A00'!$D:$D,MATCH("D18-DOC-PCE-001.API_CONTRACTS.RESPONSE",'01_Formulario_A00'!$A:$A,0))),"— (a preencher em 01_Formulario_A00)")</f>
        <v/>
      </c>
    </row>
    <row r="291">
      <c r="A291" s="13" t="inlineStr">
        <is>
          <t>D18-DOC-PCE-001.EVENT_CONTRACTS.EVENTO</t>
        </is>
      </c>
      <c r="B291" s="2" t="inlineStr">
        <is>
          <t>evento</t>
        </is>
      </c>
      <c r="C291" s="14">
        <f>IFERROR(IF(INDEX('01_Formulario_A00'!$D:$D,MATCH("D18-DOC-PCE-001.EVENT_CONTRACTS.EVENTO",'01_Formulario_A00'!$A:$A,0))="","— (a preencher em 01_Formulario_A00)",INDEX('01_Formulario_A00'!$D:$D,MATCH("D18-DOC-PCE-001.EVENT_CONTRACTS.EVENTO",'01_Formulario_A00'!$A:$A,0))),"— (a preencher em 01_Formulario_A00)")</f>
        <v/>
      </c>
    </row>
    <row r="292">
      <c r="A292" s="13" t="inlineStr">
        <is>
          <t>D18-DOC-PCE-001.EVENT_CONTRACTS.PROPRIEDADES</t>
        </is>
      </c>
      <c r="B292" s="2" t="inlineStr">
        <is>
          <t>propriedades</t>
        </is>
      </c>
      <c r="C292" s="14">
        <f>IFERROR(IF(INDEX('01_Formulario_A00'!$D:$D,MATCH("D18-DOC-PCE-001.EVENT_CONTRACTS.PROPRIEDADES",'01_Formulario_A00'!$A:$A,0))="","— (a preencher em 01_Formulario_A00)",INDEX('01_Formulario_A00'!$D:$D,MATCH("D18-DOC-PCE-001.EVENT_CONTRACTS.PROPRIEDADES",'01_Formulario_A00'!$A:$A,0))),"— (a preencher em 01_Formulario_A00)")</f>
        <v/>
      </c>
    </row>
    <row r="293">
      <c r="A293" s="13" t="inlineStr">
        <is>
          <t>D18-DOC-PCE-001.WORKFLOW_CONTRACTS.ENTRADA</t>
        </is>
      </c>
      <c r="B293" s="2" t="inlineStr">
        <is>
          <t>entrada</t>
        </is>
      </c>
      <c r="C293" s="14">
        <f>IFERROR(IF(INDEX('01_Formulario_A00'!$D:$D,MATCH("D18-DOC-PCE-001.WORKFLOW_CONTRACTS.ENTRADA",'01_Formulario_A00'!$A:$A,0))="","— (a preencher em 01_Formulario_A00)",INDEX('01_Formulario_A00'!$D:$D,MATCH("D18-DOC-PCE-001.WORKFLOW_CONTRACTS.ENTRADA",'01_Formulario_A00'!$A:$A,0))),"— (a preencher em 01_Formulario_A00)")</f>
        <v/>
      </c>
    </row>
    <row r="294">
      <c r="A294" s="13" t="inlineStr">
        <is>
          <t>D18-DOC-PCE-001.WORKFLOW_CONTRACTS.SAIDA</t>
        </is>
      </c>
      <c r="B294" s="2" t="inlineStr">
        <is>
          <t>saida</t>
        </is>
      </c>
      <c r="C294" s="14">
        <f>IFERROR(IF(INDEX('01_Formulario_A00'!$D:$D,MATCH("D18-DOC-PCE-001.WORKFLOW_CONTRACTS.SAIDA",'01_Formulario_A00'!$A:$A,0))="","— (a preencher em 01_Formulario_A00)",INDEX('01_Formulario_A00'!$D:$D,MATCH("D18-DOC-PCE-001.WORKFLOW_CONTRACTS.SAIDA",'01_Formulario_A00'!$A:$A,0))),"— (a preencher em 01_Formulario_A00)")</f>
        <v/>
      </c>
    </row>
    <row r="295">
      <c r="A295" s="13" t="inlineStr">
        <is>
          <t>D18-DOC-PCE-001.WORKFLOW_CONTRACTS.GATE</t>
        </is>
      </c>
      <c r="B295" s="2" t="inlineStr">
        <is>
          <t>gate</t>
        </is>
      </c>
      <c r="C295" s="14">
        <f>IFERROR(IF(INDEX('01_Formulario_A00'!$D:$D,MATCH("D18-DOC-PCE-001.WORKFLOW_CONTRACTS.GATE",'01_Formulario_A00'!$A:$A,0))="","— (a preencher em 01_Formulario_A00)",INDEX('01_Formulario_A00'!$D:$D,MATCH("D18-DOC-PCE-001.WORKFLOW_CONTRACTS.GATE",'01_Formulario_A00'!$A:$A,0))),"— (a preencher em 01_Formulario_A00)")</f>
        <v/>
      </c>
    </row>
    <row r="296">
      <c r="A296" s="13" t="inlineStr">
        <is>
          <t>D18-DOC-PCE-001.HANDOFF_CONTRACTS.ORIGEM</t>
        </is>
      </c>
      <c r="B296" s="2" t="inlineStr">
        <is>
          <t>origem</t>
        </is>
      </c>
      <c r="C296" s="14">
        <f>IFERROR(IF(INDEX('01_Formulario_A00'!$D:$D,MATCH("D18-DOC-PCE-001.HANDOFF_CONTRACTS.ORIGEM",'01_Formulario_A00'!$A:$A,0))="","— (a preencher em 01_Formulario_A00)",INDEX('01_Formulario_A00'!$D:$D,MATCH("D18-DOC-PCE-001.HANDOFF_CONTRACTS.ORIGEM",'01_Formulario_A00'!$A:$A,0))),"— (a preencher em 01_Formulario_A00)")</f>
        <v/>
      </c>
    </row>
    <row r="297">
      <c r="A297" s="13" t="inlineStr">
        <is>
          <t>D18-DOC-PCE-001.HANDOFF_CONTRACTS.DESTINO</t>
        </is>
      </c>
      <c r="B297" s="2" t="inlineStr">
        <is>
          <t>destino</t>
        </is>
      </c>
      <c r="C297" s="14">
        <f>IFERROR(IF(INDEX('01_Formulario_A00'!$D:$D,MATCH("D18-DOC-PCE-001.HANDOFF_CONTRACTS.DESTINO",'01_Formulario_A00'!$A:$A,0))="","— (a preencher em 01_Formulario_A00)",INDEX('01_Formulario_A00'!$D:$D,MATCH("D18-DOC-PCE-001.HANDOFF_CONTRACTS.DESTINO",'01_Formulario_A00'!$A:$A,0))),"— (a preencher em 01_Formulario_A00)")</f>
        <v/>
      </c>
    </row>
    <row r="298">
      <c r="A298" s="13" t="inlineStr">
        <is>
          <t>D18-DOC-PCE-001.HANDOFF_CONTRACTS.REQUISITOS</t>
        </is>
      </c>
      <c r="B298" s="2" t="inlineStr">
        <is>
          <t>requisitos</t>
        </is>
      </c>
      <c r="C298" s="14">
        <f>IFERROR(IF(INDEX('01_Formulario_A00'!$D:$D,MATCH("D18-DOC-PCE-001.HANDOFF_CONTRACTS.REQUISITOS",'01_Formulario_A00'!$A:$A,0))="","— (a preencher em 01_Formulario_A00)",INDEX('01_Formulario_A00'!$D:$D,MATCH("D18-DOC-PCE-001.HANDOFF_CONTRACTS.REQUISITOS",'01_Formulario_A00'!$A:$A,0))),"— (a preencher em 01_Formulario_A00)")</f>
        <v/>
      </c>
    </row>
    <row r="299">
      <c r="A299" s="13" t="inlineStr">
        <is>
          <t>D18-DOC-PCE-001.VALIDATION.SCHEMA_VALIDATOR</t>
        </is>
      </c>
      <c r="B299" s="2" t="inlineStr">
        <is>
          <t>schema_validator</t>
        </is>
      </c>
      <c r="C299" s="14">
        <f>IFERROR(IF(INDEX('01_Formulario_A00'!$D:$D,MATCH("D18-DOC-PCE-001.VALIDATION.SCHEMA_VALIDATOR",'01_Formulario_A00'!$A:$A,0))="","— (a preencher em 01_Formulario_A00)",INDEX('01_Formulario_A00'!$D:$D,MATCH("D18-DOC-PCE-001.VALIDATION.SCHEMA_VALIDATOR",'01_Formulario_A00'!$A:$A,0))),"— (a preencher em 01_Formulario_A00)")</f>
        <v/>
      </c>
    </row>
    <row r="300">
      <c r="A300" s="13" t="inlineStr">
        <is>
          <t>D18-DOC-PCE-001.VALIDATION.REGRA</t>
        </is>
      </c>
      <c r="B300" s="2" t="inlineStr">
        <is>
          <t>regra</t>
        </is>
      </c>
      <c r="C300" s="14">
        <f>IFERROR(IF(INDEX('01_Formulario_A00'!$D:$D,MATCH("D18-DOC-PCE-001.VALIDATION.REGRA",'01_Formulario_A00'!$A:$A,0))="","— (a preencher em 01_Formulario_A00)",INDEX('01_Formulario_A00'!$D:$D,MATCH("D18-DOC-PCE-001.VALIDATION.REGRA",'01_Formulario_A00'!$A:$A,0))),"— (a preencher em 01_Formulario_A00)")</f>
        <v/>
      </c>
    </row>
    <row r="301">
      <c r="A301" s="13" t="inlineStr">
        <is>
          <t>D18-DOC-PCE-001.VERSIONING.VERSAO</t>
        </is>
      </c>
      <c r="B301" s="2" t="inlineStr">
        <is>
          <t>versao</t>
        </is>
      </c>
      <c r="C301" s="14">
        <f>IFERROR(IF(INDEX('01_Formulario_A00'!$D:$D,MATCH("D18-DOC-PCE-001.VERSIONING.VERSAO",'01_Formulario_A00'!$A:$A,0))="","— (a preencher em 01_Formulario_A00)",INDEX('01_Formulario_A00'!$D:$D,MATCH("D18-DOC-PCE-001.VERSIONING.VERSAO",'01_Formulario_A00'!$A:$A,0))),"— (a preencher em 01_Formulario_A00)")</f>
        <v/>
      </c>
    </row>
    <row r="302">
      <c r="A302" s="13" t="inlineStr">
        <is>
          <t>D18-DOC-PCE-001.VERSIONING.COMPATIBILIDADE</t>
        </is>
      </c>
      <c r="B302" s="2" t="inlineStr">
        <is>
          <t>compatibilidade</t>
        </is>
      </c>
      <c r="C302" s="14">
        <f>IFERROR(IF(INDEX('01_Formulario_A00'!$D:$D,MATCH("D18-DOC-PCE-001.VERSIONING.COMPATIBILIDADE",'01_Formulario_A00'!$A:$A,0))="","— (a preencher em 01_Formulario_A00)",INDEX('01_Formulario_A00'!$D:$D,MATCH("D18-DOC-PCE-001.VERSIONING.COMPATIBILIDADE",'01_Formulario_A00'!$A:$A,0))),"— (a preencher em 01_Formulario_A00)")</f>
        <v/>
      </c>
    </row>
    <row r="303">
      <c r="A303" s="13" t="inlineStr">
        <is>
          <t>D18-DOC-PCE-001.CHANGE_CONTROL.MUDANCA</t>
        </is>
      </c>
      <c r="B303" s="2" t="inlineStr">
        <is>
          <t>mudanca</t>
        </is>
      </c>
      <c r="C303" s="14">
        <f>IFERROR(IF(INDEX('01_Formulario_A00'!$D:$D,MATCH("D18-DOC-PCE-001.CHANGE_CONTROL.MUDANCA",'01_Formulario_A00'!$A:$A,0))="","— (a preencher em 01_Formulario_A00)",INDEX('01_Formulario_A00'!$D:$D,MATCH("D18-DOC-PCE-001.CHANGE_CONTROL.MUDANCA",'01_Formulario_A00'!$A:$A,0))),"— (a preencher em 01_Formulario_A00)")</f>
        <v/>
      </c>
    </row>
    <row r="304">
      <c r="A304" s="13" t="inlineStr">
        <is>
          <t>D18-DOC-PCE-001.CHANGE_CONTROL.APROVACAO</t>
        </is>
      </c>
      <c r="B304" s="2" t="inlineStr">
        <is>
          <t>aprovacao</t>
        </is>
      </c>
      <c r="C304" s="14">
        <f>IFERROR(IF(INDEX('01_Formulario_A00'!$D:$D,MATCH("D18-DOC-PCE-001.CHANGE_CONTROL.APROVACAO",'01_Formulario_A00'!$A:$A,0))="","— (a preencher em 01_Formulario_A00)",INDEX('01_Formulario_A00'!$D:$D,MATCH("D18-DOC-PCE-001.CHANGE_CONTROL.APROVACAO",'01_Formulario_A00'!$A:$A,0))),"— (a preencher em 01_Formulario_A00)")</f>
        <v/>
      </c>
    </row>
    <row r="305">
      <c r="A305" s="13" t="inlineStr">
        <is>
          <t>D18-DOC-PCE-001.REGISTRY.ID</t>
        </is>
      </c>
      <c r="B305" s="2" t="inlineStr">
        <is>
          <t>id</t>
        </is>
      </c>
      <c r="C305" s="14">
        <f>IFERROR(IF(INDEX('01_Formulario_A00'!$D:$D,MATCH("D18-DOC-PCE-001.REGISTRY.ID",'01_Formulario_A00'!$A:$A,0))="","— (a preencher em 01_Formulario_A00)",INDEX('01_Formulario_A00'!$D:$D,MATCH("D18-DOC-PCE-001.REGISTRY.ID",'01_Formulario_A00'!$A:$A,0))),"— (a preencher em 01_Formulario_A00)")</f>
        <v/>
      </c>
    </row>
    <row r="306">
      <c r="A306" s="13" t="inlineStr">
        <is>
          <t>D18-DOC-PCE-001.REGISTRY.LOCALIZACAO</t>
        </is>
      </c>
      <c r="B306" s="2" t="inlineStr">
        <is>
          <t>localizacao</t>
        </is>
      </c>
      <c r="C306" s="14">
        <f>IFERROR(IF(INDEX('01_Formulario_A00'!$D:$D,MATCH("D18-DOC-PCE-001.REGISTRY.LOCALIZACAO",'01_Formulario_A00'!$A:$A,0))="","— (a preencher em 01_Formulario_A00)",INDEX('01_Formulario_A00'!$D:$D,MATCH("D18-DOC-PCE-001.REGISTRY.LOCALIZACAO",'01_Formulario_A00'!$A:$A,0))),"— (a preencher em 01_Formulario_A00)")</f>
        <v/>
      </c>
    </row>
    <row r="307">
      <c r="A307" s="13" t="inlineStr">
        <is>
          <t>D18-DOC-PCE-001.TESTING.CONTRACT_TEST</t>
        </is>
      </c>
      <c r="B307" s="2" t="inlineStr">
        <is>
          <t>contract_test</t>
        </is>
      </c>
      <c r="C307" s="14">
        <f>IFERROR(IF(INDEX('01_Formulario_A00'!$D:$D,MATCH("D18-DOC-PCE-001.TESTING.CONTRACT_TEST",'01_Formulario_A00'!$A:$A,0))="","— (a preencher em 01_Formulario_A00)",INDEX('01_Formulario_A00'!$D:$D,MATCH("D18-DOC-PCE-001.TESTING.CONTRACT_TEST",'01_Formulario_A00'!$A:$A,0))),"— (a preencher em 01_Formulario_A00)")</f>
        <v/>
      </c>
    </row>
    <row r="308">
      <c r="A308" s="13" t="inlineStr">
        <is>
          <t>D18-DOC-PCE-001.TESTING.RESULTADO</t>
        </is>
      </c>
      <c r="B308" s="2" t="inlineStr">
        <is>
          <t>resultado</t>
        </is>
      </c>
      <c r="C308" s="14">
        <f>IFERROR(IF(INDEX('01_Formulario_A00'!$D:$D,MATCH("D18-DOC-PCE-001.TESTING.RESULTADO",'01_Formulario_A00'!$A:$A,0))="","— (a preencher em 01_Formulario_A00)",INDEX('01_Formulario_A00'!$D:$D,MATCH("D18-DOC-PCE-001.TESTING.RESULTADO",'01_Formulario_A00'!$A:$A,0))),"— (a preencher em 01_Formulario_A00)")</f>
        <v/>
      </c>
    </row>
    <row r="309">
      <c r="A309" s="13" t="inlineStr">
        <is>
          <t>D18-DOC-PCE-001.DEPRECATION.OBJETO</t>
        </is>
      </c>
      <c r="B309" s="2" t="inlineStr">
        <is>
          <t>objeto</t>
        </is>
      </c>
      <c r="C309" s="14">
        <f>IFERROR(IF(INDEX('01_Formulario_A00'!$D:$D,MATCH("D18-DOC-PCE-001.DEPRECATION.OBJETO",'01_Formulario_A00'!$A:$A,0))="","— (a preencher em 01_Formulario_A00)",INDEX('01_Formulario_A00'!$D:$D,MATCH("D18-DOC-PCE-001.DEPRECATION.OBJETO",'01_Formulario_A00'!$A:$A,0))),"— (a preencher em 01_Formulario_A00)")</f>
        <v/>
      </c>
    </row>
    <row r="310">
      <c r="A310" s="13" t="inlineStr">
        <is>
          <t>D18-DOC-PCE-001.DEPRECATION.PRAZO</t>
        </is>
      </c>
      <c r="B310" s="2" t="inlineStr">
        <is>
          <t>prazo</t>
        </is>
      </c>
      <c r="C310" s="14">
        <f>IFERROR(IF(INDEX('01_Formulario_A00'!$D:$D,MATCH("D18-DOC-PCE-001.DEPRECATION.PRAZO",'01_Formulario_A00'!$A:$A,0))="","— (a preencher em 01_Formulario_A00)",INDEX('01_Formulario_A00'!$D:$D,MATCH("D18-DOC-PCE-001.DEPRECATION.PRAZO",'01_Formulario_A00'!$A:$A,0))),"— (a preencher em 01_Formulario_A00)")</f>
        <v/>
      </c>
    </row>
    <row r="311">
      <c r="A311" s="13" t="inlineStr">
        <is>
          <t>D18-DOC-PCE-001.DEPRECATION.SUBSTITUTO</t>
        </is>
      </c>
      <c r="B311" s="2" t="inlineStr">
        <is>
          <t>substituto</t>
        </is>
      </c>
      <c r="C311" s="14">
        <f>IFERROR(IF(INDEX('01_Formulario_A00'!$D:$D,MATCH("D18-DOC-PCE-001.DEPRECATION.SUBSTITUTO",'01_Formulario_A00'!$A:$A,0))="","— (a preencher em 01_Formulario_A00)",INDEX('01_Formulario_A00'!$D:$D,MATCH("D18-DOC-PCE-001.DEPRECATION.SUBSTITUTO",'01_Formulario_A00'!$A:$A,0))),"— (a preencher em 01_Formulario_A00)")</f>
        <v/>
      </c>
    </row>
    <row r="312">
      <c r="A312" s="5" t="inlineStr">
        <is>
          <t>A01 — Negócio e Go-to-Market</t>
        </is>
      </c>
      <c r="B312" s="6" t="n"/>
      <c r="C312" s="7" t="n"/>
    </row>
    <row r="313">
      <c r="A313" s="13" t="inlineStr">
        <is>
          <t>D13-DOC-DRM-001.MARKET.DEFINICAO</t>
        </is>
      </c>
      <c r="B313" s="2" t="inlineStr">
        <is>
          <t>definicao</t>
        </is>
      </c>
      <c r="C313" s="14">
        <f>IFERROR(IF(INDEX('01_Formulario_A01'!$D:$D,MATCH("D13-DOC-DRM-001.MARKET.DEFINICAO",'01_Formulario_A01'!$A:$A,0))="","— (a preencher em 01_Formulario_A01)",INDEX('01_Formulario_A01'!$D:$D,MATCH("D13-DOC-DRM-001.MARKET.DEFINICAO",'01_Formulario_A01'!$A:$A,0))),"— (a preencher em 01_Formulario_A01)")</f>
        <v/>
      </c>
    </row>
    <row r="314">
      <c r="A314" s="13" t="inlineStr">
        <is>
          <t>D13-DOC-DRM-001.MARKET.TAMANHO</t>
        </is>
      </c>
      <c r="B314" s="2" t="inlineStr">
        <is>
          <t>tamanho</t>
        </is>
      </c>
      <c r="C314" s="14">
        <f>IFERROR(IF(INDEX('01_Formulario_A01'!$D:$D,MATCH("D13-DOC-DRM-001.MARKET.TAMANHO",'01_Formulario_A01'!$A:$A,0))="","— (a preencher em 01_Formulario_A01)",INDEX('01_Formulario_A01'!$D:$D,MATCH("D13-DOC-DRM-001.MARKET.TAMANHO",'01_Formulario_A01'!$A:$A,0))),"— (a preencher em 01_Formulario_A01)")</f>
        <v/>
      </c>
    </row>
    <row r="315">
      <c r="A315" s="13" t="inlineStr">
        <is>
          <t>D13-DOC-DRM-001.MARKET.TENDENCIA</t>
        </is>
      </c>
      <c r="B315" s="2" t="inlineStr">
        <is>
          <t>tendencia</t>
        </is>
      </c>
      <c r="C315" s="14">
        <f>IFERROR(IF(INDEX('01_Formulario_A01'!$D:$D,MATCH("D13-DOC-DRM-001.MARKET.TENDENCIA",'01_Formulario_A01'!$A:$A,0))="","— (a preencher em 01_Formulario_A01)",INDEX('01_Formulario_A01'!$D:$D,MATCH("D13-DOC-DRM-001.MARKET.TENDENCIA",'01_Formulario_A01'!$A:$A,0))),"— (a preencher em 01_Formulario_A01)")</f>
        <v/>
      </c>
    </row>
    <row r="316">
      <c r="A316" s="13" t="inlineStr">
        <is>
          <t>D13-DOC-DRM-001.SEGMENTS.SEGMENTO</t>
        </is>
      </c>
      <c r="B316" s="2" t="inlineStr">
        <is>
          <t>segmento</t>
        </is>
      </c>
      <c r="C316" s="14">
        <f>IFERROR(IF(INDEX('01_Formulario_A01'!$D:$D,MATCH("D13-DOC-DRM-001.SEGMENTS.SEGMENTO",'01_Formulario_A01'!$A:$A,0))="","— (a preencher em 01_Formulario_A01)",INDEX('01_Formulario_A01'!$D:$D,MATCH("D13-DOC-DRM-001.SEGMENTS.SEGMENTO",'01_Formulario_A01'!$A:$A,0))),"— (a preencher em 01_Formulario_A01)")</f>
        <v/>
      </c>
    </row>
    <row r="317">
      <c r="A317" s="13" t="inlineStr">
        <is>
          <t>D13-DOC-DRM-001.SEGMENTS.NECESSIDADE</t>
        </is>
      </c>
      <c r="B317" s="2" t="inlineStr">
        <is>
          <t>necessidade</t>
        </is>
      </c>
      <c r="C317" s="14">
        <f>IFERROR(IF(INDEX('01_Formulario_A01'!$D:$D,MATCH("D13-DOC-DRM-001.SEGMENTS.NECESSIDADE",'01_Formulario_A01'!$A:$A,0))="","— (a preencher em 01_Formulario_A01)",INDEX('01_Formulario_A01'!$D:$D,MATCH("D13-DOC-DRM-001.SEGMENTS.NECESSIDADE",'01_Formulario_A01'!$A:$A,0))),"— (a preencher em 01_Formulario_A01)")</f>
        <v/>
      </c>
    </row>
    <row r="318">
      <c r="A318" s="13" t="inlineStr">
        <is>
          <t>D13-DOC-DRM-001.ICP.PERFIL</t>
        </is>
      </c>
      <c r="B318" s="2" t="inlineStr">
        <is>
          <t>perfil</t>
        </is>
      </c>
      <c r="C318" s="14">
        <f>IFERROR(IF(INDEX('01_Formulario_A01'!$D:$D,MATCH("D13-DOC-DRM-001.ICP.PERFIL",'01_Formulario_A01'!$A:$A,0))="","— (a preencher em 01_Formulario_A01)",INDEX('01_Formulario_A01'!$D:$D,MATCH("D13-DOC-DRM-001.ICP.PERFIL",'01_Formulario_A01'!$A:$A,0))),"— (a preencher em 01_Formulario_A01)")</f>
        <v/>
      </c>
    </row>
    <row r="319">
      <c r="A319" s="13" t="inlineStr">
        <is>
          <t>D13-DOC-DRM-001.ICP.CRITERIOS</t>
        </is>
      </c>
      <c r="B319" s="2" t="inlineStr">
        <is>
          <t>criterios</t>
        </is>
      </c>
      <c r="C319" s="14">
        <f>IFERROR(IF(INDEX('01_Formulario_A01'!$D:$D,MATCH("D13-DOC-DRM-001.ICP.CRITERIOS",'01_Formulario_A01'!$A:$A,0))="","— (a preencher em 01_Formulario_A01)",INDEX('01_Formulario_A01'!$D:$D,MATCH("D13-DOC-DRM-001.ICP.CRITERIOS",'01_Formulario_A01'!$A:$A,0))),"— (a preencher em 01_Formulario_A01)")</f>
        <v/>
      </c>
    </row>
    <row r="320">
      <c r="A320" s="13" t="inlineStr">
        <is>
          <t>D13-DOC-DRM-001.ICP.EXCLUSOES</t>
        </is>
      </c>
      <c r="B320" s="2" t="inlineStr">
        <is>
          <t>exclusoes</t>
        </is>
      </c>
      <c r="C320" s="14">
        <f>IFERROR(IF(INDEX('01_Formulario_A01'!$D:$D,MATCH("D13-DOC-DRM-001.ICP.EXCLUSOES",'01_Formulario_A01'!$A:$A,0))="","— (a preencher em 01_Formulario_A01)",INDEX('01_Formulario_A01'!$D:$D,MATCH("D13-DOC-DRM-001.ICP.EXCLUSOES",'01_Formulario_A01'!$A:$A,0))),"— (a preencher em 01_Formulario_A01)")</f>
        <v/>
      </c>
    </row>
    <row r="321">
      <c r="A321" s="13" t="inlineStr">
        <is>
          <t>D13-DOC-DRM-001.DEMAND.SINAIS</t>
        </is>
      </c>
      <c r="B321" s="2" t="inlineStr">
        <is>
          <t>sinais</t>
        </is>
      </c>
      <c r="C321" s="14">
        <f>IFERROR(IF(INDEX('01_Formulario_A01'!$D:$D,MATCH("D13-DOC-DRM-001.DEMAND.SINAIS",'01_Formulario_A01'!$A:$A,0))="","— (a preencher em 01_Formulario_A01)",INDEX('01_Formulario_A01'!$D:$D,MATCH("D13-DOC-DRM-001.DEMAND.SINAIS",'01_Formulario_A01'!$A:$A,0))),"— (a preencher em 01_Formulario_A01)")</f>
        <v/>
      </c>
    </row>
    <row r="322">
      <c r="A322" s="13" t="inlineStr">
        <is>
          <t>D13-DOC-DRM-001.DEMAND.PROBLEMAS</t>
        </is>
      </c>
      <c r="B322" s="2" t="inlineStr">
        <is>
          <t>problemas</t>
        </is>
      </c>
      <c r="C322" s="14">
        <f>IFERROR(IF(INDEX('01_Formulario_A01'!$D:$D,MATCH("D13-DOC-DRM-001.DEMAND.PROBLEMAS",'01_Formulario_A01'!$A:$A,0))="","— (a preencher em 01_Formulario_A01)",INDEX('01_Formulario_A01'!$D:$D,MATCH("D13-DOC-DRM-001.DEMAND.PROBLEMAS",'01_Formulario_A01'!$A:$A,0))),"— (a preencher em 01_Formulario_A01)")</f>
        <v/>
      </c>
    </row>
    <row r="323">
      <c r="A323" s="13" t="inlineStr">
        <is>
          <t>D13-DOC-DRM-001.DEMAND.PROCURA</t>
        </is>
      </c>
      <c r="B323" s="2" t="inlineStr">
        <is>
          <t>procura</t>
        </is>
      </c>
      <c r="C323" s="14">
        <f>IFERROR(IF(INDEX('01_Formulario_A01'!$D:$D,MATCH("D13-DOC-DRM-001.DEMAND.PROCURA",'01_Formulario_A01'!$A:$A,0))="","— (a preencher em 01_Formulario_A01)",INDEX('01_Formulario_A01'!$D:$D,MATCH("D13-DOC-DRM-001.DEMAND.PROCURA",'01_Formulario_A01'!$A:$A,0))),"— (a preencher em 01_Formulario_A01)")</f>
        <v/>
      </c>
    </row>
    <row r="324">
      <c r="A324" s="13" t="inlineStr">
        <is>
          <t>D13-DOC-DRM-001.ALTERNATIVES.CONCORRENTES</t>
        </is>
      </c>
      <c r="B324" s="2" t="inlineStr">
        <is>
          <t>concorrentes</t>
        </is>
      </c>
      <c r="C324" s="14">
        <f>IFERROR(IF(INDEX('01_Formulario_A01'!$D:$D,MATCH("D13-DOC-DRM-001.ALTERNATIVES.CONCORRENTES",'01_Formulario_A01'!$A:$A,0))="","— (a preencher em 01_Formulario_A01)",INDEX('01_Formulario_A01'!$D:$D,MATCH("D13-DOC-DRM-001.ALTERNATIVES.CONCORRENTES",'01_Formulario_A01'!$A:$A,0))),"— (a preencher em 01_Formulario_A01)")</f>
        <v/>
      </c>
    </row>
    <row r="325">
      <c r="A325" s="13" t="inlineStr">
        <is>
          <t>D13-DOC-DRM-001.ALTERNATIVES.SUBSTITUTOS</t>
        </is>
      </c>
      <c r="B325" s="2" t="inlineStr">
        <is>
          <t>substitutos</t>
        </is>
      </c>
      <c r="C325" s="14">
        <f>IFERROR(IF(INDEX('01_Formulario_A01'!$D:$D,MATCH("D13-DOC-DRM-001.ALTERNATIVES.SUBSTITUTOS",'01_Formulario_A01'!$A:$A,0))="","— (a preencher em 01_Formulario_A01)",INDEX('01_Formulario_A01'!$D:$D,MATCH("D13-DOC-DRM-001.ALTERNATIVES.SUBSTITUTOS",'01_Formulario_A01'!$A:$A,0))),"— (a preencher em 01_Formulario_A01)")</f>
        <v/>
      </c>
    </row>
    <row r="326">
      <c r="A326" s="13" t="inlineStr">
        <is>
          <t>D13-DOC-DRM-001.POSITIONING.CATEGORIA</t>
        </is>
      </c>
      <c r="B326" s="2" t="inlineStr">
        <is>
          <t>categoria</t>
        </is>
      </c>
      <c r="C326" s="14">
        <f>IFERROR(IF(INDEX('01_Formulario_A01'!$D:$D,MATCH("D13-DOC-DRM-001.POSITIONING.CATEGORIA",'01_Formulario_A01'!$A:$A,0))="","— (a preencher em 01_Formulario_A01)",INDEX('01_Formulario_A01'!$D:$D,MATCH("D13-DOC-DRM-001.POSITIONING.CATEGORIA",'01_Formulario_A01'!$A:$A,0))),"— (a preencher em 01_Formulario_A01)")</f>
        <v/>
      </c>
    </row>
    <row r="327">
      <c r="A327" s="13" t="inlineStr">
        <is>
          <t>D13-DOC-DRM-001.POSITIONING.DIFERENCIACAO</t>
        </is>
      </c>
      <c r="B327" s="2" t="inlineStr">
        <is>
          <t>diferenciacao</t>
        </is>
      </c>
      <c r="C327" s="14">
        <f>IFERROR(IF(INDEX('01_Formulario_A01'!$D:$D,MATCH("D13-DOC-DRM-001.POSITIONING.DIFERENCIACAO",'01_Formulario_A01'!$A:$A,0))="","— (a preencher em 01_Formulario_A01)",INDEX('01_Formulario_A01'!$D:$D,MATCH("D13-DOC-DRM-001.POSITIONING.DIFERENCIACAO",'01_Formulario_A01'!$A:$A,0))),"— (a preencher em 01_Formulario_A01)")</f>
        <v/>
      </c>
    </row>
    <row r="328">
      <c r="A328" s="13" t="inlineStr">
        <is>
          <t>D13-DOC-DRM-001.MESSAGING.PROBLEMA</t>
        </is>
      </c>
      <c r="B328" s="2" t="inlineStr">
        <is>
          <t>problema</t>
        </is>
      </c>
      <c r="C328" s="14">
        <f>IFERROR(IF(INDEX('01_Formulario_A01'!$D:$D,MATCH("D13-DOC-DRM-001.MESSAGING.PROBLEMA",'01_Formulario_A01'!$A:$A,0))="","— (a preencher em 01_Formulario_A01)",INDEX('01_Formulario_A01'!$D:$D,MATCH("D13-DOC-DRM-001.MESSAGING.PROBLEMA",'01_Formulario_A01'!$A:$A,0))),"— (a preencher em 01_Formulario_A01)")</f>
        <v/>
      </c>
    </row>
    <row r="329">
      <c r="A329" s="13" t="inlineStr">
        <is>
          <t>D13-DOC-DRM-001.MESSAGING.PROMESSA</t>
        </is>
      </c>
      <c r="B329" s="2" t="inlineStr">
        <is>
          <t>promessa</t>
        </is>
      </c>
      <c r="C329" s="14">
        <f>IFERROR(IF(INDEX('01_Formulario_A01'!$D:$D,MATCH("D13-DOC-DRM-001.MESSAGING.PROMESSA",'01_Formulario_A01'!$A:$A,0))="","— (a preencher em 01_Formulario_A01)",INDEX('01_Formulario_A01'!$D:$D,MATCH("D13-DOC-DRM-001.MESSAGING.PROMESSA",'01_Formulario_A01'!$A:$A,0))),"— (a preencher em 01_Formulario_A01)")</f>
        <v/>
      </c>
    </row>
    <row r="330">
      <c r="A330" s="13" t="inlineStr">
        <is>
          <t>D13-DOC-DRM-001.MESSAGING.PROVA</t>
        </is>
      </c>
      <c r="B330" s="2" t="inlineStr">
        <is>
          <t>prova</t>
        </is>
      </c>
      <c r="C330" s="14">
        <f>IFERROR(IF(INDEX('01_Formulario_A01'!$D:$D,MATCH("D13-DOC-DRM-001.MESSAGING.PROVA",'01_Formulario_A01'!$A:$A,0))="","— (a preencher em 01_Formulario_A01)",INDEX('01_Formulario_A01'!$D:$D,MATCH("D13-DOC-DRM-001.MESSAGING.PROVA",'01_Formulario_A01'!$A:$A,0))),"— (a preencher em 01_Formulario_A01)")</f>
        <v/>
      </c>
    </row>
    <row r="331">
      <c r="A331" s="13" t="inlineStr">
        <is>
          <t>D13-DOC-DRM-001.CHANNELS.ORGANICO</t>
        </is>
      </c>
      <c r="B331" s="2" t="inlineStr">
        <is>
          <t>organico</t>
        </is>
      </c>
      <c r="C331" s="14">
        <f>IFERROR(IF(INDEX('01_Formulario_A01'!$D:$D,MATCH("D13-DOC-DRM-001.CHANNELS.ORGANICO",'01_Formulario_A01'!$A:$A,0))="","— (a preencher em 01_Formulario_A01)",INDEX('01_Formulario_A01'!$D:$D,MATCH("D13-DOC-DRM-001.CHANNELS.ORGANICO",'01_Formulario_A01'!$A:$A,0))),"— (a preencher em 01_Formulario_A01)")</f>
        <v/>
      </c>
    </row>
    <row r="332">
      <c r="A332" s="13" t="inlineStr">
        <is>
          <t>D13-DOC-DRM-001.CHANNELS.PAGO</t>
        </is>
      </c>
      <c r="B332" s="2" t="inlineStr">
        <is>
          <t>pago</t>
        </is>
      </c>
      <c r="C332" s="14">
        <f>IFERROR(IF(INDEX('01_Formulario_A01'!$D:$D,MATCH("D13-DOC-DRM-001.CHANNELS.PAGO",'01_Formulario_A01'!$A:$A,0))="","— (a preencher em 01_Formulario_A01)",INDEX('01_Formulario_A01'!$D:$D,MATCH("D13-DOC-DRM-001.CHANNELS.PAGO",'01_Formulario_A01'!$A:$A,0))),"— (a preencher em 01_Formulario_A01)")</f>
        <v/>
      </c>
    </row>
    <row r="333">
      <c r="A333" s="13" t="inlineStr">
        <is>
          <t>D13-DOC-DRM-001.CHANNELS.PARCERIA</t>
        </is>
      </c>
      <c r="B333" s="2" t="inlineStr">
        <is>
          <t>parceria</t>
        </is>
      </c>
      <c r="C333" s="14">
        <f>IFERROR(IF(INDEX('01_Formulario_A01'!$D:$D,MATCH("D13-DOC-DRM-001.CHANNELS.PARCERIA",'01_Formulario_A01'!$A:$A,0))="","— (a preencher em 01_Formulario_A01)",INDEX('01_Formulario_A01'!$D:$D,MATCH("D13-DOC-DRM-001.CHANNELS.PARCERIA",'01_Formulario_A01'!$A:$A,0))),"— (a preencher em 01_Formulario_A01)")</f>
        <v/>
      </c>
    </row>
    <row r="334">
      <c r="A334" s="13" t="inlineStr">
        <is>
          <t>D13-DOC-DRM-001.ACQUISITION.ESTRATEGIAS</t>
        </is>
      </c>
      <c r="B334" s="2" t="inlineStr">
        <is>
          <t>estrategias</t>
        </is>
      </c>
      <c r="C334" s="14">
        <f>IFERROR(IF(INDEX('01_Formulario_A01'!$D:$D,MATCH("D13-DOC-DRM-001.ACQUISITION.ESTRATEGIAS",'01_Formulario_A01'!$A:$A,0))="","— (a preencher em 01_Formulario_A01)",INDEX('01_Formulario_A01'!$D:$D,MATCH("D13-DOC-DRM-001.ACQUISITION.ESTRATEGIAS",'01_Formulario_A01'!$A:$A,0))),"— (a preencher em 01_Formulario_A01)")</f>
        <v/>
      </c>
    </row>
    <row r="335">
      <c r="A335" s="13" t="inlineStr">
        <is>
          <t>D13-DOC-DRM-001.PRICING_SIGNALS.DISPOSICAO_A_PAGAR</t>
        </is>
      </c>
      <c r="B335" s="2" t="inlineStr">
        <is>
          <t>disposicao_a_pagar</t>
        </is>
      </c>
      <c r="C335" s="14">
        <f>IFERROR(IF(INDEX('01_Formulario_A01'!$D:$D,MATCH("D13-DOC-DRM-001.PRICING_SIGNALS.DISPOSICAO_A_PAGAR",'01_Formulario_A01'!$A:$A,0))="","— (a preencher em 01_Formulario_A01)",INDEX('01_Formulario_A01'!$D:$D,MATCH("D13-DOC-DRM-001.PRICING_SIGNALS.DISPOSICAO_A_PAGAR",'01_Formulario_A01'!$A:$A,0))),"— (a preencher em 01_Formulario_A01)")</f>
        <v/>
      </c>
    </row>
    <row r="336">
      <c r="A336" s="13" t="inlineStr">
        <is>
          <t>D13-DOC-DRM-001.PRICING_SIGNALS.BENCHMARKS</t>
        </is>
      </c>
      <c r="B336" s="2" t="inlineStr">
        <is>
          <t>benchmarks</t>
        </is>
      </c>
      <c r="C336" s="14">
        <f>IFERROR(IF(INDEX('01_Formulario_A01'!$D:$D,MATCH("D13-DOC-DRM-001.PRICING_SIGNALS.BENCHMARKS",'01_Formulario_A01'!$A:$A,0))="","— (a preencher em 01_Formulario_A01)",INDEX('01_Formulario_A01'!$D:$D,MATCH("D13-DOC-DRM-001.PRICING_SIGNALS.BENCHMARKS",'01_Formulario_A01'!$A:$A,0))),"— (a preencher em 01_Formulario_A01)")</f>
        <v/>
      </c>
    </row>
    <row r="337">
      <c r="A337" s="13" t="inlineStr">
        <is>
          <t>D13-DOC-DRM-001.EVIDENCE.FONTES</t>
        </is>
      </c>
      <c r="B337" s="2" t="inlineStr">
        <is>
          <t>fontes</t>
        </is>
      </c>
      <c r="C337" s="14">
        <f>IFERROR(IF(INDEX('01_Formulario_A01'!$D:$D,MATCH("D13-DOC-DRM-001.EVIDENCE.FONTES",'01_Formulario_A01'!$A:$A,0))="","— (a preencher em 01_Formulario_A01)",INDEX('01_Formulario_A01'!$D:$D,MATCH("D13-DOC-DRM-001.EVIDENCE.FONTES",'01_Formulario_A01'!$A:$A,0))),"— (a preencher em 01_Formulario_A01)")</f>
        <v/>
      </c>
    </row>
    <row r="338">
      <c r="A338" s="13" t="inlineStr">
        <is>
          <t>D13-DOC-DRM-001.EVIDENCE.ESTUDOS</t>
        </is>
      </c>
      <c r="B338" s="2" t="inlineStr">
        <is>
          <t>estudos</t>
        </is>
      </c>
      <c r="C338" s="14">
        <f>IFERROR(IF(INDEX('01_Formulario_A01'!$D:$D,MATCH("D13-DOC-DRM-001.EVIDENCE.ESTUDOS",'01_Formulario_A01'!$A:$A,0))="","— (a preencher em 01_Formulario_A01)",INDEX('01_Formulario_A01'!$D:$D,MATCH("D13-DOC-DRM-001.EVIDENCE.ESTUDOS",'01_Formulario_A01'!$A:$A,0))),"— (a preencher em 01_Formulario_A01)")</f>
        <v/>
      </c>
    </row>
    <row r="339">
      <c r="A339" s="13" t="inlineStr">
        <is>
          <t>D13-DOC-DRM-001.RISKS.RISCOS_DE_MERCADO</t>
        </is>
      </c>
      <c r="B339" s="2" t="inlineStr">
        <is>
          <t>riscos_de_mercado</t>
        </is>
      </c>
      <c r="C339" s="14">
        <f>IFERROR(IF(INDEX('01_Formulario_A01'!$D:$D,MATCH("D13-DOC-DRM-001.RISKS.RISCOS_DE_MERCADO",'01_Formulario_A01'!$A:$A,0))="","— (a preencher em 01_Formulario_A01)",INDEX('01_Formulario_A01'!$D:$D,MATCH("D13-DOC-DRM-001.RISKS.RISCOS_DE_MERCADO",'01_Formulario_A01'!$A:$A,0))),"— (a preencher em 01_Formulario_A01)")</f>
        <v/>
      </c>
    </row>
    <row r="340">
      <c r="A340" s="13" t="inlineStr">
        <is>
          <t>D13-DOC-GTM-001.OBJECTIVES.OBJETIVO_DE_LANCAMENTO</t>
        </is>
      </c>
      <c r="B340" s="2" t="inlineStr">
        <is>
          <t>objetivo_de_lancamento</t>
        </is>
      </c>
      <c r="C340" s="14">
        <f>IFERROR(IF(INDEX('01_Formulario_A01'!$D:$D,MATCH("D13-DOC-GTM-001.OBJECTIVES.OBJETIVO_DE_LANCAMENTO",'01_Formulario_A01'!$A:$A,0))="","— (a preencher em 01_Formulario_A01)",INDEX('01_Formulario_A01'!$D:$D,MATCH("D13-DOC-GTM-001.OBJECTIVES.OBJETIVO_DE_LANCAMENTO",'01_Formulario_A01'!$A:$A,0))),"— (a preencher em 01_Formulario_A01)")</f>
        <v/>
      </c>
    </row>
    <row r="341">
      <c r="A341" s="13" t="inlineStr">
        <is>
          <t>D13-DOC-GTM-001.AUDIENCE.ICP</t>
        </is>
      </c>
      <c r="B341" s="2" t="inlineStr">
        <is>
          <t>icp</t>
        </is>
      </c>
      <c r="C341" s="14">
        <f>IFERROR(IF(INDEX('01_Formulario_A01'!$D:$D,MATCH("D13-DOC-GTM-001.AUDIENCE.ICP",'01_Formulario_A01'!$A:$A,0))="","— (a preencher em 01_Formulario_A01)",INDEX('01_Formulario_A01'!$D:$D,MATCH("D13-DOC-GTM-001.AUDIENCE.ICP",'01_Formulario_A01'!$A:$A,0))),"— (a preencher em 01_Formulario_A01)")</f>
        <v/>
      </c>
    </row>
    <row r="342">
      <c r="A342" s="13" t="inlineStr">
        <is>
          <t>D13-DOC-GTM-001.AUDIENCE.SEGMENTOS</t>
        </is>
      </c>
      <c r="B342" s="2" t="inlineStr">
        <is>
          <t>segmentos</t>
        </is>
      </c>
      <c r="C342" s="14">
        <f>IFERROR(IF(INDEX('01_Formulario_A01'!$D:$D,MATCH("D13-DOC-GTM-001.AUDIENCE.SEGMENTOS",'01_Formulario_A01'!$A:$A,0))="","— (a preencher em 01_Formulario_A01)",INDEX('01_Formulario_A01'!$D:$D,MATCH("D13-DOC-GTM-001.AUDIENCE.SEGMENTOS",'01_Formulario_A01'!$A:$A,0))),"— (a preencher em 01_Formulario_A01)")</f>
        <v/>
      </c>
    </row>
    <row r="343">
      <c r="A343" s="13" t="inlineStr">
        <is>
          <t>D13-DOC-GTM-001.POSITIONING.POSICIONAMENTO</t>
        </is>
      </c>
      <c r="B343" s="2" t="inlineStr">
        <is>
          <t>posicionamento</t>
        </is>
      </c>
      <c r="C343" s="14">
        <f>IFERROR(IF(INDEX('01_Formulario_A01'!$D:$D,MATCH("D13-DOC-GTM-001.POSITIONING.POSICIONAMENTO",'01_Formulario_A01'!$A:$A,0))="","— (a preencher em 01_Formulario_A01)",INDEX('01_Formulario_A01'!$D:$D,MATCH("D13-DOC-GTM-001.POSITIONING.POSICIONAMENTO",'01_Formulario_A01'!$A:$A,0))),"— (a preencher em 01_Formulario_A01)")</f>
        <v/>
      </c>
    </row>
    <row r="344">
      <c r="A344" s="13" t="inlineStr">
        <is>
          <t>D13-DOC-GTM-001.POSITIONING.MENSAGEM</t>
        </is>
      </c>
      <c r="B344" s="2" t="inlineStr">
        <is>
          <t>mensagem</t>
        </is>
      </c>
      <c r="C344" s="14">
        <f>IFERROR(IF(INDEX('01_Formulario_A01'!$D:$D,MATCH("D13-DOC-GTM-001.POSITIONING.MENSAGEM",'01_Formulario_A01'!$A:$A,0))="","— (a preencher em 01_Formulario_A01)",INDEX('01_Formulario_A01'!$D:$D,MATCH("D13-DOC-GTM-001.POSITIONING.MENSAGEM",'01_Formulario_A01'!$A:$A,0))),"— (a preencher em 01_Formulario_A01)")</f>
        <v/>
      </c>
    </row>
    <row r="345">
      <c r="A345" s="13" t="inlineStr">
        <is>
          <t>D13-DOC-GTM-001.OFFER.PRODUTO</t>
        </is>
      </c>
      <c r="B345" s="2" t="inlineStr">
        <is>
          <t>produto</t>
        </is>
      </c>
      <c r="C345" s="14">
        <f>IFERROR(IF(INDEX('01_Formulario_A01'!$D:$D,MATCH("D13-DOC-GTM-001.OFFER.PRODUTO",'01_Formulario_A01'!$A:$A,0))="","— (a preencher em 01_Formulario_A01)",INDEX('01_Formulario_A01'!$D:$D,MATCH("D13-DOC-GTM-001.OFFER.PRODUTO",'01_Formulario_A01'!$A:$A,0))),"— (a preencher em 01_Formulario_A01)")</f>
        <v/>
      </c>
    </row>
    <row r="346">
      <c r="A346" s="13" t="inlineStr">
        <is>
          <t>D13-DOC-GTM-001.OFFER.PLANO</t>
        </is>
      </c>
      <c r="B346" s="2" t="inlineStr">
        <is>
          <t>plano</t>
        </is>
      </c>
      <c r="C346" s="14">
        <f>IFERROR(IF(INDEX('01_Formulario_A01'!$D:$D,MATCH("D13-DOC-GTM-001.OFFER.PLANO",'01_Formulario_A01'!$A:$A,0))="","— (a preencher em 01_Formulario_A01)",INDEX('01_Formulario_A01'!$D:$D,MATCH("D13-DOC-GTM-001.OFFER.PLANO",'01_Formulario_A01'!$A:$A,0))),"— (a preencher em 01_Formulario_A01)")</f>
        <v/>
      </c>
    </row>
    <row r="347">
      <c r="A347" s="13" t="inlineStr">
        <is>
          <t>D13-DOC-GTM-001.OFFER.PRECO</t>
        </is>
      </c>
      <c r="B347" s="2" t="inlineStr">
        <is>
          <t>preco</t>
        </is>
      </c>
      <c r="C347" s="14">
        <f>IFERROR(IF(INDEX('01_Formulario_A01'!$D:$D,MATCH("D13-DOC-GTM-001.OFFER.PRECO",'01_Formulario_A01'!$A:$A,0))="","— (a preencher em 01_Formulario_A01)",INDEX('01_Formulario_A01'!$D:$D,MATCH("D13-DOC-GTM-001.OFFER.PRECO",'01_Formulario_A01'!$A:$A,0))),"— (a preencher em 01_Formulario_A01)")</f>
        <v/>
      </c>
    </row>
    <row r="348">
      <c r="A348" s="13" t="inlineStr">
        <is>
          <t>D13-DOC-GTM-001.CHANNELS.CANAL</t>
        </is>
      </c>
      <c r="B348" s="2" t="inlineStr">
        <is>
          <t>canal</t>
        </is>
      </c>
      <c r="C348" s="14">
        <f>IFERROR(IF(INDEX('01_Formulario_A01'!$D:$D,MATCH("D13-DOC-GTM-001.CHANNELS.CANAL",'01_Formulario_A01'!$A:$A,0))="","— (a preencher em 01_Formulario_A01)",INDEX('01_Formulario_A01'!$D:$D,MATCH("D13-DOC-GTM-001.CHANNELS.CANAL",'01_Formulario_A01'!$A:$A,0))),"— (a preencher em 01_Formulario_A01)")</f>
        <v/>
      </c>
    </row>
    <row r="349">
      <c r="A349" s="13" t="inlineStr">
        <is>
          <t>D13-DOC-GTM-001.CHANNELS.FUNCAO</t>
        </is>
      </c>
      <c r="B349" s="2" t="inlineStr">
        <is>
          <t>funcao</t>
        </is>
      </c>
      <c r="C349" s="14">
        <f>IFERROR(IF(INDEX('01_Formulario_A01'!$D:$D,MATCH("D13-DOC-GTM-001.CHANNELS.FUNCAO",'01_Formulario_A01'!$A:$A,0))="","— (a preencher em 01_Formulario_A01)",INDEX('01_Formulario_A01'!$D:$D,MATCH("D13-DOC-GTM-001.CHANNELS.FUNCAO",'01_Formulario_A01'!$A:$A,0))),"— (a preencher em 01_Formulario_A01)")</f>
        <v/>
      </c>
    </row>
    <row r="350">
      <c r="A350" s="13" t="inlineStr">
        <is>
          <t>D13-DOC-GTM-001.CONTENT.ATIVOS</t>
        </is>
      </c>
      <c r="B350" s="2" t="inlineStr">
        <is>
          <t>ativos</t>
        </is>
      </c>
      <c r="C350" s="14">
        <f>IFERROR(IF(INDEX('01_Formulario_A01'!$D:$D,MATCH("D13-DOC-GTM-001.CONTENT.ATIVOS",'01_Formulario_A01'!$A:$A,0))="","— (a preencher em 01_Formulario_A01)",INDEX('01_Formulario_A01'!$D:$D,MATCH("D13-DOC-GTM-001.CONTENT.ATIVOS",'01_Formulario_A01'!$A:$A,0))),"— (a preencher em 01_Formulario_A01)")</f>
        <v/>
      </c>
    </row>
    <row r="351">
      <c r="A351" s="13" t="inlineStr">
        <is>
          <t>D13-DOC-GTM-001.CONTENT.CAMPANHA</t>
        </is>
      </c>
      <c r="B351" s="2" t="inlineStr">
        <is>
          <t>campanha</t>
        </is>
      </c>
      <c r="C351" s="14">
        <f>IFERROR(IF(INDEX('01_Formulario_A01'!$D:$D,MATCH("D13-DOC-GTM-001.CONTENT.CAMPANHA",'01_Formulario_A01'!$A:$A,0))="","— (a preencher em 01_Formulario_A01)",INDEX('01_Formulario_A01'!$D:$D,MATCH("D13-DOC-GTM-001.CONTENT.CAMPANHA",'01_Formulario_A01'!$A:$A,0))),"— (a preencher em 01_Formulario_A01)")</f>
        <v/>
      </c>
    </row>
    <row r="352">
      <c r="A352" s="13" t="inlineStr">
        <is>
          <t>D13-DOC-GTM-001.FUNNEL.AWARENESS</t>
        </is>
      </c>
      <c r="B352" s="2" t="inlineStr">
        <is>
          <t>awareness</t>
        </is>
      </c>
      <c r="C352" s="14">
        <f>IFERROR(IF(INDEX('01_Formulario_A01'!$D:$D,MATCH("D13-DOC-GTM-001.FUNNEL.AWARENESS",'01_Formulario_A01'!$A:$A,0))="","— (a preencher em 01_Formulario_A01)",INDEX('01_Formulario_A01'!$D:$D,MATCH("D13-DOC-GTM-001.FUNNEL.AWARENESS",'01_Formulario_A01'!$A:$A,0))),"— (a preencher em 01_Formulario_A01)")</f>
        <v/>
      </c>
    </row>
    <row r="353">
      <c r="A353" s="13" t="inlineStr">
        <is>
          <t>D13-DOC-GTM-001.FUNNEL.CONSIDERATION</t>
        </is>
      </c>
      <c r="B353" s="2" t="inlineStr">
        <is>
          <t>consideration</t>
        </is>
      </c>
      <c r="C353" s="14">
        <f>IFERROR(IF(INDEX('01_Formulario_A01'!$D:$D,MATCH("D13-DOC-GTM-001.FUNNEL.CONSIDERATION",'01_Formulario_A01'!$A:$A,0))="","— (a preencher em 01_Formulario_A01)",INDEX('01_Formulario_A01'!$D:$D,MATCH("D13-DOC-GTM-001.FUNNEL.CONSIDERATION",'01_Formulario_A01'!$A:$A,0))),"— (a preencher em 01_Formulario_A01)")</f>
        <v/>
      </c>
    </row>
    <row r="354">
      <c r="A354" s="13" t="inlineStr">
        <is>
          <t>D13-DOC-GTM-001.FUNNEL.CONVERSION</t>
        </is>
      </c>
      <c r="B354" s="2" t="inlineStr">
        <is>
          <t>conversion</t>
        </is>
      </c>
      <c r="C354" s="14">
        <f>IFERROR(IF(INDEX('01_Formulario_A01'!$D:$D,MATCH("D13-DOC-GTM-001.FUNNEL.CONVERSION",'01_Formulario_A01'!$A:$A,0))="","— (a preencher em 01_Formulario_A01)",INDEX('01_Formulario_A01'!$D:$D,MATCH("D13-DOC-GTM-001.FUNNEL.CONVERSION",'01_Formulario_A01'!$A:$A,0))),"— (a preencher em 01_Formulario_A01)")</f>
        <v/>
      </c>
    </row>
    <row r="355">
      <c r="A355" s="13" t="inlineStr">
        <is>
          <t>D13-DOC-GTM-001.FUNNEL.RETENTION</t>
        </is>
      </c>
      <c r="B355" s="2" t="inlineStr">
        <is>
          <t>retention</t>
        </is>
      </c>
      <c r="C355" s="14">
        <f>IFERROR(IF(INDEX('01_Formulario_A01'!$D:$D,MATCH("D13-DOC-GTM-001.FUNNEL.RETENTION",'01_Formulario_A01'!$A:$A,0))="","— (a preencher em 01_Formulario_A01)",INDEX('01_Formulario_A01'!$D:$D,MATCH("D13-DOC-GTM-001.FUNNEL.RETENTION",'01_Formulario_A01'!$A:$A,0))),"— (a preencher em 01_Formulario_A01)")</f>
        <v/>
      </c>
    </row>
    <row r="356">
      <c r="A356" s="13" t="inlineStr">
        <is>
          <t>D13-DOC-GTM-001.CAMPAIGN.FASE</t>
        </is>
      </c>
      <c r="B356" s="2" t="inlineStr">
        <is>
          <t>fase</t>
        </is>
      </c>
      <c r="C356" s="14">
        <f>IFERROR(IF(INDEX('01_Formulario_A01'!$D:$D,MATCH("D13-DOC-GTM-001.CAMPAIGN.FASE",'01_Formulario_A01'!$A:$A,0))="","— (a preencher em 01_Formulario_A01)",INDEX('01_Formulario_A01'!$D:$D,MATCH("D13-DOC-GTM-001.CAMPAIGN.FASE",'01_Formulario_A01'!$A:$A,0))),"— (a preencher em 01_Formulario_A01)")</f>
        <v/>
      </c>
    </row>
    <row r="357">
      <c r="A357" s="13" t="inlineStr">
        <is>
          <t>D13-DOC-GTM-001.CAMPAIGN.ATIVIDADE</t>
        </is>
      </c>
      <c r="B357" s="2" t="inlineStr">
        <is>
          <t>atividade</t>
        </is>
      </c>
      <c r="C357" s="14">
        <f>IFERROR(IF(INDEX('01_Formulario_A01'!$D:$D,MATCH("D13-DOC-GTM-001.CAMPAIGN.ATIVIDADE",'01_Formulario_A01'!$A:$A,0))="","— (a preencher em 01_Formulario_A01)",INDEX('01_Formulario_A01'!$D:$D,MATCH("D13-DOC-GTM-001.CAMPAIGN.ATIVIDADE",'01_Formulario_A01'!$A:$A,0))),"— (a preencher em 01_Formulario_A01)")</f>
        <v/>
      </c>
    </row>
    <row r="358">
      <c r="A358" s="13" t="inlineStr">
        <is>
          <t>D13-DOC-GTM-001.CAMPAIGN.ATIVO</t>
        </is>
      </c>
      <c r="B358" s="2" t="inlineStr">
        <is>
          <t>ativo</t>
        </is>
      </c>
      <c r="C358" s="14">
        <f>IFERROR(IF(INDEX('01_Formulario_A01'!$D:$D,MATCH("D13-DOC-GTM-001.CAMPAIGN.ATIVO",'01_Formulario_A01'!$A:$A,0))="","— (a preencher em 01_Formulario_A01)",INDEX('01_Formulario_A01'!$D:$D,MATCH("D13-DOC-GTM-001.CAMPAIGN.ATIVO",'01_Formulario_A01'!$A:$A,0))),"— (a preencher em 01_Formulario_A01)")</f>
        <v/>
      </c>
    </row>
    <row r="359">
      <c r="A359" s="13" t="inlineStr">
        <is>
          <t>D13-DOC-GTM-001.LAUNCH.PRE_LAUNCH</t>
        </is>
      </c>
      <c r="B359" s="2" t="inlineStr">
        <is>
          <t>pre_launch</t>
        </is>
      </c>
      <c r="C359" s="14">
        <f>IFERROR(IF(INDEX('01_Formulario_A01'!$D:$D,MATCH("D13-DOC-GTM-001.LAUNCH.PRE_LAUNCH",'01_Formulario_A01'!$A:$A,0))="","— (a preencher em 01_Formulario_A01)",INDEX('01_Formulario_A01'!$D:$D,MATCH("D13-DOC-GTM-001.LAUNCH.PRE_LAUNCH",'01_Formulario_A01'!$A:$A,0))),"— (a preencher em 01_Formulario_A01)")</f>
        <v/>
      </c>
    </row>
    <row r="360">
      <c r="A360" s="13" t="inlineStr">
        <is>
          <t>D13-DOC-GTM-001.LAUNCH.LAUNCH</t>
        </is>
      </c>
      <c r="B360" s="2" t="inlineStr">
        <is>
          <t>launch</t>
        </is>
      </c>
      <c r="C360" s="14">
        <f>IFERROR(IF(INDEX('01_Formulario_A01'!$D:$D,MATCH("D13-DOC-GTM-001.LAUNCH.LAUNCH",'01_Formulario_A01'!$A:$A,0))="","— (a preencher em 01_Formulario_A01)",INDEX('01_Formulario_A01'!$D:$D,MATCH("D13-DOC-GTM-001.LAUNCH.LAUNCH",'01_Formulario_A01'!$A:$A,0))),"— (a preencher em 01_Formulario_A01)")</f>
        <v/>
      </c>
    </row>
    <row r="361">
      <c r="A361" s="13" t="inlineStr">
        <is>
          <t>D13-DOC-GTM-001.LAUNCH.POST_LAUNCH</t>
        </is>
      </c>
      <c r="B361" s="2" t="inlineStr">
        <is>
          <t>post_launch</t>
        </is>
      </c>
      <c r="C361" s="14">
        <f>IFERROR(IF(INDEX('01_Formulario_A01'!$D:$D,MATCH("D13-DOC-GTM-001.LAUNCH.POST_LAUNCH",'01_Formulario_A01'!$A:$A,0))="","— (a preencher em 01_Formulario_A01)",INDEX('01_Formulario_A01'!$D:$D,MATCH("D13-DOC-GTM-001.LAUNCH.POST_LAUNCH",'01_Formulario_A01'!$A:$A,0))),"— (a preencher em 01_Formulario_A01)")</f>
        <v/>
      </c>
    </row>
    <row r="362">
      <c r="A362" s="13" t="inlineStr">
        <is>
          <t>D13-DOC-GTM-001.SALES_HANDOFF.MARKETING_PARA_VENDAS</t>
        </is>
      </c>
      <c r="B362" s="2" t="inlineStr">
        <is>
          <t>marketing_para_vendas</t>
        </is>
      </c>
      <c r="C362" s="14">
        <f>IFERROR(IF(INDEX('01_Formulario_A01'!$D:$D,MATCH("D13-DOC-GTM-001.SALES_HANDOFF.MARKETING_PARA_VENDAS",'01_Formulario_A01'!$A:$A,0))="","— (a preencher em 01_Formulario_A01)",INDEX('01_Formulario_A01'!$D:$D,MATCH("D13-DOC-GTM-001.SALES_HANDOFF.MARKETING_PARA_VENDAS",'01_Formulario_A01'!$A:$A,0))),"— (a preencher em 01_Formulario_A01)")</f>
        <v/>
      </c>
    </row>
    <row r="363">
      <c r="A363" s="13" t="inlineStr">
        <is>
          <t>D13-DOC-GTM-001.SUPPORT_READINESS.ATENDIMENTO</t>
        </is>
      </c>
      <c r="B363" s="2" t="inlineStr">
        <is>
          <t>atendimento</t>
        </is>
      </c>
      <c r="C363" s="14">
        <f>IFERROR(IF(INDEX('01_Formulario_A01'!$D:$D,MATCH("D13-DOC-GTM-001.SUPPORT_READINESS.ATENDIMENTO",'01_Formulario_A01'!$A:$A,0))="","— (a preencher em 01_Formulario_A01)",INDEX('01_Formulario_A01'!$D:$D,MATCH("D13-DOC-GTM-001.SUPPORT_READINESS.ATENDIMENTO",'01_Formulario_A01'!$A:$A,0))),"— (a preencher em 01_Formulario_A01)")</f>
        <v/>
      </c>
    </row>
    <row r="364">
      <c r="A364" s="13" t="inlineStr">
        <is>
          <t>D13-DOC-GTM-001.SUPPORT_READINESS.FAQ</t>
        </is>
      </c>
      <c r="B364" s="2" t="inlineStr">
        <is>
          <t>faq</t>
        </is>
      </c>
      <c r="C364" s="14">
        <f>IFERROR(IF(INDEX('01_Formulario_A01'!$D:$D,MATCH("D13-DOC-GTM-001.SUPPORT_READINESS.FAQ",'01_Formulario_A01'!$A:$A,0))="","— (a preencher em 01_Formulario_A01)",INDEX('01_Formulario_A01'!$D:$D,MATCH("D13-DOC-GTM-001.SUPPORT_READINESS.FAQ",'01_Formulario_A01'!$A:$A,0))),"— (a preencher em 01_Formulario_A01)")</f>
        <v/>
      </c>
    </row>
    <row r="365">
      <c r="A365" s="13" t="inlineStr">
        <is>
          <t>D13-DOC-GTM-001.ANALYTICS.METRICAS</t>
        </is>
      </c>
      <c r="B365" s="2" t="inlineStr">
        <is>
          <t>metricas</t>
        </is>
      </c>
      <c r="C365" s="14">
        <f>IFERROR(IF(INDEX('01_Formulario_A01'!$D:$D,MATCH("D13-DOC-GTM-001.ANALYTICS.METRICAS",'01_Formulario_A01'!$A:$A,0))="","— (a preencher em 01_Formulario_A01)",INDEX('01_Formulario_A01'!$D:$D,MATCH("D13-DOC-GTM-001.ANALYTICS.METRICAS",'01_Formulario_A01'!$A:$A,0))),"— (a preencher em 01_Formulario_A01)")</f>
        <v/>
      </c>
    </row>
    <row r="366">
      <c r="A366" s="13" t="inlineStr">
        <is>
          <t>D13-DOC-GTM-001.ANALYTICS.EVENTOS</t>
        </is>
      </c>
      <c r="B366" s="2" t="inlineStr">
        <is>
          <t>eventos</t>
        </is>
      </c>
      <c r="C366" s="14">
        <f>IFERROR(IF(INDEX('01_Formulario_A01'!$D:$D,MATCH("D13-DOC-GTM-001.ANALYTICS.EVENTOS",'01_Formulario_A01'!$A:$A,0))="","— (a preencher em 01_Formulario_A01)",INDEX('01_Formulario_A01'!$D:$D,MATCH("D13-DOC-GTM-001.ANALYTICS.EVENTOS",'01_Formulario_A01'!$A:$A,0))),"— (a preencher em 01_Formulario_A01)")</f>
        <v/>
      </c>
    </row>
    <row r="367">
      <c r="A367" s="13" t="inlineStr">
        <is>
          <t>D13-DOC-GTM-001.BUDGET.INVESTIMENTO</t>
        </is>
      </c>
      <c r="B367" s="2" t="inlineStr">
        <is>
          <t>investimento</t>
        </is>
      </c>
      <c r="C367" s="14">
        <f>IFERROR(IF(INDEX('01_Formulario_A01'!$D:$D,MATCH("D13-DOC-GTM-001.BUDGET.INVESTIMENTO",'01_Formulario_A01'!$A:$A,0))="","— (a preencher em 01_Formulario_A01)",INDEX('01_Formulario_A01'!$D:$D,MATCH("D13-DOC-GTM-001.BUDGET.INVESTIMENTO",'01_Formulario_A01'!$A:$A,0))),"— (a preencher em 01_Formulario_A01)")</f>
        <v/>
      </c>
    </row>
    <row r="368">
      <c r="A368" s="13" t="inlineStr">
        <is>
          <t>D13-DOC-GTM-001.EXPERIMENTS.HIPOTESE</t>
        </is>
      </c>
      <c r="B368" s="2" t="inlineStr">
        <is>
          <t>hipotese</t>
        </is>
      </c>
      <c r="C368" s="14">
        <f>IFERROR(IF(INDEX('01_Formulario_A01'!$D:$D,MATCH("D13-DOC-GTM-001.EXPERIMENTS.HIPOTESE",'01_Formulario_A01'!$A:$A,0))="","— (a preencher em 01_Formulario_A01)",INDEX('01_Formulario_A01'!$D:$D,MATCH("D13-DOC-GTM-001.EXPERIMENTS.HIPOTESE",'01_Formulario_A01'!$A:$A,0))),"— (a preencher em 01_Formulario_A01)")</f>
        <v/>
      </c>
    </row>
    <row r="369">
      <c r="A369" s="13" t="inlineStr">
        <is>
          <t>D13-DOC-GTM-001.EXPERIMENTS.TESTE</t>
        </is>
      </c>
      <c r="B369" s="2" t="inlineStr">
        <is>
          <t>teste</t>
        </is>
      </c>
      <c r="C369" s="14">
        <f>IFERROR(IF(INDEX('01_Formulario_A01'!$D:$D,MATCH("D13-DOC-GTM-001.EXPERIMENTS.TESTE",'01_Formulario_A01'!$A:$A,0))="","— (a preencher em 01_Formulario_A01)",INDEX('01_Formulario_A01'!$D:$D,MATCH("D13-DOC-GTM-001.EXPERIMENTS.TESTE",'01_Formulario_A01'!$A:$A,0))),"— (a preencher em 01_Formulario_A01)")</f>
        <v/>
      </c>
    </row>
    <row r="370">
      <c r="A370" s="13" t="inlineStr">
        <is>
          <t>D13-DOC-GTM-001.GATES.GO_NO_GO</t>
        </is>
      </c>
      <c r="B370" s="2" t="inlineStr">
        <is>
          <t>go_no_go</t>
        </is>
      </c>
      <c r="C370" s="14">
        <f>IFERROR(IF(INDEX('01_Formulario_A01'!$D:$D,MATCH("D13-DOC-GTM-001.GATES.GO_NO_GO",'01_Formulario_A01'!$A:$A,0))="","— (a preencher em 01_Formulario_A01)",INDEX('01_Formulario_A01'!$D:$D,MATCH("D13-DOC-GTM-001.GATES.GO_NO_GO",'01_Formulario_A01'!$A:$A,0))),"— (a preencher em 01_Formulario_A01)")</f>
        <v/>
      </c>
    </row>
    <row r="371">
      <c r="A371" s="13" t="inlineStr">
        <is>
          <t>D13-DOC-GTM-001.GATES.CRITERIO</t>
        </is>
      </c>
      <c r="B371" s="2" t="inlineStr">
        <is>
          <t>criterio</t>
        </is>
      </c>
      <c r="C371" s="14">
        <f>IFERROR(IF(INDEX('01_Formulario_A01'!$D:$D,MATCH("D13-DOC-GTM-001.GATES.CRITERIO",'01_Formulario_A01'!$A:$A,0))="","— (a preencher em 01_Formulario_A01)",INDEX('01_Formulario_A01'!$D:$D,MATCH("D13-DOC-GTM-001.GATES.CRITERIO",'01_Formulario_A01'!$A:$A,0))),"— (a preencher em 01_Formulario_A01)")</f>
        <v/>
      </c>
    </row>
    <row r="372">
      <c r="A372" s="13" t="inlineStr">
        <is>
          <t>D14-DOC-PCV-001.CUSTOMER.ICP</t>
        </is>
      </c>
      <c r="B372" s="2" t="inlineStr">
        <is>
          <t>icp</t>
        </is>
      </c>
      <c r="C372" s="14">
        <f>IFERROR(IF(INDEX('01_Formulario_A01'!$D:$D,MATCH("D14-DOC-PCV-001.CUSTOMER.ICP",'01_Formulario_A01'!$A:$A,0))="","— (a preencher em 01_Formulario_A01)",INDEX('01_Formulario_A01'!$D:$D,MATCH("D14-DOC-PCV-001.CUSTOMER.ICP",'01_Formulario_A01'!$A:$A,0))),"— (a preencher em 01_Formulario_A01)")</f>
        <v/>
      </c>
    </row>
    <row r="373">
      <c r="A373" s="13" t="inlineStr">
        <is>
          <t>D14-DOC-PCV-001.CUSTOMER.SEGMENTOS</t>
        </is>
      </c>
      <c r="B373" s="2" t="inlineStr">
        <is>
          <t>segmentos</t>
        </is>
      </c>
      <c r="C373" s="14">
        <f>IFERROR(IF(INDEX('01_Formulario_A01'!$D:$D,MATCH("D14-DOC-PCV-001.CUSTOMER.SEGMENTOS",'01_Formulario_A01'!$A:$A,0))="","— (a preencher em 01_Formulario_A01)",INDEX('01_Formulario_A01'!$D:$D,MATCH("D14-DOC-PCV-001.CUSTOMER.SEGMENTOS",'01_Formulario_A01'!$A:$A,0))),"— (a preencher em 01_Formulario_A01)")</f>
        <v/>
      </c>
    </row>
    <row r="374">
      <c r="A374" s="13" t="inlineStr">
        <is>
          <t>D14-DOC-PCV-001.OFFERS.PRODUTO</t>
        </is>
      </c>
      <c r="B374" s="2" t="inlineStr">
        <is>
          <t>produto</t>
        </is>
      </c>
      <c r="C374" s="14">
        <f>IFERROR(IF(INDEX('01_Formulario_A01'!$D:$D,MATCH("D14-DOC-PCV-001.OFFERS.PRODUTO",'01_Formulario_A01'!$A:$A,0))="","— (a preencher em 01_Formulario_A01)",INDEX('01_Formulario_A01'!$D:$D,MATCH("D14-DOC-PCV-001.OFFERS.PRODUTO",'01_Formulario_A01'!$A:$A,0))),"— (a preencher em 01_Formulario_A01)")</f>
        <v/>
      </c>
    </row>
    <row r="375">
      <c r="A375" s="13" t="inlineStr">
        <is>
          <t>D14-DOC-PCV-001.OFFERS.PACOTE</t>
        </is>
      </c>
      <c r="B375" s="2" t="inlineStr">
        <is>
          <t>pacote</t>
        </is>
      </c>
      <c r="C375" s="14">
        <f>IFERROR(IF(INDEX('01_Formulario_A01'!$D:$D,MATCH("D14-DOC-PCV-001.OFFERS.PACOTE",'01_Formulario_A01'!$A:$A,0))="","— (a preencher em 01_Formulario_A01)",INDEX('01_Formulario_A01'!$D:$D,MATCH("D14-DOC-PCV-001.OFFERS.PACOTE",'01_Formulario_A01'!$A:$A,0))),"— (a preencher em 01_Formulario_A01)")</f>
        <v/>
      </c>
    </row>
    <row r="376">
      <c r="A376" s="13" t="inlineStr">
        <is>
          <t>D14-DOC-PCV-001.PRICING.PRECO</t>
        </is>
      </c>
      <c r="B376" s="2" t="inlineStr">
        <is>
          <t>preco</t>
        </is>
      </c>
      <c r="C376" s="14">
        <f>IFERROR(IF(INDEX('01_Formulario_A01'!$D:$D,MATCH("D14-DOC-PCV-001.PRICING.PRECO",'01_Formulario_A01'!$A:$A,0))="","— (a preencher em 01_Formulario_A01)",INDEX('01_Formulario_A01'!$D:$D,MATCH("D14-DOC-PCV-001.PRICING.PRECO",'01_Formulario_A01'!$A:$A,0))),"— (a preencher em 01_Formulario_A01)")</f>
        <v/>
      </c>
    </row>
    <row r="377">
      <c r="A377" s="13" t="inlineStr">
        <is>
          <t>D14-DOC-PCV-001.PRICING.DESCONTO</t>
        </is>
      </c>
      <c r="B377" s="2" t="inlineStr">
        <is>
          <t>desconto</t>
        </is>
      </c>
      <c r="C377" s="14">
        <f>IFERROR(IF(INDEX('01_Formulario_A01'!$D:$D,MATCH("D14-DOC-PCV-001.PRICING.DESCONTO",'01_Formulario_A01'!$A:$A,0))="","— (a preencher em 01_Formulario_A01)",INDEX('01_Formulario_A01'!$D:$D,MATCH("D14-DOC-PCV-001.PRICING.DESCONTO",'01_Formulario_A01'!$A:$A,0))),"— (a preencher em 01_Formulario_A01)")</f>
        <v/>
      </c>
    </row>
    <row r="378">
      <c r="A378" s="13" t="inlineStr">
        <is>
          <t>D14-DOC-PCV-001.QUALIFICATION.CRITERIOS</t>
        </is>
      </c>
      <c r="B378" s="2" t="inlineStr">
        <is>
          <t>criterios</t>
        </is>
      </c>
      <c r="C378" s="14">
        <f>IFERROR(IF(INDEX('01_Formulario_A01'!$D:$D,MATCH("D14-DOC-PCV-001.QUALIFICATION.CRITERIOS",'01_Formulario_A01'!$A:$A,0))="","— (a preencher em 01_Formulario_A01)",INDEX('01_Formulario_A01'!$D:$D,MATCH("D14-DOC-PCV-001.QUALIFICATION.CRITERIOS",'01_Formulario_A01'!$A:$A,0))),"— (a preencher em 01_Formulario_A01)")</f>
        <v/>
      </c>
    </row>
    <row r="379">
      <c r="A379" s="13" t="inlineStr">
        <is>
          <t>D14-DOC-PCV-001.QUALIFICATION.SCORING</t>
        </is>
      </c>
      <c r="B379" s="2" t="inlineStr">
        <is>
          <t>scoring</t>
        </is>
      </c>
      <c r="C379" s="14">
        <f>IFERROR(IF(INDEX('01_Formulario_A01'!$D:$D,MATCH("D14-DOC-PCV-001.QUALIFICATION.SCORING",'01_Formulario_A01'!$A:$A,0))="","— (a preencher em 01_Formulario_A01)",INDEX('01_Formulario_A01'!$D:$D,MATCH("D14-DOC-PCV-001.QUALIFICATION.SCORING",'01_Formulario_A01'!$A:$A,0))),"— (a preencher em 01_Formulario_A01)")</f>
        <v/>
      </c>
    </row>
    <row r="380">
      <c r="A380" s="13" t="inlineStr">
        <is>
          <t>D14-DOC-PCV-001.FUNNEL.LEAD</t>
        </is>
      </c>
      <c r="B380" s="2" t="inlineStr">
        <is>
          <t>lead</t>
        </is>
      </c>
      <c r="C380" s="14">
        <f>IFERROR(IF(INDEX('01_Formulario_A01'!$D:$D,MATCH("D14-DOC-PCV-001.FUNNEL.LEAD",'01_Formulario_A01'!$A:$A,0))="","— (a preencher em 01_Formulario_A01)",INDEX('01_Formulario_A01'!$D:$D,MATCH("D14-DOC-PCV-001.FUNNEL.LEAD",'01_Formulario_A01'!$A:$A,0))),"— (a preencher em 01_Formulario_A01)")</f>
        <v/>
      </c>
    </row>
    <row r="381">
      <c r="A381" s="13" t="inlineStr">
        <is>
          <t>D14-DOC-PCV-001.FUNNEL.MQL</t>
        </is>
      </c>
      <c r="B381" s="2" t="inlineStr">
        <is>
          <t>mql</t>
        </is>
      </c>
      <c r="C381" s="14">
        <f>IFERROR(IF(INDEX('01_Formulario_A01'!$D:$D,MATCH("D14-DOC-PCV-001.FUNNEL.MQL",'01_Formulario_A01'!$A:$A,0))="","— (a preencher em 01_Formulario_A01)",INDEX('01_Formulario_A01'!$D:$D,MATCH("D14-DOC-PCV-001.FUNNEL.MQL",'01_Formulario_A01'!$A:$A,0))),"— (a preencher em 01_Formulario_A01)")</f>
        <v/>
      </c>
    </row>
    <row r="382">
      <c r="A382" s="13" t="inlineStr">
        <is>
          <t>D14-DOC-PCV-001.FUNNEL.SQL</t>
        </is>
      </c>
      <c r="B382" s="2" t="inlineStr">
        <is>
          <t>sql</t>
        </is>
      </c>
      <c r="C382" s="14">
        <f>IFERROR(IF(INDEX('01_Formulario_A01'!$D:$D,MATCH("D14-DOC-PCV-001.FUNNEL.SQL",'01_Formulario_A01'!$A:$A,0))="","— (a preencher em 01_Formulario_A01)",INDEX('01_Formulario_A01'!$D:$D,MATCH("D14-DOC-PCV-001.FUNNEL.SQL",'01_Formulario_A01'!$A:$A,0))),"— (a preencher em 01_Formulario_A01)")</f>
        <v/>
      </c>
    </row>
    <row r="383">
      <c r="A383" s="13" t="inlineStr">
        <is>
          <t>D14-DOC-PCV-001.FUNNEL.PROPOSTA</t>
        </is>
      </c>
      <c r="B383" s="2" t="inlineStr">
        <is>
          <t>proposta</t>
        </is>
      </c>
      <c r="C383" s="14">
        <f>IFERROR(IF(INDEX('01_Formulario_A01'!$D:$D,MATCH("D14-DOC-PCV-001.FUNNEL.PROPOSTA",'01_Formulario_A01'!$A:$A,0))="","— (a preencher em 01_Formulario_A01)",INDEX('01_Formulario_A01'!$D:$D,MATCH("D14-DOC-PCV-001.FUNNEL.PROPOSTA",'01_Formulario_A01'!$A:$A,0))),"— (a preencher em 01_Formulario_A01)")</f>
        <v/>
      </c>
    </row>
    <row r="384">
      <c r="A384" s="13" t="inlineStr">
        <is>
          <t>D14-DOC-PCV-001.FUNNEL.GANHO</t>
        </is>
      </c>
      <c r="B384" s="2" t="inlineStr">
        <is>
          <t>ganho</t>
        </is>
      </c>
      <c r="C384" s="14">
        <f>IFERROR(IF(INDEX('01_Formulario_A01'!$D:$D,MATCH("D14-DOC-PCV-001.FUNNEL.GANHO",'01_Formulario_A01'!$A:$A,0))="","— (a preencher em 01_Formulario_A01)",INDEX('01_Formulario_A01'!$D:$D,MATCH("D14-DOC-PCV-001.FUNNEL.GANHO",'01_Formulario_A01'!$A:$A,0))),"— (a preencher em 01_Formulario_A01)")</f>
        <v/>
      </c>
    </row>
    <row r="385">
      <c r="A385" s="13" t="inlineStr">
        <is>
          <t>D14-DOC-PCV-001.PROCESS.ETAPAS</t>
        </is>
      </c>
      <c r="B385" s="2" t="inlineStr">
        <is>
          <t>etapas</t>
        </is>
      </c>
      <c r="C385" s="14">
        <f>IFERROR(IF(INDEX('01_Formulario_A01'!$D:$D,MATCH("D14-DOC-PCV-001.PROCESS.ETAPAS",'01_Formulario_A01'!$A:$A,0))="","— (a preencher em 01_Formulario_A01)",INDEX('01_Formulario_A01'!$D:$D,MATCH("D14-DOC-PCV-001.PROCESS.ETAPAS",'01_Formulario_A01'!$A:$A,0))),"— (a preencher em 01_Formulario_A01)")</f>
        <v/>
      </c>
    </row>
    <row r="386">
      <c r="A386" s="13" t="inlineStr">
        <is>
          <t>D14-DOC-PCV-001.PROCESS.OWNER</t>
        </is>
      </c>
      <c r="B386" s="2" t="inlineStr">
        <is>
          <t>owner</t>
        </is>
      </c>
      <c r="C386" s="14">
        <f>IFERROR(IF(INDEX('01_Formulario_A01'!$D:$D,MATCH("D14-DOC-PCV-001.PROCESS.OWNER",'01_Formulario_A01'!$A:$A,0))="","— (a preencher em 01_Formulario_A01)",INDEX('01_Formulario_A01'!$D:$D,MATCH("D14-DOC-PCV-001.PROCESS.OWNER",'01_Formulario_A01'!$A:$A,0))),"— (a preencher em 01_Formulario_A01)")</f>
        <v/>
      </c>
    </row>
    <row r="387">
      <c r="A387" s="13" t="inlineStr">
        <is>
          <t>D14-DOC-PCV-001.SCRIPTS.ABERTURA</t>
        </is>
      </c>
      <c r="B387" s="2" t="inlineStr">
        <is>
          <t>abertura</t>
        </is>
      </c>
      <c r="C387" s="14">
        <f>IFERROR(IF(INDEX('01_Formulario_A01'!$D:$D,MATCH("D14-DOC-PCV-001.SCRIPTS.ABERTURA",'01_Formulario_A01'!$A:$A,0))="","— (a preencher em 01_Formulario_A01)",INDEX('01_Formulario_A01'!$D:$D,MATCH("D14-DOC-PCV-001.SCRIPTS.ABERTURA",'01_Formulario_A01'!$A:$A,0))),"— (a preencher em 01_Formulario_A01)")</f>
        <v/>
      </c>
    </row>
    <row r="388">
      <c r="A388" s="13" t="inlineStr">
        <is>
          <t>D14-DOC-PCV-001.SCRIPTS.DESCOBERTA</t>
        </is>
      </c>
      <c r="B388" s="2" t="inlineStr">
        <is>
          <t>descoberta</t>
        </is>
      </c>
      <c r="C388" s="14">
        <f>IFERROR(IF(INDEX('01_Formulario_A01'!$D:$D,MATCH("D14-DOC-PCV-001.SCRIPTS.DESCOBERTA",'01_Formulario_A01'!$A:$A,0))="","— (a preencher em 01_Formulario_A01)",INDEX('01_Formulario_A01'!$D:$D,MATCH("D14-DOC-PCV-001.SCRIPTS.DESCOBERTA",'01_Formulario_A01'!$A:$A,0))),"— (a preencher em 01_Formulario_A01)")</f>
        <v/>
      </c>
    </row>
    <row r="389">
      <c r="A389" s="13" t="inlineStr">
        <is>
          <t>D14-DOC-PCV-001.SCRIPTS.FECHAMENTO</t>
        </is>
      </c>
      <c r="B389" s="2" t="inlineStr">
        <is>
          <t>fechamento</t>
        </is>
      </c>
      <c r="C389" s="14">
        <f>IFERROR(IF(INDEX('01_Formulario_A01'!$D:$D,MATCH("D14-DOC-PCV-001.SCRIPTS.FECHAMENTO",'01_Formulario_A01'!$A:$A,0))="","— (a preencher em 01_Formulario_A01)",INDEX('01_Formulario_A01'!$D:$D,MATCH("D14-DOC-PCV-001.SCRIPTS.FECHAMENTO",'01_Formulario_A01'!$A:$A,0))),"— (a preencher em 01_Formulario_A01)")</f>
        <v/>
      </c>
    </row>
    <row r="390">
      <c r="A390" s="13" t="inlineStr">
        <is>
          <t>D14-DOC-PCV-001.DISCOVERY.PERGUNTAS</t>
        </is>
      </c>
      <c r="B390" s="2" t="inlineStr">
        <is>
          <t>perguntas</t>
        </is>
      </c>
      <c r="C390" s="14">
        <f>IFERROR(IF(INDEX('01_Formulario_A01'!$D:$D,MATCH("D14-DOC-PCV-001.DISCOVERY.PERGUNTAS",'01_Formulario_A01'!$A:$A,0))="","— (a preencher em 01_Formulario_A01)",INDEX('01_Formulario_A01'!$D:$D,MATCH("D14-DOC-PCV-001.DISCOVERY.PERGUNTAS",'01_Formulario_A01'!$A:$A,0))),"— (a preencher em 01_Formulario_A01)")</f>
        <v/>
      </c>
    </row>
    <row r="391">
      <c r="A391" s="13" t="inlineStr">
        <is>
          <t>D14-DOC-PCV-001.DISCOVERY.NECESSIDADES</t>
        </is>
      </c>
      <c r="B391" s="2" t="inlineStr">
        <is>
          <t>necessidades</t>
        </is>
      </c>
      <c r="C391" s="14">
        <f>IFERROR(IF(INDEX('01_Formulario_A01'!$D:$D,MATCH("D14-DOC-PCV-001.DISCOVERY.NECESSIDADES",'01_Formulario_A01'!$A:$A,0))="","— (a preencher em 01_Formulario_A01)",INDEX('01_Formulario_A01'!$D:$D,MATCH("D14-DOC-PCV-001.DISCOVERY.NECESSIDADES",'01_Formulario_A01'!$A:$A,0))),"— (a preencher em 01_Formulario_A01)")</f>
        <v/>
      </c>
    </row>
    <row r="392">
      <c r="A392" s="13" t="inlineStr">
        <is>
          <t>D14-DOC-PCV-001.OBJECTIONS.OBJECAO</t>
        </is>
      </c>
      <c r="B392" s="2" t="inlineStr">
        <is>
          <t>objecao</t>
        </is>
      </c>
      <c r="C392" s="14">
        <f>IFERROR(IF(INDEX('01_Formulario_A01'!$D:$D,MATCH("D14-DOC-PCV-001.OBJECTIONS.OBJECAO",'01_Formulario_A01'!$A:$A,0))="","— (a preencher em 01_Formulario_A01)",INDEX('01_Formulario_A01'!$D:$D,MATCH("D14-DOC-PCV-001.OBJECTIONS.OBJECAO",'01_Formulario_A01'!$A:$A,0))),"— (a preencher em 01_Formulario_A01)")</f>
        <v/>
      </c>
    </row>
    <row r="393">
      <c r="A393" s="13" t="inlineStr">
        <is>
          <t>D14-DOC-PCV-001.OBJECTIONS.RESPOSTA</t>
        </is>
      </c>
      <c r="B393" s="2" t="inlineStr">
        <is>
          <t>resposta</t>
        </is>
      </c>
      <c r="C393" s="14">
        <f>IFERROR(IF(INDEX('01_Formulario_A01'!$D:$D,MATCH("D14-DOC-PCV-001.OBJECTIONS.RESPOSTA",'01_Formulario_A01'!$A:$A,0))="","— (a preencher em 01_Formulario_A01)",INDEX('01_Formulario_A01'!$D:$D,MATCH("D14-DOC-PCV-001.OBJECTIONS.RESPOSTA",'01_Formulario_A01'!$A:$A,0))),"— (a preencher em 01_Formulario_A01)")</f>
        <v/>
      </c>
    </row>
    <row r="394">
      <c r="A394" s="13" t="inlineStr">
        <is>
          <t>D14-DOC-PCV-001.PROPOSALS.TEMPLATE</t>
        </is>
      </c>
      <c r="B394" s="2" t="inlineStr">
        <is>
          <t>template</t>
        </is>
      </c>
      <c r="C394" s="14">
        <f>IFERROR(IF(INDEX('01_Formulario_A01'!$D:$D,MATCH("D14-DOC-PCV-001.PROPOSALS.TEMPLATE",'01_Formulario_A01'!$A:$A,0))="","— (a preencher em 01_Formulario_A01)",INDEX('01_Formulario_A01'!$D:$D,MATCH("D14-DOC-PCV-001.PROPOSALS.TEMPLATE",'01_Formulario_A01'!$A:$A,0))),"— (a preencher em 01_Formulario_A01)")</f>
        <v/>
      </c>
    </row>
    <row r="395">
      <c r="A395" s="13" t="inlineStr">
        <is>
          <t>D14-DOC-PCV-001.PROPOSALS.REQUISITOS</t>
        </is>
      </c>
      <c r="B395" s="2" t="inlineStr">
        <is>
          <t>requisitos</t>
        </is>
      </c>
      <c r="C395" s="14">
        <f>IFERROR(IF(INDEX('01_Formulario_A01'!$D:$D,MATCH("D14-DOC-PCV-001.PROPOSALS.REQUISITOS",'01_Formulario_A01'!$A:$A,0))="","— (a preencher em 01_Formulario_A01)",INDEX('01_Formulario_A01'!$D:$D,MATCH("D14-DOC-PCV-001.PROPOSALS.REQUISITOS",'01_Formulario_A01'!$A:$A,0))),"— (a preencher em 01_Formulario_A01)")</f>
        <v/>
      </c>
    </row>
    <row r="396">
      <c r="A396" s="13" t="inlineStr">
        <is>
          <t>D14-DOC-PCV-001.CRM.SISTEMA</t>
        </is>
      </c>
      <c r="B396" s="2" t="inlineStr">
        <is>
          <t>sistema</t>
        </is>
      </c>
      <c r="C396" s="14">
        <f>IFERROR(IF(INDEX('01_Formulario_A01'!$D:$D,MATCH("D14-DOC-PCV-001.CRM.SISTEMA",'01_Formulario_A01'!$A:$A,0))="","— (a preencher em 01_Formulario_A01)",INDEX('01_Formulario_A01'!$D:$D,MATCH("D14-DOC-PCV-001.CRM.SISTEMA",'01_Formulario_A01'!$A:$A,0))),"— (a preencher em 01_Formulario_A01)")</f>
        <v/>
      </c>
    </row>
    <row r="397">
      <c r="A397" s="13" t="inlineStr">
        <is>
          <t>D14-DOC-PCV-001.CRM.CAMPOS</t>
        </is>
      </c>
      <c r="B397" s="2" t="inlineStr">
        <is>
          <t>campos</t>
        </is>
      </c>
      <c r="C397" s="14">
        <f>IFERROR(IF(INDEX('01_Formulario_A01'!$D:$D,MATCH("D14-DOC-PCV-001.CRM.CAMPOS",'01_Formulario_A01'!$A:$A,0))="","— (a preencher em 01_Formulario_A01)",INDEX('01_Formulario_A01'!$D:$D,MATCH("D14-DOC-PCV-001.CRM.CAMPOS",'01_Formulario_A01'!$A:$A,0))),"— (a preencher em 01_Formulario_A01)")</f>
        <v/>
      </c>
    </row>
    <row r="398">
      <c r="A398" s="13" t="inlineStr">
        <is>
          <t>D14-DOC-PCV-001.CRM.ETAPAS</t>
        </is>
      </c>
      <c r="B398" s="2" t="inlineStr">
        <is>
          <t>etapas</t>
        </is>
      </c>
      <c r="C398" s="14">
        <f>IFERROR(IF(INDEX('01_Formulario_A01'!$D:$D,MATCH("D14-DOC-PCV-001.CRM.ETAPAS",'01_Formulario_A01'!$A:$A,0))="","— (a preencher em 01_Formulario_A01)",INDEX('01_Formulario_A01'!$D:$D,MATCH("D14-DOC-PCV-001.CRM.ETAPAS",'01_Formulario_A01'!$A:$A,0))),"— (a preencher em 01_Formulario_A01)")</f>
        <v/>
      </c>
    </row>
    <row r="399">
      <c r="A399" s="13" t="inlineStr">
        <is>
          <t>D14-DOC-PCV-001.PIPELINE.VALOR</t>
        </is>
      </c>
      <c r="B399" s="2" t="inlineStr">
        <is>
          <t>valor</t>
        </is>
      </c>
      <c r="C399" s="14">
        <f>IFERROR(IF(INDEX('01_Formulario_A01'!$D:$D,MATCH("D14-DOC-PCV-001.PIPELINE.VALOR",'01_Formulario_A01'!$A:$A,0))="","— (a preencher em 01_Formulario_A01)",INDEX('01_Formulario_A01'!$D:$D,MATCH("D14-DOC-PCV-001.PIPELINE.VALOR",'01_Formulario_A01'!$A:$A,0))),"— (a preencher em 01_Formulario_A01)")</f>
        <v/>
      </c>
    </row>
    <row r="400">
      <c r="A400" s="13" t="inlineStr">
        <is>
          <t>D14-DOC-PCV-001.PIPELINE.PROBABILIDADE</t>
        </is>
      </c>
      <c r="B400" s="2" t="inlineStr">
        <is>
          <t>probabilidade</t>
        </is>
      </c>
      <c r="C400" s="14">
        <f>IFERROR(IF(INDEX('01_Formulario_A01'!$D:$D,MATCH("D14-DOC-PCV-001.PIPELINE.PROBABILIDADE",'01_Formulario_A01'!$A:$A,0))="","— (a preencher em 01_Formulario_A01)",INDEX('01_Formulario_A01'!$D:$D,MATCH("D14-DOC-PCV-001.PIPELINE.PROBABILIDADE",'01_Formulario_A01'!$A:$A,0))),"— (a preencher em 01_Formulario_A01)")</f>
        <v/>
      </c>
    </row>
    <row r="401">
      <c r="A401" s="13" t="inlineStr">
        <is>
          <t>D14-DOC-PCV-001.FORECAST.PERIODO</t>
        </is>
      </c>
      <c r="B401" s="2" t="inlineStr">
        <is>
          <t>periodo</t>
        </is>
      </c>
      <c r="C401" s="14">
        <f>IFERROR(IF(INDEX('01_Formulario_A01'!$D:$D,MATCH("D14-DOC-PCV-001.FORECAST.PERIODO",'01_Formulario_A01'!$A:$A,0))="","— (a preencher em 01_Formulario_A01)",INDEX('01_Formulario_A01'!$D:$D,MATCH("D14-DOC-PCV-001.FORECAST.PERIODO",'01_Formulario_A01'!$A:$A,0))),"— (a preencher em 01_Formulario_A01)")</f>
        <v/>
      </c>
    </row>
    <row r="402">
      <c r="A402" s="13" t="inlineStr">
        <is>
          <t>D14-DOC-PCV-001.FORECAST.RECEITA</t>
        </is>
      </c>
      <c r="B402" s="2" t="inlineStr">
        <is>
          <t>receita</t>
        </is>
      </c>
      <c r="C402" s="14">
        <f>IFERROR(IF(INDEX('01_Formulario_A01'!$D:$D,MATCH("D14-DOC-PCV-001.FORECAST.RECEITA",'01_Formulario_A01'!$A:$A,0))="","— (a preencher em 01_Formulario_A01)",INDEX('01_Formulario_A01'!$D:$D,MATCH("D14-DOC-PCV-001.FORECAST.RECEITA",'01_Formulario_A01'!$A:$A,0))),"— (a preencher em 01_Formulario_A01)")</f>
        <v/>
      </c>
    </row>
    <row r="403">
      <c r="A403" s="13" t="inlineStr">
        <is>
          <t>D14-DOC-PCV-001.TARGETS.QUOTA</t>
        </is>
      </c>
      <c r="B403" s="2" t="inlineStr">
        <is>
          <t>quota</t>
        </is>
      </c>
      <c r="C403" s="14">
        <f>IFERROR(IF(INDEX('01_Formulario_A01'!$D:$D,MATCH("D14-DOC-PCV-001.TARGETS.QUOTA",'01_Formulario_A01'!$A:$A,0))="","— (a preencher em 01_Formulario_A01)",INDEX('01_Formulario_A01'!$D:$D,MATCH("D14-DOC-PCV-001.TARGETS.QUOTA",'01_Formulario_A01'!$A:$A,0))),"— (a preencher em 01_Formulario_A01)")</f>
        <v/>
      </c>
    </row>
    <row r="404">
      <c r="A404" s="13" t="inlineStr">
        <is>
          <t>D14-DOC-PCV-001.TARGETS.CONVERSAO</t>
        </is>
      </c>
      <c r="B404" s="2" t="inlineStr">
        <is>
          <t>conversao</t>
        </is>
      </c>
      <c r="C404" s="14">
        <f>IFERROR(IF(INDEX('01_Formulario_A01'!$D:$D,MATCH("D14-DOC-PCV-001.TARGETS.CONVERSAO",'01_Formulario_A01'!$A:$A,0))="","— (a preencher em 01_Formulario_A01)",INDEX('01_Formulario_A01'!$D:$D,MATCH("D14-DOC-PCV-001.TARGETS.CONVERSAO",'01_Formulario_A01'!$A:$A,0))),"— (a preencher em 01_Formulario_A01)")</f>
        <v/>
      </c>
    </row>
    <row r="405">
      <c r="A405" s="13" t="inlineStr">
        <is>
          <t>D14-DOC-PCV-001.HANDOFF.CONTRATO</t>
        </is>
      </c>
      <c r="B405" s="2" t="inlineStr">
        <is>
          <t>contrato</t>
        </is>
      </c>
      <c r="C405" s="14">
        <f>IFERROR(IF(INDEX('01_Formulario_A01'!$D:$D,MATCH("D14-DOC-PCV-001.HANDOFF.CONTRATO",'01_Formulario_A01'!$A:$A,0))="","— (a preencher em 01_Formulario_A01)",INDEX('01_Formulario_A01'!$D:$D,MATCH("D14-DOC-PCV-001.HANDOFF.CONTRATO",'01_Formulario_A01'!$A:$A,0))),"— (a preencher em 01_Formulario_A01)")</f>
        <v/>
      </c>
    </row>
    <row r="406">
      <c r="A406" s="13" t="inlineStr">
        <is>
          <t>D14-DOC-PCV-001.HANDOFF.ONBOARDING</t>
        </is>
      </c>
      <c r="B406" s="2" t="inlineStr">
        <is>
          <t>onboarding</t>
        </is>
      </c>
      <c r="C406" s="14">
        <f>IFERROR(IF(INDEX('01_Formulario_A01'!$D:$D,MATCH("D14-DOC-PCV-001.HANDOFF.ONBOARDING",'01_Formulario_A01'!$A:$A,0))="","— (a preencher em 01_Formulario_A01)",INDEX('01_Formulario_A01'!$D:$D,MATCH("D14-DOC-PCV-001.HANDOFF.ONBOARDING",'01_Formulario_A01'!$A:$A,0))),"— (a preencher em 01_Formulario_A01)")</f>
        <v/>
      </c>
    </row>
    <row r="407">
      <c r="A407" s="13" t="inlineStr">
        <is>
          <t>D14-DOC-PCV-001.HANDOFF.CUSTOMER_SUCCESS</t>
        </is>
      </c>
      <c r="B407" s="2" t="inlineStr">
        <is>
          <t>customer_success</t>
        </is>
      </c>
      <c r="C407" s="14">
        <f>IFERROR(IF(INDEX('01_Formulario_A01'!$D:$D,MATCH("D14-DOC-PCV-001.HANDOFF.CUSTOMER_SUCCESS",'01_Formulario_A01'!$A:$A,0))="","— (a preencher em 01_Formulario_A01)",INDEX('01_Formulario_A01'!$D:$D,MATCH("D14-DOC-PCV-001.HANDOFF.CUSTOMER_SUCCESS",'01_Formulario_A01'!$A:$A,0))),"— (a preencher em 01_Formulario_A01)")</f>
        <v/>
      </c>
    </row>
    <row r="408">
      <c r="A408" s="13" t="inlineStr">
        <is>
          <t>D14-DOC-PCV-001.METRICS.WIN_RATE</t>
        </is>
      </c>
      <c r="B408" s="2" t="inlineStr">
        <is>
          <t>win_rate</t>
        </is>
      </c>
      <c r="C408" s="14">
        <f>IFERROR(IF(INDEX('01_Formulario_A01'!$D:$D,MATCH("D14-DOC-PCV-001.METRICS.WIN_RATE",'01_Formulario_A01'!$A:$A,0))="","— (a preencher em 01_Formulario_A01)",INDEX('01_Formulario_A01'!$D:$D,MATCH("D14-DOC-PCV-001.METRICS.WIN_RATE",'01_Formulario_A01'!$A:$A,0))),"— (a preencher em 01_Formulario_A01)")</f>
        <v/>
      </c>
    </row>
    <row r="409">
      <c r="A409" s="13" t="inlineStr">
        <is>
          <t>D14-DOC-PCV-001.METRICS.CICLO</t>
        </is>
      </c>
      <c r="B409" s="2" t="inlineStr">
        <is>
          <t>ciclo</t>
        </is>
      </c>
      <c r="C409" s="14">
        <f>IFERROR(IF(INDEX('01_Formulario_A01'!$D:$D,MATCH("D14-DOC-PCV-001.METRICS.CICLO",'01_Formulario_A01'!$A:$A,0))="","— (a preencher em 01_Formulario_A01)",INDEX('01_Formulario_A01'!$D:$D,MATCH("D14-DOC-PCV-001.METRICS.CICLO",'01_Formulario_A01'!$A:$A,0))),"— (a preencher em 01_Formulario_A01)")</f>
        <v/>
      </c>
    </row>
    <row r="410">
      <c r="A410" s="13" t="inlineStr">
        <is>
          <t>D14-DOC-PCV-001.METRICS.TICKET</t>
        </is>
      </c>
      <c r="B410" s="2" t="inlineStr">
        <is>
          <t>ticket</t>
        </is>
      </c>
      <c r="C410" s="14">
        <f>IFERROR(IF(INDEX('01_Formulario_A01'!$D:$D,MATCH("D14-DOC-PCV-001.METRICS.TICKET",'01_Formulario_A01'!$A:$A,0))="","— (a preencher em 01_Formulario_A01)",INDEX('01_Formulario_A01'!$D:$D,MATCH("D14-DOC-PCV-001.METRICS.TICKET",'01_Formulario_A01'!$A:$A,0))),"— (a preencher em 01_Formulario_A01)")</f>
        <v/>
      </c>
    </row>
    <row r="411">
      <c r="A411" s="13" t="inlineStr">
        <is>
          <t>D15-DOC-PASC-001.SERVICE_MODEL.MODELO</t>
        </is>
      </c>
      <c r="B411" s="2" t="inlineStr">
        <is>
          <t>modelo</t>
        </is>
      </c>
      <c r="C411" s="14">
        <f>IFERROR(IF(INDEX('01_Formulario_A01'!$D:$D,MATCH("D15-DOC-PASC-001.SERVICE_MODEL.MODELO",'01_Formulario_A01'!$A:$A,0))="","— (a preencher em 01_Formulario_A01)",INDEX('01_Formulario_A01'!$D:$D,MATCH("D15-DOC-PASC-001.SERVICE_MODEL.MODELO",'01_Formulario_A01'!$A:$A,0))),"— (a preencher em 01_Formulario_A01)")</f>
        <v/>
      </c>
    </row>
    <row r="412">
      <c r="A412" s="13" t="inlineStr">
        <is>
          <t>D15-DOC-PASC-001.SERVICE_MODEL.SEGMENTOS</t>
        </is>
      </c>
      <c r="B412" s="2" t="inlineStr">
        <is>
          <t>segmentos</t>
        </is>
      </c>
      <c r="C412" s="14">
        <f>IFERROR(IF(INDEX('01_Formulario_A01'!$D:$D,MATCH("D15-DOC-PASC-001.SERVICE_MODEL.SEGMENTOS",'01_Formulario_A01'!$A:$A,0))="","— (a preencher em 01_Formulario_A01)",INDEX('01_Formulario_A01'!$D:$D,MATCH("D15-DOC-PASC-001.SERVICE_MODEL.SEGMENTOS",'01_Formulario_A01'!$A:$A,0))),"— (a preencher em 01_Formulario_A01)")</f>
        <v/>
      </c>
    </row>
    <row r="413">
      <c r="A413" s="13" t="inlineStr">
        <is>
          <t>D15-DOC-PASC-001.ONBOARDING.ETAPAS</t>
        </is>
      </c>
      <c r="B413" s="2" t="inlineStr">
        <is>
          <t>etapas</t>
        </is>
      </c>
      <c r="C413" s="14">
        <f>IFERROR(IF(INDEX('01_Formulario_A01'!$D:$D,MATCH("D15-DOC-PASC-001.ONBOARDING.ETAPAS",'01_Formulario_A01'!$A:$A,0))="","— (a preencher em 01_Formulario_A01)",INDEX('01_Formulario_A01'!$D:$D,MATCH("D15-DOC-PASC-001.ONBOARDING.ETAPAS",'01_Formulario_A01'!$A:$A,0))),"— (a preencher em 01_Formulario_A01)")</f>
        <v/>
      </c>
    </row>
    <row r="414">
      <c r="A414" s="13" t="inlineStr">
        <is>
          <t>D15-DOC-PASC-001.ONBOARDING.OBJETIVO</t>
        </is>
      </c>
      <c r="B414" s="2" t="inlineStr">
        <is>
          <t>objetivo</t>
        </is>
      </c>
      <c r="C414" s="14">
        <f>IFERROR(IF(INDEX('01_Formulario_A01'!$D:$D,MATCH("D15-DOC-PASC-001.ONBOARDING.OBJETIVO",'01_Formulario_A01'!$A:$A,0))="","— (a preencher em 01_Formulario_A01)",INDEX('01_Formulario_A01'!$D:$D,MATCH("D15-DOC-PASC-001.ONBOARDING.OBJETIVO",'01_Formulario_A01'!$A:$A,0))),"— (a preencher em 01_Formulario_A01)")</f>
        <v/>
      </c>
    </row>
    <row r="415">
      <c r="A415" s="13" t="inlineStr">
        <is>
          <t>D15-DOC-PASC-001.CHANNELS.EMAIL</t>
        </is>
      </c>
      <c r="B415" s="2" t="inlineStr">
        <is>
          <t>email</t>
        </is>
      </c>
      <c r="C415" s="14">
        <f>IFERROR(IF(INDEX('01_Formulario_A01'!$D:$D,MATCH("D15-DOC-PASC-001.CHANNELS.EMAIL",'01_Formulario_A01'!$A:$A,0))="","— (a preencher em 01_Formulario_A01)",INDEX('01_Formulario_A01'!$D:$D,MATCH("D15-DOC-PASC-001.CHANNELS.EMAIL",'01_Formulario_A01'!$A:$A,0))),"— (a preencher em 01_Formulario_A01)")</f>
        <v/>
      </c>
    </row>
    <row r="416">
      <c r="A416" s="13" t="inlineStr">
        <is>
          <t>D15-DOC-PASC-001.CHANNELS.CHAT</t>
        </is>
      </c>
      <c r="B416" s="2" t="inlineStr">
        <is>
          <t>chat</t>
        </is>
      </c>
      <c r="C416" s="14">
        <f>IFERROR(IF(INDEX('01_Formulario_A01'!$D:$D,MATCH("D15-DOC-PASC-001.CHANNELS.CHAT",'01_Formulario_A01'!$A:$A,0))="","— (a preencher em 01_Formulario_A01)",INDEX('01_Formulario_A01'!$D:$D,MATCH("D15-DOC-PASC-001.CHANNELS.CHAT",'01_Formulario_A01'!$A:$A,0))),"— (a preencher em 01_Formulario_A01)")</f>
        <v/>
      </c>
    </row>
    <row r="417">
      <c r="A417" s="13" t="inlineStr">
        <is>
          <t>D15-DOC-PASC-001.CHANNELS.OUTROS</t>
        </is>
      </c>
      <c r="B417" s="2" t="inlineStr">
        <is>
          <t>outros</t>
        </is>
      </c>
      <c r="C417" s="14">
        <f>IFERROR(IF(INDEX('01_Formulario_A01'!$D:$D,MATCH("D15-DOC-PASC-001.CHANNELS.OUTROS",'01_Formulario_A01'!$A:$A,0))="","— (a preencher em 01_Formulario_A01)",INDEX('01_Formulario_A01'!$D:$D,MATCH("D15-DOC-PASC-001.CHANNELS.OUTROS",'01_Formulario_A01'!$A:$A,0))),"— (a preencher em 01_Formulario_A01)")</f>
        <v/>
      </c>
    </row>
    <row r="418">
      <c r="A418" s="13" t="inlineStr">
        <is>
          <t>D15-DOC-PASC-001.SERVICE_HOURS.HORARIOS</t>
        </is>
      </c>
      <c r="B418" s="2" t="inlineStr">
        <is>
          <t>horarios</t>
        </is>
      </c>
      <c r="C418" s="14">
        <f>IFERROR(IF(INDEX('01_Formulario_A01'!$D:$D,MATCH("D15-DOC-PASC-001.SERVICE_HOURS.HORARIOS",'01_Formulario_A01'!$A:$A,0))="","— (a preencher em 01_Formulario_A01)",INDEX('01_Formulario_A01'!$D:$D,MATCH("D15-DOC-PASC-001.SERVICE_HOURS.HORARIOS",'01_Formulario_A01'!$A:$A,0))),"— (a preencher em 01_Formulario_A01)")</f>
        <v/>
      </c>
    </row>
    <row r="419">
      <c r="A419" s="13" t="inlineStr">
        <is>
          <t>D15-DOC-PASC-001.SLA.PRIORIDADE</t>
        </is>
      </c>
      <c r="B419" s="2" t="inlineStr">
        <is>
          <t>prioridade</t>
        </is>
      </c>
      <c r="C419" s="14">
        <f>IFERROR(IF(INDEX('01_Formulario_A01'!$D:$D,MATCH("D15-DOC-PASC-001.SLA.PRIORIDADE",'01_Formulario_A01'!$A:$A,0))="","— (a preencher em 01_Formulario_A01)",INDEX('01_Formulario_A01'!$D:$D,MATCH("D15-DOC-PASC-001.SLA.PRIORIDADE",'01_Formulario_A01'!$A:$A,0))),"— (a preencher em 01_Formulario_A01)")</f>
        <v/>
      </c>
    </row>
    <row r="420">
      <c r="A420" s="13" t="inlineStr">
        <is>
          <t>D15-DOC-PASC-001.SLA.PRAZO</t>
        </is>
      </c>
      <c r="B420" s="2" t="inlineStr">
        <is>
          <t>prazo</t>
        </is>
      </c>
      <c r="C420" s="14">
        <f>IFERROR(IF(INDEX('01_Formulario_A01'!$D:$D,MATCH("D15-DOC-PASC-001.SLA.PRAZO",'01_Formulario_A01'!$A:$A,0))="","— (a preencher em 01_Formulario_A01)",INDEX('01_Formulario_A01'!$D:$D,MATCH("D15-DOC-PASC-001.SLA.PRAZO",'01_Formulario_A01'!$A:$A,0))),"— (a preencher em 01_Formulario_A01)")</f>
        <v/>
      </c>
    </row>
    <row r="421">
      <c r="A421" s="13" t="inlineStr">
        <is>
          <t>D15-DOC-PASC-001.KNOWLEDGE_BASE.ARTIGOS</t>
        </is>
      </c>
      <c r="B421" s="2" t="inlineStr">
        <is>
          <t>artigos</t>
        </is>
      </c>
      <c r="C421" s="14">
        <f>IFERROR(IF(INDEX('01_Formulario_A01'!$D:$D,MATCH("D15-DOC-PASC-001.KNOWLEDGE_BASE.ARTIGOS",'01_Formulario_A01'!$A:$A,0))="","— (a preencher em 01_Formulario_A01)",INDEX('01_Formulario_A01'!$D:$D,MATCH("D15-DOC-PASC-001.KNOWLEDGE_BASE.ARTIGOS",'01_Formulario_A01'!$A:$A,0))),"— (a preencher em 01_Formulario_A01)")</f>
        <v/>
      </c>
    </row>
    <row r="422">
      <c r="A422" s="13" t="inlineStr">
        <is>
          <t>D15-DOC-PASC-001.KNOWLEDGE_BASE.FAQ</t>
        </is>
      </c>
      <c r="B422" s="2" t="inlineStr">
        <is>
          <t>faq</t>
        </is>
      </c>
      <c r="C422" s="14">
        <f>IFERROR(IF(INDEX('01_Formulario_A01'!$D:$D,MATCH("D15-DOC-PASC-001.KNOWLEDGE_BASE.FAQ",'01_Formulario_A01'!$A:$A,0))="","— (a preencher em 01_Formulario_A01)",INDEX('01_Formulario_A01'!$D:$D,MATCH("D15-DOC-PASC-001.KNOWLEDGE_BASE.FAQ",'01_Formulario_A01'!$A:$A,0))),"— (a preencher em 01_Formulario_A01)")</f>
        <v/>
      </c>
    </row>
    <row r="423">
      <c r="A423" s="13" t="inlineStr">
        <is>
          <t>D15-DOC-PASC-001.TICKETING.CLASSIFICACAO</t>
        </is>
      </c>
      <c r="B423" s="2" t="inlineStr">
        <is>
          <t>classificacao</t>
        </is>
      </c>
      <c r="C423" s="14">
        <f>IFERROR(IF(INDEX('01_Formulario_A01'!$D:$D,MATCH("D15-DOC-PASC-001.TICKETING.CLASSIFICACAO",'01_Formulario_A01'!$A:$A,0))="","— (a preencher em 01_Formulario_A01)",INDEX('01_Formulario_A01'!$D:$D,MATCH("D15-DOC-PASC-001.TICKETING.CLASSIFICACAO",'01_Formulario_A01'!$A:$A,0))),"— (a preencher em 01_Formulario_A01)")</f>
        <v/>
      </c>
    </row>
    <row r="424">
      <c r="A424" s="13" t="inlineStr">
        <is>
          <t>D15-DOC-PASC-001.TICKETING.FLUXO</t>
        </is>
      </c>
      <c r="B424" s="2" t="inlineStr">
        <is>
          <t>fluxo</t>
        </is>
      </c>
      <c r="C424" s="14">
        <f>IFERROR(IF(INDEX('01_Formulario_A01'!$D:$D,MATCH("D15-DOC-PASC-001.TICKETING.FLUXO",'01_Formulario_A01'!$A:$A,0))="","— (a preencher em 01_Formulario_A01)",INDEX('01_Formulario_A01'!$D:$D,MATCH("D15-DOC-PASC-001.TICKETING.FLUXO",'01_Formulario_A01'!$A:$A,0))),"— (a preencher em 01_Formulario_A01)")</f>
        <v/>
      </c>
    </row>
    <row r="425">
      <c r="A425" s="13" t="inlineStr">
        <is>
          <t>D15-DOC-PASC-001.ESCALATION.NIVEL</t>
        </is>
      </c>
      <c r="B425" s="2" t="inlineStr">
        <is>
          <t>nivel</t>
        </is>
      </c>
      <c r="C425" s="14">
        <f>IFERROR(IF(INDEX('01_Formulario_A01'!$D:$D,MATCH("D15-DOC-PASC-001.ESCALATION.NIVEL",'01_Formulario_A01'!$A:$A,0))="","— (a preencher em 01_Formulario_A01)",INDEX('01_Formulario_A01'!$D:$D,MATCH("D15-DOC-PASC-001.ESCALATION.NIVEL",'01_Formulario_A01'!$A:$A,0))),"— (a preencher em 01_Formulario_A01)")</f>
        <v/>
      </c>
    </row>
    <row r="426">
      <c r="A426" s="13" t="inlineStr">
        <is>
          <t>D15-DOC-PASC-001.ESCALATION.RESPONSAVEL</t>
        </is>
      </c>
      <c r="B426" s="2" t="inlineStr">
        <is>
          <t>responsavel</t>
        </is>
      </c>
      <c r="C426" s="14">
        <f>IFERROR(IF(INDEX('01_Formulario_A01'!$D:$D,MATCH("D15-DOC-PASC-001.ESCALATION.RESPONSAVEL",'01_Formulario_A01'!$A:$A,0))="","— (a preencher em 01_Formulario_A01)",INDEX('01_Formulario_A01'!$D:$D,MATCH("D15-DOC-PASC-001.ESCALATION.RESPONSAVEL",'01_Formulario_A01'!$A:$A,0))),"— (a preencher em 01_Formulario_A01)")</f>
        <v/>
      </c>
    </row>
    <row r="427">
      <c r="A427" s="13" t="inlineStr">
        <is>
          <t>D15-DOC-PASC-001.SUCCESS_PLAN.OBJETIVO_DO_CLIENTE</t>
        </is>
      </c>
      <c r="B427" s="2" t="inlineStr">
        <is>
          <t>objetivo_do_cliente</t>
        </is>
      </c>
      <c r="C427" s="14">
        <f>IFERROR(IF(INDEX('01_Formulario_A01'!$D:$D,MATCH("D15-DOC-PASC-001.SUCCESS_PLAN.OBJETIVO_DO_CLIENTE",'01_Formulario_A01'!$A:$A,0))="","— (a preencher em 01_Formulario_A01)",INDEX('01_Formulario_A01'!$D:$D,MATCH("D15-DOC-PASC-001.SUCCESS_PLAN.OBJETIVO_DO_CLIENTE",'01_Formulario_A01'!$A:$A,0))),"— (a preencher em 01_Formulario_A01)")</f>
        <v/>
      </c>
    </row>
    <row r="428">
      <c r="A428" s="13" t="inlineStr">
        <is>
          <t>D15-DOC-PASC-001.SUCCESS_PLAN.MARCO</t>
        </is>
      </c>
      <c r="B428" s="2" t="inlineStr">
        <is>
          <t>marco</t>
        </is>
      </c>
      <c r="C428" s="14">
        <f>IFERROR(IF(INDEX('01_Formulario_A01'!$D:$D,MATCH("D15-DOC-PASC-001.SUCCESS_PLAN.MARCO",'01_Formulario_A01'!$A:$A,0))="","— (a preencher em 01_Formulario_A01)",INDEX('01_Formulario_A01'!$D:$D,MATCH("D15-DOC-PASC-001.SUCCESS_PLAN.MARCO",'01_Formulario_A01'!$A:$A,0))),"— (a preencher em 01_Formulario_A01)")</f>
        <v/>
      </c>
    </row>
    <row r="429">
      <c r="A429" s="13" t="inlineStr">
        <is>
          <t>D15-DOC-PASC-001.HEALTH_SCORE.INDICADORES</t>
        </is>
      </c>
      <c r="B429" s="2" t="inlineStr">
        <is>
          <t>indicadores</t>
        </is>
      </c>
      <c r="C429" s="14">
        <f>IFERROR(IF(INDEX('01_Formulario_A01'!$D:$D,MATCH("D15-DOC-PASC-001.HEALTH_SCORE.INDICADORES",'01_Formulario_A01'!$A:$A,0))="","— (a preencher em 01_Formulario_A01)",INDEX('01_Formulario_A01'!$D:$D,MATCH("D15-DOC-PASC-001.HEALTH_SCORE.INDICADORES",'01_Formulario_A01'!$A:$A,0))),"— (a preencher em 01_Formulario_A01)")</f>
        <v/>
      </c>
    </row>
    <row r="430">
      <c r="A430" s="13" t="inlineStr">
        <is>
          <t>D15-DOC-PASC-001.FEEDBACK.COLETA</t>
        </is>
      </c>
      <c r="B430" s="2" t="inlineStr">
        <is>
          <t>coleta</t>
        </is>
      </c>
      <c r="C430" s="14">
        <f>IFERROR(IF(INDEX('01_Formulario_A01'!$D:$D,MATCH("D15-DOC-PASC-001.FEEDBACK.COLETA",'01_Formulario_A01'!$A:$A,0))="","— (a preencher em 01_Formulario_A01)",INDEX('01_Formulario_A01'!$D:$D,MATCH("D15-DOC-PASC-001.FEEDBACK.COLETA",'01_Formulario_A01'!$A:$A,0))),"— (a preencher em 01_Formulario_A01)")</f>
        <v/>
      </c>
    </row>
    <row r="431">
      <c r="A431" s="13" t="inlineStr">
        <is>
          <t>D15-DOC-PASC-001.FEEDBACK.TRATAMENTO</t>
        </is>
      </c>
      <c r="B431" s="2" t="inlineStr">
        <is>
          <t>tratamento</t>
        </is>
      </c>
      <c r="C431" s="14">
        <f>IFERROR(IF(INDEX('01_Formulario_A01'!$D:$D,MATCH("D15-DOC-PASC-001.FEEDBACK.TRATAMENTO",'01_Formulario_A01'!$A:$A,0))="","— (a preencher em 01_Formulario_A01)",INDEX('01_Formulario_A01'!$D:$D,MATCH("D15-DOC-PASC-001.FEEDBACK.TRATAMENTO",'01_Formulario_A01'!$A:$A,0))),"— (a preencher em 01_Formulario_A01)")</f>
        <v/>
      </c>
    </row>
    <row r="432">
      <c r="A432" s="13" t="inlineStr">
        <is>
          <t>D15-DOC-PASC-001.SATISFACTION.CSAT</t>
        </is>
      </c>
      <c r="B432" s="2" t="inlineStr">
        <is>
          <t>csat</t>
        </is>
      </c>
      <c r="C432" s="14">
        <f>IFERROR(IF(INDEX('01_Formulario_A01'!$D:$D,MATCH("D15-DOC-PASC-001.SATISFACTION.CSAT",'01_Formulario_A01'!$A:$A,0))="","— (a preencher em 01_Formulario_A01)",INDEX('01_Formulario_A01'!$D:$D,MATCH("D15-DOC-PASC-001.SATISFACTION.CSAT",'01_Formulario_A01'!$A:$A,0))),"— (a preencher em 01_Formulario_A01)")</f>
        <v/>
      </c>
    </row>
    <row r="433">
      <c r="A433" s="13" t="inlineStr">
        <is>
          <t>D15-DOC-PASC-001.SATISFACTION.NPS</t>
        </is>
      </c>
      <c r="B433" s="2" t="inlineStr">
        <is>
          <t>nps</t>
        </is>
      </c>
      <c r="C433" s="14">
        <f>IFERROR(IF(INDEX('01_Formulario_A01'!$D:$D,MATCH("D15-DOC-PASC-001.SATISFACTION.NPS",'01_Formulario_A01'!$A:$A,0))="","— (a preencher em 01_Formulario_A01)",INDEX('01_Formulario_A01'!$D:$D,MATCH("D15-DOC-PASC-001.SATISFACTION.NPS",'01_Formulario_A01'!$A:$A,0))),"— (a preencher em 01_Formulario_A01)")</f>
        <v/>
      </c>
    </row>
    <row r="434">
      <c r="A434" s="13" t="inlineStr">
        <is>
          <t>D15-DOC-PASC-001.RETENTION.RENOVACAO</t>
        </is>
      </c>
      <c r="B434" s="2" t="inlineStr">
        <is>
          <t>renovacao</t>
        </is>
      </c>
      <c r="C434" s="14">
        <f>IFERROR(IF(INDEX('01_Formulario_A01'!$D:$D,MATCH("D15-DOC-PASC-001.RETENTION.RENOVACAO",'01_Formulario_A01'!$A:$A,0))="","— (a preencher em 01_Formulario_A01)",INDEX('01_Formulario_A01'!$D:$D,MATCH("D15-DOC-PASC-001.RETENTION.RENOVACAO",'01_Formulario_A01'!$A:$A,0))),"— (a preencher em 01_Formulario_A01)")</f>
        <v/>
      </c>
    </row>
    <row r="435">
      <c r="A435" s="13" t="inlineStr">
        <is>
          <t>D15-DOC-PASC-001.RETENTION.EXPANSAO</t>
        </is>
      </c>
      <c r="B435" s="2" t="inlineStr">
        <is>
          <t>expansao</t>
        </is>
      </c>
      <c r="C435" s="14">
        <f>IFERROR(IF(INDEX('01_Formulario_A01'!$D:$D,MATCH("D15-DOC-PASC-001.RETENTION.EXPANSAO",'01_Formulario_A01'!$A:$A,0))="","— (a preencher em 01_Formulario_A01)",INDEX('01_Formulario_A01'!$D:$D,MATCH("D15-DOC-PASC-001.RETENTION.EXPANSAO",'01_Formulario_A01'!$A:$A,0))),"— (a preencher em 01_Formulario_A01)")</f>
        <v/>
      </c>
    </row>
    <row r="436">
      <c r="A436" s="13" t="inlineStr">
        <is>
          <t>D15-DOC-PASC-001.CHURN.SINAIS</t>
        </is>
      </c>
      <c r="B436" s="2" t="inlineStr">
        <is>
          <t>sinais</t>
        </is>
      </c>
      <c r="C436" s="14">
        <f>IFERROR(IF(INDEX('01_Formulario_A01'!$D:$D,MATCH("D15-DOC-PASC-001.CHURN.SINAIS",'01_Formulario_A01'!$A:$A,0))="","— (a preencher em 01_Formulario_A01)",INDEX('01_Formulario_A01'!$D:$D,MATCH("D15-DOC-PASC-001.CHURN.SINAIS",'01_Formulario_A01'!$A:$A,0))),"— (a preencher em 01_Formulario_A01)")</f>
        <v/>
      </c>
    </row>
    <row r="437">
      <c r="A437" s="13" t="inlineStr">
        <is>
          <t>D15-DOC-PASC-001.CHURN.RESPOSTA</t>
        </is>
      </c>
      <c r="B437" s="2" t="inlineStr">
        <is>
          <t>resposta</t>
        </is>
      </c>
      <c r="C437" s="14">
        <f>IFERROR(IF(INDEX('01_Formulario_A01'!$D:$D,MATCH("D15-DOC-PASC-001.CHURN.RESPOSTA",'01_Formulario_A01'!$A:$A,0))="","— (a preencher em 01_Formulario_A01)",INDEX('01_Formulario_A01'!$D:$D,MATCH("D15-DOC-PASC-001.CHURN.RESPOSTA",'01_Formulario_A01'!$A:$A,0))),"— (a preencher em 01_Formulario_A01)")</f>
        <v/>
      </c>
    </row>
    <row r="438">
      <c r="A438" s="13" t="inlineStr">
        <is>
          <t>D15-DOC-PASC-001.INCIDENT_COMMUNICATION.MENSAGEM</t>
        </is>
      </c>
      <c r="B438" s="2" t="inlineStr">
        <is>
          <t>mensagem</t>
        </is>
      </c>
      <c r="C438" s="14">
        <f>IFERROR(IF(INDEX('01_Formulario_A01'!$D:$D,MATCH("D15-DOC-PASC-001.INCIDENT_COMMUNICATION.MENSAGEM",'01_Formulario_A01'!$A:$A,0))="","— (a preencher em 01_Formulario_A01)",INDEX('01_Formulario_A01'!$D:$D,MATCH("D15-DOC-PASC-001.INCIDENT_COMMUNICATION.MENSAGEM",'01_Formulario_A01'!$A:$A,0))),"— (a preencher em 01_Formulario_A01)")</f>
        <v/>
      </c>
    </row>
    <row r="439">
      <c r="A439" s="13" t="inlineStr">
        <is>
          <t>D15-DOC-PASC-001.INCIDENT_COMMUNICATION.CANAL</t>
        </is>
      </c>
      <c r="B439" s="2" t="inlineStr">
        <is>
          <t>canal</t>
        </is>
      </c>
      <c r="C439" s="14">
        <f>IFERROR(IF(INDEX('01_Formulario_A01'!$D:$D,MATCH("D15-DOC-PASC-001.INCIDENT_COMMUNICATION.CANAL",'01_Formulario_A01'!$A:$A,0))="","— (a preencher em 01_Formulario_A01)",INDEX('01_Formulario_A01'!$D:$D,MATCH("D15-DOC-PASC-001.INCIDENT_COMMUNICATION.CANAL",'01_Formulario_A01'!$A:$A,0))),"— (a preencher em 01_Formulario_A01)")</f>
        <v/>
      </c>
    </row>
    <row r="440">
      <c r="A440" s="13" t="inlineStr">
        <is>
          <t>D15-DOC-PASC-001.METRICS.TEMPO_RESPOSTA</t>
        </is>
      </c>
      <c r="B440" s="2" t="inlineStr">
        <is>
          <t>tempo_resposta</t>
        </is>
      </c>
      <c r="C440" s="14">
        <f>IFERROR(IF(INDEX('01_Formulario_A01'!$D:$D,MATCH("D15-DOC-PASC-001.METRICS.TEMPO_RESPOSTA",'01_Formulario_A01'!$A:$A,0))="","— (a preencher em 01_Formulario_A01)",INDEX('01_Formulario_A01'!$D:$D,MATCH("D15-DOC-PASC-001.METRICS.TEMPO_RESPOSTA",'01_Formulario_A01'!$A:$A,0))),"— (a preencher em 01_Formulario_A01)")</f>
        <v/>
      </c>
    </row>
    <row r="441">
      <c r="A441" s="13" t="inlineStr">
        <is>
          <t>D15-DOC-PASC-001.METRICS.RESOLUCAO</t>
        </is>
      </c>
      <c r="B441" s="2" t="inlineStr">
        <is>
          <t>resolucao</t>
        </is>
      </c>
      <c r="C441" s="14">
        <f>IFERROR(IF(INDEX('01_Formulario_A01'!$D:$D,MATCH("D15-DOC-PASC-001.METRICS.RESOLUCAO",'01_Formulario_A01'!$A:$A,0))="","— (a preencher em 01_Formulario_A01)",INDEX('01_Formulario_A01'!$D:$D,MATCH("D15-DOC-PASC-001.METRICS.RESOLUCAO",'01_Formulario_A01'!$A:$A,0))),"— (a preencher em 01_Formulario_A01)")</f>
        <v/>
      </c>
    </row>
    <row r="442">
      <c r="A442" s="13" t="inlineStr">
        <is>
          <t>D15-DOC-PASC-001.METRICS.CHURN</t>
        </is>
      </c>
      <c r="B442" s="2" t="inlineStr">
        <is>
          <t>churn</t>
        </is>
      </c>
      <c r="C442" s="14">
        <f>IFERROR(IF(INDEX('01_Formulario_A01'!$D:$D,MATCH("D15-DOC-PASC-001.METRICS.CHURN",'01_Formulario_A01'!$A:$A,0))="","— (a preencher em 01_Formulario_A01)",INDEX('01_Formulario_A01'!$D:$D,MATCH("D15-DOC-PASC-001.METRICS.CHURN",'01_Formulario_A01'!$A:$A,0))),"— (a preencher em 01_Formulario_A01)")</f>
        <v/>
      </c>
    </row>
    <row r="443">
      <c r="A443" s="5" t="inlineStr">
        <is>
          <t>A02 — Produto e Experiência</t>
        </is>
      </c>
      <c r="B443" s="6" t="n"/>
      <c r="C443" s="7" t="n"/>
    </row>
    <row r="444">
      <c r="A444" s="13" t="inlineStr">
        <is>
          <t>D10-DOC-DRP-001.PROBLEM.PROBLEMA</t>
        </is>
      </c>
      <c r="B444" s="2" t="inlineStr">
        <is>
          <t>problema</t>
        </is>
      </c>
      <c r="C444" s="14">
        <f>IFERROR(IF(INDEX('01_Formulario_A02'!$D:$D,MATCH("D10-DOC-DRP-001.PROBLEM.PROBLEMA",'01_Formulario_A02'!$A:$A,0))="","— (a preencher em 01_Formulario_A02)",INDEX('01_Formulario_A02'!$D:$D,MATCH("D10-DOC-DRP-001.PROBLEM.PROBLEMA",'01_Formulario_A02'!$A:$A,0))),"— (a preencher em 01_Formulario_A02)")</f>
        <v/>
      </c>
    </row>
    <row r="445">
      <c r="A445" s="13" t="inlineStr">
        <is>
          <t>D10-DOC-DRP-001.PROBLEM.EVIDENCIA</t>
        </is>
      </c>
      <c r="B445" s="2" t="inlineStr">
        <is>
          <t>evidencia</t>
        </is>
      </c>
      <c r="C445" s="14">
        <f>IFERROR(IF(INDEX('01_Formulario_A02'!$D:$D,MATCH("D10-DOC-DRP-001.PROBLEM.EVIDENCIA",'01_Formulario_A02'!$A:$A,0))="","— (a preencher em 01_Formulario_A02)",INDEX('01_Formulario_A02'!$D:$D,MATCH("D10-DOC-DRP-001.PROBLEM.EVIDENCIA",'01_Formulario_A02'!$A:$A,0))),"— (a preencher em 01_Formulario_A02)")</f>
        <v/>
      </c>
    </row>
    <row r="446">
      <c r="A446" s="13" t="inlineStr">
        <is>
          <t>D10-DOC-DRP-001.PROBLEM.IMPACTO</t>
        </is>
      </c>
      <c r="B446" s="2" t="inlineStr">
        <is>
          <t>impacto</t>
        </is>
      </c>
      <c r="C446" s="14">
        <f>IFERROR(IF(INDEX('01_Formulario_A02'!$D:$D,MATCH("D10-DOC-DRP-001.PROBLEM.IMPACTO",'01_Formulario_A02'!$A:$A,0))="","— (a preencher em 01_Formulario_A02)",INDEX('01_Formulario_A02'!$D:$D,MATCH("D10-DOC-DRP-001.PROBLEM.IMPACTO",'01_Formulario_A02'!$A:$A,0))),"— (a preencher em 01_Formulario_A02)")</f>
        <v/>
      </c>
    </row>
    <row r="447">
      <c r="A447" s="13" t="inlineStr">
        <is>
          <t>D10-DOC-DRP-001.AUDIENCE.USUARIOS</t>
        </is>
      </c>
      <c r="B447" s="2" t="inlineStr">
        <is>
          <t>usuarios</t>
        </is>
      </c>
      <c r="C447" s="14">
        <f>IFERROR(IF(INDEX('01_Formulario_A02'!$D:$D,MATCH("D10-DOC-DRP-001.AUDIENCE.USUARIOS",'01_Formulario_A02'!$A:$A,0))="","— (a preencher em 01_Formulario_A02)",INDEX('01_Formulario_A02'!$D:$D,MATCH("D10-DOC-DRP-001.AUDIENCE.USUARIOS",'01_Formulario_A02'!$A:$A,0))),"— (a preencher em 01_Formulario_A02)")</f>
        <v/>
      </c>
    </row>
    <row r="448">
      <c r="A448" s="13" t="inlineStr">
        <is>
          <t>D10-DOC-DRP-001.AUDIENCE.CLIENTES</t>
        </is>
      </c>
      <c r="B448" s="2" t="inlineStr">
        <is>
          <t>clientes</t>
        </is>
      </c>
      <c r="C448" s="14">
        <f>IFERROR(IF(INDEX('01_Formulario_A02'!$D:$D,MATCH("D10-DOC-DRP-001.AUDIENCE.CLIENTES",'01_Formulario_A02'!$A:$A,0))="","— (a preencher em 01_Formulario_A02)",INDEX('01_Formulario_A02'!$D:$D,MATCH("D10-DOC-DRP-001.AUDIENCE.CLIENTES",'01_Formulario_A02'!$A:$A,0))),"— (a preencher em 01_Formulario_A02)")</f>
        <v/>
      </c>
    </row>
    <row r="449">
      <c r="A449" s="13" t="inlineStr">
        <is>
          <t>D10-DOC-DRP-001.AUDIENCE.ICP</t>
        </is>
      </c>
      <c r="B449" s="2" t="inlineStr">
        <is>
          <t>icp</t>
        </is>
      </c>
      <c r="C449" s="14">
        <f>IFERROR(IF(INDEX('01_Formulario_A02'!$D:$D,MATCH("D10-DOC-DRP-001.AUDIENCE.ICP",'01_Formulario_A02'!$A:$A,0))="","— (a preencher em 01_Formulario_A02)",INDEX('01_Formulario_A02'!$D:$D,MATCH("D10-DOC-DRP-001.AUDIENCE.ICP",'01_Formulario_A02'!$A:$A,0))),"— (a preencher em 01_Formulario_A02)")</f>
        <v/>
      </c>
    </row>
    <row r="450">
      <c r="A450" s="13" t="inlineStr">
        <is>
          <t>D10-DOC-DRP-001.JTBD.SITUACAO</t>
        </is>
      </c>
      <c r="B450" s="2" t="inlineStr">
        <is>
          <t>situacao</t>
        </is>
      </c>
      <c r="C450" s="14">
        <f>IFERROR(IF(INDEX('01_Formulario_A02'!$D:$D,MATCH("D10-DOC-DRP-001.JTBD.SITUACAO",'01_Formulario_A02'!$A:$A,0))="","— (a preencher em 01_Formulario_A02)",INDEX('01_Formulario_A02'!$D:$D,MATCH("D10-DOC-DRP-001.JTBD.SITUACAO",'01_Formulario_A02'!$A:$A,0))),"— (a preencher em 01_Formulario_A02)")</f>
        <v/>
      </c>
    </row>
    <row r="451">
      <c r="A451" s="13" t="inlineStr">
        <is>
          <t>D10-DOC-DRP-001.JTBD.TRABALHO</t>
        </is>
      </c>
      <c r="B451" s="2" t="inlineStr">
        <is>
          <t>trabalho</t>
        </is>
      </c>
      <c r="C451" s="14">
        <f>IFERROR(IF(INDEX('01_Formulario_A02'!$D:$D,MATCH("D10-DOC-DRP-001.JTBD.TRABALHO",'01_Formulario_A02'!$A:$A,0))="","— (a preencher em 01_Formulario_A02)",INDEX('01_Formulario_A02'!$D:$D,MATCH("D10-DOC-DRP-001.JTBD.TRABALHO",'01_Formulario_A02'!$A:$A,0))),"— (a preencher em 01_Formulario_A02)")</f>
        <v/>
      </c>
    </row>
    <row r="452">
      <c r="A452" s="13" t="inlineStr">
        <is>
          <t>D10-DOC-DRP-001.JTBD.OUTCOME</t>
        </is>
      </c>
      <c r="B452" s="2" t="inlineStr">
        <is>
          <t>outcome</t>
        </is>
      </c>
      <c r="C452" s="14">
        <f>IFERROR(IF(INDEX('01_Formulario_A02'!$D:$D,MATCH("D10-DOC-DRP-001.JTBD.OUTCOME",'01_Formulario_A02'!$A:$A,0))="","— (a preencher em 01_Formulario_A02)",INDEX('01_Formulario_A02'!$D:$D,MATCH("D10-DOC-DRP-001.JTBD.OUTCOME",'01_Formulario_A02'!$A:$A,0))),"— (a preencher em 01_Formulario_A02)")</f>
        <v/>
      </c>
    </row>
    <row r="453">
      <c r="A453" s="13" t="inlineStr">
        <is>
          <t>D10-DOC-DRP-001.VALUE.PROPOSTA_DE_VALOR</t>
        </is>
      </c>
      <c r="B453" s="2" t="inlineStr">
        <is>
          <t>proposta_de_valor</t>
        </is>
      </c>
      <c r="C453" s="14">
        <f>IFERROR(IF(INDEX('01_Formulario_A02'!$D:$D,MATCH("D10-DOC-DRP-001.VALUE.PROPOSTA_DE_VALOR",'01_Formulario_A02'!$A:$A,0))="","— (a preencher em 01_Formulario_A02)",INDEX('01_Formulario_A02'!$D:$D,MATCH("D10-DOC-DRP-001.VALUE.PROPOSTA_DE_VALOR",'01_Formulario_A02'!$A:$A,0))),"— (a preencher em 01_Formulario_A02)")</f>
        <v/>
      </c>
    </row>
    <row r="454">
      <c r="A454" s="13" t="inlineStr">
        <is>
          <t>D10-DOC-DRP-001.GOALS.OBJETIVOS</t>
        </is>
      </c>
      <c r="B454" s="2" t="inlineStr">
        <is>
          <t>objetivos</t>
        </is>
      </c>
      <c r="C454" s="14">
        <f>IFERROR(IF(INDEX('01_Formulario_A02'!$D:$D,MATCH("D10-DOC-DRP-001.GOALS.OBJETIVOS",'01_Formulario_A02'!$A:$A,0))="","— (a preencher em 01_Formulario_A02)",INDEX('01_Formulario_A02'!$D:$D,MATCH("D10-DOC-DRP-001.GOALS.OBJETIVOS",'01_Formulario_A02'!$A:$A,0))),"— (a preencher em 01_Formulario_A02)")</f>
        <v/>
      </c>
    </row>
    <row r="455">
      <c r="A455" s="13" t="inlineStr">
        <is>
          <t>D10-DOC-DRP-001.GOALS.METRICAS</t>
        </is>
      </c>
      <c r="B455" s="2" t="inlineStr">
        <is>
          <t>metricas</t>
        </is>
      </c>
      <c r="C455" s="14">
        <f>IFERROR(IF(INDEX('01_Formulario_A02'!$D:$D,MATCH("D10-DOC-DRP-001.GOALS.METRICAS",'01_Formulario_A02'!$A:$A,0))="","— (a preencher em 01_Formulario_A02)",INDEX('01_Formulario_A02'!$D:$D,MATCH("D10-DOC-DRP-001.GOALS.METRICAS",'01_Formulario_A02'!$A:$A,0))),"— (a preencher em 01_Formulario_A02)")</f>
        <v/>
      </c>
    </row>
    <row r="456">
      <c r="A456" s="13" t="inlineStr">
        <is>
          <t>D10-DOC-DRP-001.SCOPE.INCLUIDO</t>
        </is>
      </c>
      <c r="B456" s="2" t="inlineStr">
        <is>
          <t>incluido</t>
        </is>
      </c>
      <c r="C456" s="14">
        <f>IFERROR(IF(INDEX('01_Formulario_A02'!$D:$D,MATCH("D10-DOC-DRP-001.SCOPE.INCLUIDO",'01_Formulario_A02'!$A:$A,0))="","— (a preencher em 01_Formulario_A02)",INDEX('01_Formulario_A02'!$D:$D,MATCH("D10-DOC-DRP-001.SCOPE.INCLUIDO",'01_Formulario_A02'!$A:$A,0))),"— (a preencher em 01_Formulario_A02)")</f>
        <v/>
      </c>
    </row>
    <row r="457">
      <c r="A457" s="13" t="inlineStr">
        <is>
          <t>D10-DOC-DRP-001.SCOPE.EXCLUIDO</t>
        </is>
      </c>
      <c r="B457" s="2" t="inlineStr">
        <is>
          <t>excluido</t>
        </is>
      </c>
      <c r="C457" s="14">
        <f>IFERROR(IF(INDEX('01_Formulario_A02'!$D:$D,MATCH("D10-DOC-DRP-001.SCOPE.EXCLUIDO",'01_Formulario_A02'!$A:$A,0))="","— (a preencher em 01_Formulario_A02)",INDEX('01_Formulario_A02'!$D:$D,MATCH("D10-DOC-DRP-001.SCOPE.EXCLUIDO",'01_Formulario_A02'!$A:$A,0))),"— (a preencher em 01_Formulario_A02)")</f>
        <v/>
      </c>
    </row>
    <row r="458">
      <c r="A458" s="13" t="inlineStr">
        <is>
          <t>D10-DOC-DRP-001.CAPABILITIES.CAPACIDADE</t>
        </is>
      </c>
      <c r="B458" s="2" t="inlineStr">
        <is>
          <t>capacidade</t>
        </is>
      </c>
      <c r="C458" s="14">
        <f>IFERROR(IF(INDEX('01_Formulario_A02'!$D:$D,MATCH("D10-DOC-DRP-001.CAPABILITIES.CAPACIDADE",'01_Formulario_A02'!$A:$A,0))="","— (a preencher em 01_Formulario_A02)",INDEX('01_Formulario_A02'!$D:$D,MATCH("D10-DOC-DRP-001.CAPABILITIES.CAPACIDADE",'01_Formulario_A02'!$A:$A,0))),"— (a preencher em 01_Formulario_A02)")</f>
        <v/>
      </c>
    </row>
    <row r="459">
      <c r="A459" s="13" t="inlineStr">
        <is>
          <t>D10-DOC-DRP-001.CAPABILITIES.BENEFICIO</t>
        </is>
      </c>
      <c r="B459" s="2" t="inlineStr">
        <is>
          <t>beneficio</t>
        </is>
      </c>
      <c r="C459" s="14">
        <f>IFERROR(IF(INDEX('01_Formulario_A02'!$D:$D,MATCH("D10-DOC-DRP-001.CAPABILITIES.BENEFICIO",'01_Formulario_A02'!$A:$A,0))="","— (a preencher em 01_Formulario_A02)",INDEX('01_Formulario_A02'!$D:$D,MATCH("D10-DOC-DRP-001.CAPABILITIES.BENEFICIO",'01_Formulario_A02'!$A:$A,0))),"— (a preencher em 01_Formulario_A02)")</f>
        <v/>
      </c>
    </row>
    <row r="460">
      <c r="A460" s="13" t="inlineStr">
        <is>
          <t>D10-DOC-DRP-001.REQUIREMENTS.FUNCIONAIS</t>
        </is>
      </c>
      <c r="B460" s="2" t="inlineStr">
        <is>
          <t>funcionais</t>
        </is>
      </c>
      <c r="C460" s="14">
        <f>IFERROR(IF(INDEX('01_Formulario_A02'!$D:$D,MATCH("D10-DOC-DRP-001.REQUIREMENTS.FUNCIONAIS",'01_Formulario_A02'!$A:$A,0))="","— (a preencher em 01_Formulario_A02)",INDEX('01_Formulario_A02'!$D:$D,MATCH("D10-DOC-DRP-001.REQUIREMENTS.FUNCIONAIS",'01_Formulario_A02'!$A:$A,0))),"— (a preencher em 01_Formulario_A02)")</f>
        <v/>
      </c>
    </row>
    <row r="461">
      <c r="A461" s="13" t="inlineStr">
        <is>
          <t>D10-DOC-DRP-001.REQUIREMENTS.NAO_FUNCIONAIS</t>
        </is>
      </c>
      <c r="B461" s="2" t="inlineStr">
        <is>
          <t>nao_funcionais</t>
        </is>
      </c>
      <c r="C461" s="14">
        <f>IFERROR(IF(INDEX('01_Formulario_A02'!$D:$D,MATCH("D10-DOC-DRP-001.REQUIREMENTS.NAO_FUNCIONAIS",'01_Formulario_A02'!$A:$A,0))="","— (a preencher em 01_Formulario_A02)",INDEX('01_Formulario_A02'!$D:$D,MATCH("D10-DOC-DRP-001.REQUIREMENTS.NAO_FUNCIONAIS",'01_Formulario_A02'!$A:$A,0))),"— (a preencher em 01_Formulario_A02)")</f>
        <v/>
      </c>
    </row>
    <row r="462">
      <c r="A462" s="13" t="inlineStr">
        <is>
          <t>D10-DOC-DRP-001.JOURNEYS.JORNADAS</t>
        </is>
      </c>
      <c r="B462" s="2" t="inlineStr">
        <is>
          <t>jornadas</t>
        </is>
      </c>
      <c r="C462" s="14">
        <f>IFERROR(IF(INDEX('01_Formulario_A02'!$D:$D,MATCH("D10-DOC-DRP-001.JOURNEYS.JORNADAS",'01_Formulario_A02'!$A:$A,0))="","— (a preencher em 01_Formulario_A02)",INDEX('01_Formulario_A02'!$D:$D,MATCH("D10-DOC-DRP-001.JOURNEYS.JORNADAS",'01_Formulario_A02'!$A:$A,0))),"— (a preencher em 01_Formulario_A02)")</f>
        <v/>
      </c>
    </row>
    <row r="463">
      <c r="A463" s="13" t="inlineStr">
        <is>
          <t>D10-DOC-DRP-001.JOURNEYS.FLUXOS</t>
        </is>
      </c>
      <c r="B463" s="2" t="inlineStr">
        <is>
          <t>fluxos</t>
        </is>
      </c>
      <c r="C463" s="14">
        <f>IFERROR(IF(INDEX('01_Formulario_A02'!$D:$D,MATCH("D10-DOC-DRP-001.JOURNEYS.FLUXOS",'01_Formulario_A02'!$A:$A,0))="","— (a preencher em 01_Formulario_A02)",INDEX('01_Formulario_A02'!$D:$D,MATCH("D10-DOC-DRP-001.JOURNEYS.FLUXOS",'01_Formulario_A02'!$A:$A,0))),"— (a preencher em 01_Formulario_A02)")</f>
        <v/>
      </c>
    </row>
    <row r="464">
      <c r="A464" s="13" t="inlineStr">
        <is>
          <t>D10-DOC-DRP-001.CONSTRAINTS.RESTRICOES</t>
        </is>
      </c>
      <c r="B464" s="2" t="inlineStr">
        <is>
          <t>restricoes</t>
        </is>
      </c>
      <c r="C464" s="14">
        <f>IFERROR(IF(INDEX('01_Formulario_A02'!$D:$D,MATCH("D10-DOC-DRP-001.CONSTRAINTS.RESTRICOES",'01_Formulario_A02'!$A:$A,0))="","— (a preencher em 01_Formulario_A02)",INDEX('01_Formulario_A02'!$D:$D,MATCH("D10-DOC-DRP-001.CONSTRAINTS.RESTRICOES",'01_Formulario_A02'!$A:$A,0))),"— (a preencher em 01_Formulario_A02)")</f>
        <v/>
      </c>
    </row>
    <row r="465">
      <c r="A465" s="13" t="inlineStr">
        <is>
          <t>D10-DOC-DRP-001.DEPENDENCIES.DEPENDENCIAS</t>
        </is>
      </c>
      <c r="B465" s="2" t="inlineStr">
        <is>
          <t>dependencias</t>
        </is>
      </c>
      <c r="C465" s="14">
        <f>IFERROR(IF(INDEX('01_Formulario_A02'!$D:$D,MATCH("D10-DOC-DRP-001.DEPENDENCIES.DEPENDENCIAS",'01_Formulario_A02'!$A:$A,0))="","— (a preencher em 01_Formulario_A02)",INDEX('01_Formulario_A02'!$D:$D,MATCH("D10-DOC-DRP-001.DEPENDENCIES.DEPENDENCIAS",'01_Formulario_A02'!$A:$A,0))),"— (a preencher em 01_Formulario_A02)")</f>
        <v/>
      </c>
    </row>
    <row r="466">
      <c r="A466" s="13" t="inlineStr">
        <is>
          <t>D10-DOC-DRP-001.ACCEPTANCE.CRITERIOS_DE_ACEITE</t>
        </is>
      </c>
      <c r="B466" s="2" t="inlineStr">
        <is>
          <t>criterios_de_aceite</t>
        </is>
      </c>
      <c r="C466" s="14">
        <f>IFERROR(IF(INDEX('01_Formulario_A02'!$D:$D,MATCH("D10-DOC-DRP-001.ACCEPTANCE.CRITERIOS_DE_ACEITE",'01_Formulario_A02'!$A:$A,0))="","— (a preencher em 01_Formulario_A02)",INDEX('01_Formulario_A02'!$D:$D,MATCH("D10-DOC-DRP-001.ACCEPTANCE.CRITERIOS_DE_ACEITE",'01_Formulario_A02'!$A:$A,0))),"— (a preencher em 01_Formulario_A02)")</f>
        <v/>
      </c>
    </row>
    <row r="467">
      <c r="A467" s="13" t="inlineStr">
        <is>
          <t>D10-DOC-DRP-001.ROADMAP.AGORA</t>
        </is>
      </c>
      <c r="B467" s="2" t="inlineStr">
        <is>
          <t>agora</t>
        </is>
      </c>
      <c r="C467" s="14">
        <f>IFERROR(IF(INDEX('01_Formulario_A02'!$D:$D,MATCH("D10-DOC-DRP-001.ROADMAP.AGORA",'01_Formulario_A02'!$A:$A,0))="","— (a preencher em 01_Formulario_A02)",INDEX('01_Formulario_A02'!$D:$D,MATCH("D10-DOC-DRP-001.ROADMAP.AGORA",'01_Formulario_A02'!$A:$A,0))),"— (a preencher em 01_Formulario_A02)")</f>
        <v/>
      </c>
    </row>
    <row r="468">
      <c r="A468" s="13" t="inlineStr">
        <is>
          <t>D10-DOC-DRP-001.ROADMAP.PROXIMO</t>
        </is>
      </c>
      <c r="B468" s="2" t="inlineStr">
        <is>
          <t>proximo</t>
        </is>
      </c>
      <c r="C468" s="14">
        <f>IFERROR(IF(INDEX('01_Formulario_A02'!$D:$D,MATCH("D10-DOC-DRP-001.ROADMAP.PROXIMO",'01_Formulario_A02'!$A:$A,0))="","— (a preencher em 01_Formulario_A02)",INDEX('01_Formulario_A02'!$D:$D,MATCH("D10-DOC-DRP-001.ROADMAP.PROXIMO",'01_Formulario_A02'!$A:$A,0))),"— (a preencher em 01_Formulario_A02)")</f>
        <v/>
      </c>
    </row>
    <row r="469">
      <c r="A469" s="13" t="inlineStr">
        <is>
          <t>D10-DOC-DRP-001.ROADMAP.DEPOIS</t>
        </is>
      </c>
      <c r="B469" s="2" t="inlineStr">
        <is>
          <t>depois</t>
        </is>
      </c>
      <c r="C469" s="14">
        <f>IFERROR(IF(INDEX('01_Formulario_A02'!$D:$D,MATCH("D10-DOC-DRP-001.ROADMAP.DEPOIS",'01_Formulario_A02'!$A:$A,0))="","— (a preencher em 01_Formulario_A02)",INDEX('01_Formulario_A02'!$D:$D,MATCH("D10-DOC-DRP-001.ROADMAP.DEPOIS",'01_Formulario_A02'!$A:$A,0))),"— (a preencher em 01_Formulario_A02)")</f>
        <v/>
      </c>
    </row>
    <row r="470">
      <c r="A470" s="13" t="inlineStr">
        <is>
          <t>D10-DOC-DRP-001.RISKS.RISCO</t>
        </is>
      </c>
      <c r="B470" s="2" t="inlineStr">
        <is>
          <t>risco</t>
        </is>
      </c>
      <c r="C470" s="14">
        <f>IFERROR(IF(INDEX('01_Formulario_A02'!$D:$D,MATCH("D10-DOC-DRP-001.RISKS.RISCO",'01_Formulario_A02'!$A:$A,0))="","— (a preencher em 01_Formulario_A02)",INDEX('01_Formulario_A02'!$D:$D,MATCH("D10-DOC-DRP-001.RISKS.RISCO",'01_Formulario_A02'!$A:$A,0))),"— (a preencher em 01_Formulario_A02)")</f>
        <v/>
      </c>
    </row>
    <row r="471">
      <c r="A471" s="13" t="inlineStr">
        <is>
          <t>D10-DOC-DRP-001.RISKS.MITIGACAO</t>
        </is>
      </c>
      <c r="B471" s="2" t="inlineStr">
        <is>
          <t>mitigacao</t>
        </is>
      </c>
      <c r="C471" s="14">
        <f>IFERROR(IF(INDEX('01_Formulario_A02'!$D:$D,MATCH("D10-DOC-DRP-001.RISKS.MITIGACAO",'01_Formulario_A02'!$A:$A,0))="","— (a preencher em 01_Formulario_A02)",INDEX('01_Formulario_A02'!$D:$D,MATCH("D10-DOC-DRP-001.RISKS.MITIGACAO",'01_Formulario_A02'!$A:$A,0))),"— (a preencher em 01_Formulario_A02)")</f>
        <v/>
      </c>
    </row>
    <row r="472">
      <c r="A472" s="13" t="inlineStr">
        <is>
          <t>D10-DOC-PRD-001.SCHEMA.PRODUCT_ID</t>
        </is>
      </c>
      <c r="B472" s="2" t="inlineStr">
        <is>
          <t>product_id</t>
        </is>
      </c>
      <c r="C472" s="14">
        <f>IFERROR(IF(INDEX('01_Formulario_A02'!$D:$D,MATCH("D10-DOC-PRD-001.SCHEMA.PRODUCT_ID",'01_Formulario_A02'!$A:$A,0))="","— (a preencher em 01_Formulario_A02)",INDEX('01_Formulario_A02'!$D:$D,MATCH("D10-DOC-PRD-001.SCHEMA.PRODUCT_ID",'01_Formulario_A02'!$A:$A,0))),"— (a preencher em 01_Formulario_A02)")</f>
        <v/>
      </c>
    </row>
    <row r="473">
      <c r="A473" s="13" t="inlineStr">
        <is>
          <t>D10-DOC-PRD-001.SCHEMA.PRODUCT_NAME</t>
        </is>
      </c>
      <c r="B473" s="2" t="inlineStr">
        <is>
          <t>product_name</t>
        </is>
      </c>
      <c r="C473" s="14">
        <f>IFERROR(IF(INDEX('01_Formulario_A02'!$D:$D,MATCH("D10-DOC-PRD-001.SCHEMA.PRODUCT_NAME",'01_Formulario_A02'!$A:$A,0))="","— (a preencher em 01_Formulario_A02)",INDEX('01_Formulario_A02'!$D:$D,MATCH("D10-DOC-PRD-001.SCHEMA.PRODUCT_NAME",'01_Formulario_A02'!$A:$A,0))),"— (a preencher em 01_Formulario_A02)")</f>
        <v/>
      </c>
    </row>
    <row r="474">
      <c r="A474" s="13" t="inlineStr">
        <is>
          <t>D10-DOC-PRD-001.SCHEMA.PROBLEM</t>
        </is>
      </c>
      <c r="B474" s="2" t="inlineStr">
        <is>
          <t>problem</t>
        </is>
      </c>
      <c r="C474" s="14">
        <f>IFERROR(IF(INDEX('01_Formulario_A02'!$D:$D,MATCH("D10-DOC-PRD-001.SCHEMA.PROBLEM",'01_Formulario_A02'!$A:$A,0))="","— (a preencher em 01_Formulario_A02)",INDEX('01_Formulario_A02'!$D:$D,MATCH("D10-DOC-PRD-001.SCHEMA.PROBLEM",'01_Formulario_A02'!$A:$A,0))),"— (a preencher em 01_Formulario_A02)")</f>
        <v/>
      </c>
    </row>
    <row r="475">
      <c r="A475" s="13" t="inlineStr">
        <is>
          <t>D10-DOC-PRD-001.SCHEMA.TARGET_USER</t>
        </is>
      </c>
      <c r="B475" s="2" t="inlineStr">
        <is>
          <t>target_user</t>
        </is>
      </c>
      <c r="C475" s="14">
        <f>IFERROR(IF(INDEX('01_Formulario_A02'!$D:$D,MATCH("D10-DOC-PRD-001.SCHEMA.TARGET_USER",'01_Formulario_A02'!$A:$A,0))="","— (a preencher em 01_Formulario_A02)",INDEX('01_Formulario_A02'!$D:$D,MATCH("D10-DOC-PRD-001.SCHEMA.TARGET_USER",'01_Formulario_A02'!$A:$A,0))),"— (a preencher em 01_Formulario_A02)")</f>
        <v/>
      </c>
    </row>
    <row r="476">
      <c r="A476" s="13" t="inlineStr">
        <is>
          <t>D10-DOC-PRD-001.SCHEMA.JTBD</t>
        </is>
      </c>
      <c r="B476" s="2" t="inlineStr">
        <is>
          <t>jtbd</t>
        </is>
      </c>
      <c r="C476" s="14">
        <f>IFERROR(IF(INDEX('01_Formulario_A02'!$D:$D,MATCH("D10-DOC-PRD-001.SCHEMA.JTBD",'01_Formulario_A02'!$A:$A,0))="","— (a preencher em 01_Formulario_A02)",INDEX('01_Formulario_A02'!$D:$D,MATCH("D10-DOC-PRD-001.SCHEMA.JTBD",'01_Formulario_A02'!$A:$A,0))),"— (a preencher em 01_Formulario_A02)")</f>
        <v/>
      </c>
    </row>
    <row r="477">
      <c r="A477" s="13" t="inlineStr">
        <is>
          <t>D10-DOC-PRD-001.SCHEMA.GOALS</t>
        </is>
      </c>
      <c r="B477" s="2" t="inlineStr">
        <is>
          <t>goals</t>
        </is>
      </c>
      <c r="C477" s="14">
        <f>IFERROR(IF(INDEX('01_Formulario_A02'!$D:$D,MATCH("D10-DOC-PRD-001.SCHEMA.GOALS",'01_Formulario_A02'!$A:$A,0))="","— (a preencher em 01_Formulario_A02)",INDEX('01_Formulario_A02'!$D:$D,MATCH("D10-DOC-PRD-001.SCHEMA.GOALS",'01_Formulario_A02'!$A:$A,0))),"— (a preencher em 01_Formulario_A02)")</f>
        <v/>
      </c>
    </row>
    <row r="478">
      <c r="A478" s="13" t="inlineStr">
        <is>
          <t>D10-DOC-PRD-001.SCHEMA.NON_GOALS</t>
        </is>
      </c>
      <c r="B478" s="2" t="inlineStr">
        <is>
          <t>non_goals</t>
        </is>
      </c>
      <c r="C478" s="14">
        <f>IFERROR(IF(INDEX('01_Formulario_A02'!$D:$D,MATCH("D10-DOC-PRD-001.SCHEMA.NON_GOALS",'01_Formulario_A02'!$A:$A,0))="","— (a preencher em 01_Formulario_A02)",INDEX('01_Formulario_A02'!$D:$D,MATCH("D10-DOC-PRD-001.SCHEMA.NON_GOALS",'01_Formulario_A02'!$A:$A,0))),"— (a preencher em 01_Formulario_A02)")</f>
        <v/>
      </c>
    </row>
    <row r="479">
      <c r="A479" s="13" t="inlineStr">
        <is>
          <t>D10-DOC-PRD-001.SCHEMA.USE_CASES</t>
        </is>
      </c>
      <c r="B479" s="2" t="inlineStr">
        <is>
          <t>use_cases</t>
        </is>
      </c>
      <c r="C479" s="14">
        <f>IFERROR(IF(INDEX('01_Formulario_A02'!$D:$D,MATCH("D10-DOC-PRD-001.SCHEMA.USE_CASES",'01_Formulario_A02'!$A:$A,0))="","— (a preencher em 01_Formulario_A02)",INDEX('01_Formulario_A02'!$D:$D,MATCH("D10-DOC-PRD-001.SCHEMA.USE_CASES",'01_Formulario_A02'!$A:$A,0))),"— (a preencher em 01_Formulario_A02)")</f>
        <v/>
      </c>
    </row>
    <row r="480">
      <c r="A480" s="13" t="inlineStr">
        <is>
          <t>D10-DOC-PRD-001.SCHEMA.USER_STORIES</t>
        </is>
      </c>
      <c r="B480" s="2" t="inlineStr">
        <is>
          <t>user_stories</t>
        </is>
      </c>
      <c r="C480" s="14">
        <f>IFERROR(IF(INDEX('01_Formulario_A02'!$D:$D,MATCH("D10-DOC-PRD-001.SCHEMA.USER_STORIES",'01_Formulario_A02'!$A:$A,0))="","— (a preencher em 01_Formulario_A02)",INDEX('01_Formulario_A02'!$D:$D,MATCH("D10-DOC-PRD-001.SCHEMA.USER_STORIES",'01_Formulario_A02'!$A:$A,0))),"— (a preencher em 01_Formulario_A02)")</f>
        <v/>
      </c>
    </row>
    <row r="481">
      <c r="A481" s="13" t="inlineStr">
        <is>
          <t>D10-DOC-PRD-001.SCHEMA.FUNCTIONAL_REQUIREMENTS</t>
        </is>
      </c>
      <c r="B481" s="2" t="inlineStr">
        <is>
          <t>functional_requirements</t>
        </is>
      </c>
      <c r="C481" s="14">
        <f>IFERROR(IF(INDEX('01_Formulario_A02'!$D:$D,MATCH("D10-DOC-PRD-001.SCHEMA.FUNCTIONAL_REQUIREMENTS",'01_Formulario_A02'!$A:$A,0))="","— (a preencher em 01_Formulario_A02)",INDEX('01_Formulario_A02'!$D:$D,MATCH("D10-DOC-PRD-001.SCHEMA.FUNCTIONAL_REQUIREMENTS",'01_Formulario_A02'!$A:$A,0))),"— (a preencher em 01_Formulario_A02)")</f>
        <v/>
      </c>
    </row>
    <row r="482">
      <c r="A482" s="13" t="inlineStr">
        <is>
          <t>D10-DOC-PRD-001.SCHEMA.NON_FUNCTIONAL_REQUIREMENTS</t>
        </is>
      </c>
      <c r="B482" s="2" t="inlineStr">
        <is>
          <t>non_functional_requirements</t>
        </is>
      </c>
      <c r="C482" s="14">
        <f>IFERROR(IF(INDEX('01_Formulario_A02'!$D:$D,MATCH("D10-DOC-PRD-001.SCHEMA.NON_FUNCTIONAL_REQUIREMENTS",'01_Formulario_A02'!$A:$A,0))="","— (a preencher em 01_Formulario_A02)",INDEX('01_Formulario_A02'!$D:$D,MATCH("D10-DOC-PRD-001.SCHEMA.NON_FUNCTIONAL_REQUIREMENTS",'01_Formulario_A02'!$A:$A,0))),"— (a preencher em 01_Formulario_A02)")</f>
        <v/>
      </c>
    </row>
    <row r="483">
      <c r="A483" s="13" t="inlineStr">
        <is>
          <t>D10-DOC-PRD-001.SCHEMA.USER_FLOWS</t>
        </is>
      </c>
      <c r="B483" s="2" t="inlineStr">
        <is>
          <t>user_flows</t>
        </is>
      </c>
      <c r="C483" s="14">
        <f>IFERROR(IF(INDEX('01_Formulario_A02'!$D:$D,MATCH("D10-DOC-PRD-001.SCHEMA.USER_FLOWS",'01_Formulario_A02'!$A:$A,0))="","— (a preencher em 01_Formulario_A02)",INDEX('01_Formulario_A02'!$D:$D,MATCH("D10-DOC-PRD-001.SCHEMA.USER_FLOWS",'01_Formulario_A02'!$A:$A,0))),"— (a preencher em 01_Formulario_A02)")</f>
        <v/>
      </c>
    </row>
    <row r="484">
      <c r="A484" s="13" t="inlineStr">
        <is>
          <t>D10-DOC-PRD-001.SCHEMA.STATES</t>
        </is>
      </c>
      <c r="B484" s="2" t="inlineStr">
        <is>
          <t>states</t>
        </is>
      </c>
      <c r="C484" s="14">
        <f>IFERROR(IF(INDEX('01_Formulario_A02'!$D:$D,MATCH("D10-DOC-PRD-001.SCHEMA.STATES",'01_Formulario_A02'!$A:$A,0))="","— (a preencher em 01_Formulario_A02)",INDEX('01_Formulario_A02'!$D:$D,MATCH("D10-DOC-PRD-001.SCHEMA.STATES",'01_Formulario_A02'!$A:$A,0))),"— (a preencher em 01_Formulario_A02)")</f>
        <v/>
      </c>
    </row>
    <row r="485">
      <c r="A485" s="13" t="inlineStr">
        <is>
          <t>D10-DOC-PRD-001.SCHEMA.EDGE_CASES</t>
        </is>
      </c>
      <c r="B485" s="2" t="inlineStr">
        <is>
          <t>edge_cases</t>
        </is>
      </c>
      <c r="C485" s="14">
        <f>IFERROR(IF(INDEX('01_Formulario_A02'!$D:$D,MATCH("D10-DOC-PRD-001.SCHEMA.EDGE_CASES",'01_Formulario_A02'!$A:$A,0))="","— (a preencher em 01_Formulario_A02)",INDEX('01_Formulario_A02'!$D:$D,MATCH("D10-DOC-PRD-001.SCHEMA.EDGE_CASES",'01_Formulario_A02'!$A:$A,0))),"— (a preencher em 01_Formulario_A02)")</f>
        <v/>
      </c>
    </row>
    <row r="486">
      <c r="A486" s="13" t="inlineStr">
        <is>
          <t>D10-DOC-PRD-001.SCHEMA.INTEGRATIONS</t>
        </is>
      </c>
      <c r="B486" s="2" t="inlineStr">
        <is>
          <t>integrations</t>
        </is>
      </c>
      <c r="C486" s="14">
        <f>IFERROR(IF(INDEX('01_Formulario_A02'!$D:$D,MATCH("D10-DOC-PRD-001.SCHEMA.INTEGRATIONS",'01_Formulario_A02'!$A:$A,0))="","— (a preencher em 01_Formulario_A02)",INDEX('01_Formulario_A02'!$D:$D,MATCH("D10-DOC-PRD-001.SCHEMA.INTEGRATIONS",'01_Formulario_A02'!$A:$A,0))),"— (a preencher em 01_Formulario_A02)")</f>
        <v/>
      </c>
    </row>
    <row r="487">
      <c r="A487" s="13" t="inlineStr">
        <is>
          <t>D10-DOC-PRD-001.SCHEMA.DATA_REQUIREMENTS</t>
        </is>
      </c>
      <c r="B487" s="2" t="inlineStr">
        <is>
          <t>data_requirements</t>
        </is>
      </c>
      <c r="C487" s="14">
        <f>IFERROR(IF(INDEX('01_Formulario_A02'!$D:$D,MATCH("D10-DOC-PRD-001.SCHEMA.DATA_REQUIREMENTS",'01_Formulario_A02'!$A:$A,0))="","— (a preencher em 01_Formulario_A02)",INDEX('01_Formulario_A02'!$D:$D,MATCH("D10-DOC-PRD-001.SCHEMA.DATA_REQUIREMENTS",'01_Formulario_A02'!$A:$A,0))),"— (a preencher em 01_Formulario_A02)")</f>
        <v/>
      </c>
    </row>
    <row r="488">
      <c r="A488" s="13" t="inlineStr">
        <is>
          <t>D10-DOC-PRD-001.SCHEMA.ANALYTICS</t>
        </is>
      </c>
      <c r="B488" s="2" t="inlineStr">
        <is>
          <t>analytics</t>
        </is>
      </c>
      <c r="C488" s="14">
        <f>IFERROR(IF(INDEX('01_Formulario_A02'!$D:$D,MATCH("D10-DOC-PRD-001.SCHEMA.ANALYTICS",'01_Formulario_A02'!$A:$A,0))="","— (a preencher em 01_Formulario_A02)",INDEX('01_Formulario_A02'!$D:$D,MATCH("D10-DOC-PRD-001.SCHEMA.ANALYTICS",'01_Formulario_A02'!$A:$A,0))),"— (a preencher em 01_Formulario_A02)")</f>
        <v/>
      </c>
    </row>
    <row r="489">
      <c r="A489" s="13" t="inlineStr">
        <is>
          <t>D10-DOC-PRD-001.SCHEMA.SECURITY</t>
        </is>
      </c>
      <c r="B489" s="2" t="inlineStr">
        <is>
          <t>security</t>
        </is>
      </c>
      <c r="C489" s="14">
        <f>IFERROR(IF(INDEX('01_Formulario_A02'!$D:$D,MATCH("D10-DOC-PRD-001.SCHEMA.SECURITY",'01_Formulario_A02'!$A:$A,0))="","— (a preencher em 01_Formulario_A02)",INDEX('01_Formulario_A02'!$D:$D,MATCH("D10-DOC-PRD-001.SCHEMA.SECURITY",'01_Formulario_A02'!$A:$A,0))),"— (a preencher em 01_Formulario_A02)")</f>
        <v/>
      </c>
    </row>
    <row r="490">
      <c r="A490" s="13" t="inlineStr">
        <is>
          <t>D10-DOC-PRD-001.SCHEMA.PRIVACY</t>
        </is>
      </c>
      <c r="B490" s="2" t="inlineStr">
        <is>
          <t>privacy</t>
        </is>
      </c>
      <c r="C490" s="14">
        <f>IFERROR(IF(INDEX('01_Formulario_A02'!$D:$D,MATCH("D10-DOC-PRD-001.SCHEMA.PRIVACY",'01_Formulario_A02'!$A:$A,0))="","— (a preencher em 01_Formulario_A02)",INDEX('01_Formulario_A02'!$D:$D,MATCH("D10-DOC-PRD-001.SCHEMA.PRIVACY",'01_Formulario_A02'!$A:$A,0))),"— (a preencher em 01_Formulario_A02)")</f>
        <v/>
      </c>
    </row>
    <row r="491">
      <c r="A491" s="13" t="inlineStr">
        <is>
          <t>D10-DOC-PRD-001.SCHEMA.ACCESSIBILITY</t>
        </is>
      </c>
      <c r="B491" s="2" t="inlineStr">
        <is>
          <t>accessibility</t>
        </is>
      </c>
      <c r="C491" s="14">
        <f>IFERROR(IF(INDEX('01_Formulario_A02'!$D:$D,MATCH("D10-DOC-PRD-001.SCHEMA.ACCESSIBILITY",'01_Formulario_A02'!$A:$A,0))="","— (a preencher em 01_Formulario_A02)",INDEX('01_Formulario_A02'!$D:$D,MATCH("D10-DOC-PRD-001.SCHEMA.ACCESSIBILITY",'01_Formulario_A02'!$A:$A,0))),"— (a preencher em 01_Formulario_A02)")</f>
        <v/>
      </c>
    </row>
    <row r="492">
      <c r="A492" s="13" t="inlineStr">
        <is>
          <t>D10-DOC-PRD-001.SCHEMA.ACCEPTANCE_CRITERIA</t>
        </is>
      </c>
      <c r="B492" s="2" t="inlineStr">
        <is>
          <t>acceptance_criteria</t>
        </is>
      </c>
      <c r="C492" s="14">
        <f>IFERROR(IF(INDEX('01_Formulario_A02'!$D:$D,MATCH("D10-DOC-PRD-001.SCHEMA.ACCEPTANCE_CRITERIA",'01_Formulario_A02'!$A:$A,0))="","— (a preencher em 01_Formulario_A02)",INDEX('01_Formulario_A02'!$D:$D,MATCH("D10-DOC-PRD-001.SCHEMA.ACCEPTANCE_CRITERIA",'01_Formulario_A02'!$A:$A,0))),"— (a preencher em 01_Formulario_A02)")</f>
        <v/>
      </c>
    </row>
    <row r="493">
      <c r="A493" s="13" t="inlineStr">
        <is>
          <t>D10-DOC-PRD-001.SCHEMA.DEPENDENCIES</t>
        </is>
      </c>
      <c r="B493" s="2" t="inlineStr">
        <is>
          <t>dependencies</t>
        </is>
      </c>
      <c r="C493" s="14">
        <f>IFERROR(IF(INDEX('01_Formulario_A02'!$D:$D,MATCH("D10-DOC-PRD-001.SCHEMA.DEPENDENCIES",'01_Formulario_A02'!$A:$A,0))="","— (a preencher em 01_Formulario_A02)",INDEX('01_Formulario_A02'!$D:$D,MATCH("D10-DOC-PRD-001.SCHEMA.DEPENDENCIES",'01_Formulario_A02'!$A:$A,0))),"— (a preencher em 01_Formulario_A02)")</f>
        <v/>
      </c>
    </row>
    <row r="494">
      <c r="A494" s="13" t="inlineStr">
        <is>
          <t>D10-DOC-PRD-001.SCHEMA.RELEASE_CRITERIA</t>
        </is>
      </c>
      <c r="B494" s="2" t="inlineStr">
        <is>
          <t>release_criteria</t>
        </is>
      </c>
      <c r="C494" s="14">
        <f>IFERROR(IF(INDEX('01_Formulario_A02'!$D:$D,MATCH("D10-DOC-PRD-001.SCHEMA.RELEASE_CRITERIA",'01_Formulario_A02'!$A:$A,0))="","— (a preencher em 01_Formulario_A02)",INDEX('01_Formulario_A02'!$D:$D,MATCH("D10-DOC-PRD-001.SCHEMA.RELEASE_CRITERIA",'01_Formulario_A02'!$A:$A,0))),"— (a preencher em 01_Formulario_A02)")</f>
        <v/>
      </c>
    </row>
    <row r="495">
      <c r="A495" s="13" t="inlineStr">
        <is>
          <t>D11-DOC-EEP-001.USER_RESEARCH.EVIDENCIAS</t>
        </is>
      </c>
      <c r="B495" s="2" t="inlineStr">
        <is>
          <t>evidencias</t>
        </is>
      </c>
      <c r="C495" s="14">
        <f>IFERROR(IF(INDEX('01_Formulario_A02'!$D:$D,MATCH("D11-DOC-EEP-001.USER_RESEARCH.EVIDENCIAS",'01_Formulario_A02'!$A:$A,0))="","— (a preencher em 01_Formulario_A02)",INDEX('01_Formulario_A02'!$D:$D,MATCH("D11-DOC-EEP-001.USER_RESEARCH.EVIDENCIAS",'01_Formulario_A02'!$A:$A,0))),"— (a preencher em 01_Formulario_A02)")</f>
        <v/>
      </c>
    </row>
    <row r="496">
      <c r="A496" s="13" t="inlineStr">
        <is>
          <t>D11-DOC-EEP-001.USER_RESEARCH.NECESSIDADES</t>
        </is>
      </c>
      <c r="B496" s="2" t="inlineStr">
        <is>
          <t>necessidades</t>
        </is>
      </c>
      <c r="C496" s="14">
        <f>IFERROR(IF(INDEX('01_Formulario_A02'!$D:$D,MATCH("D11-DOC-EEP-001.USER_RESEARCH.NECESSIDADES",'01_Formulario_A02'!$A:$A,0))="","— (a preencher em 01_Formulario_A02)",INDEX('01_Formulario_A02'!$D:$D,MATCH("D11-DOC-EEP-001.USER_RESEARCH.NECESSIDADES",'01_Formulario_A02'!$A:$A,0))),"— (a preencher em 01_Formulario_A02)")</f>
        <v/>
      </c>
    </row>
    <row r="497">
      <c r="A497" s="13" t="inlineStr">
        <is>
          <t>D11-DOC-EEP-001.PERSONAS.PERFIL</t>
        </is>
      </c>
      <c r="B497" s="2" t="inlineStr">
        <is>
          <t>perfil</t>
        </is>
      </c>
      <c r="C497" s="14">
        <f>IFERROR(IF(INDEX('01_Formulario_A02'!$D:$D,MATCH("D11-DOC-EEP-001.PERSONAS.PERFIL",'01_Formulario_A02'!$A:$A,0))="","— (a preencher em 01_Formulario_A02)",INDEX('01_Formulario_A02'!$D:$D,MATCH("D11-DOC-EEP-001.PERSONAS.PERFIL",'01_Formulario_A02'!$A:$A,0))),"— (a preencher em 01_Formulario_A02)")</f>
        <v/>
      </c>
    </row>
    <row r="498">
      <c r="A498" s="13" t="inlineStr">
        <is>
          <t>D11-DOC-EEP-001.PERSONAS.CONTEXTO</t>
        </is>
      </c>
      <c r="B498" s="2" t="inlineStr">
        <is>
          <t>contexto</t>
        </is>
      </c>
      <c r="C498" s="14">
        <f>IFERROR(IF(INDEX('01_Formulario_A02'!$D:$D,MATCH("D11-DOC-EEP-001.PERSONAS.CONTEXTO",'01_Formulario_A02'!$A:$A,0))="","— (a preencher em 01_Formulario_A02)",INDEX('01_Formulario_A02'!$D:$D,MATCH("D11-DOC-EEP-001.PERSONAS.CONTEXTO",'01_Formulario_A02'!$A:$A,0))),"— (a preencher em 01_Formulario_A02)")</f>
        <v/>
      </c>
    </row>
    <row r="499">
      <c r="A499" s="13" t="inlineStr">
        <is>
          <t>D11-DOC-EEP-001.JOURNEYS.ETAPA</t>
        </is>
      </c>
      <c r="B499" s="2" t="inlineStr">
        <is>
          <t>etapa</t>
        </is>
      </c>
      <c r="C499" s="14">
        <f>IFERROR(IF(INDEX('01_Formulario_A02'!$D:$D,MATCH("D11-DOC-EEP-001.JOURNEYS.ETAPA",'01_Formulario_A02'!$A:$A,0))="","— (a preencher em 01_Formulario_A02)",INDEX('01_Formulario_A02'!$D:$D,MATCH("D11-DOC-EEP-001.JOURNEYS.ETAPA",'01_Formulario_A02'!$A:$A,0))),"— (a preencher em 01_Formulario_A02)")</f>
        <v/>
      </c>
    </row>
    <row r="500">
      <c r="A500" s="13" t="inlineStr">
        <is>
          <t>D11-DOC-EEP-001.JOURNEYS.ACAO</t>
        </is>
      </c>
      <c r="B500" s="2" t="inlineStr">
        <is>
          <t>acao</t>
        </is>
      </c>
      <c r="C500" s="14">
        <f>IFERROR(IF(INDEX('01_Formulario_A02'!$D:$D,MATCH("D11-DOC-EEP-001.JOURNEYS.ACAO",'01_Formulario_A02'!$A:$A,0))="","— (a preencher em 01_Formulario_A02)",INDEX('01_Formulario_A02'!$D:$D,MATCH("D11-DOC-EEP-001.JOURNEYS.ACAO",'01_Formulario_A02'!$A:$A,0))),"— (a preencher em 01_Formulario_A02)")</f>
        <v/>
      </c>
    </row>
    <row r="501">
      <c r="A501" s="13" t="inlineStr">
        <is>
          <t>D11-DOC-EEP-001.JOURNEYS.FRICCAO</t>
        </is>
      </c>
      <c r="B501" s="2" t="inlineStr">
        <is>
          <t>friccao</t>
        </is>
      </c>
      <c r="C501" s="14">
        <f>IFERROR(IF(INDEX('01_Formulario_A02'!$D:$D,MATCH("D11-DOC-EEP-001.JOURNEYS.FRICCAO",'01_Formulario_A02'!$A:$A,0))="","— (a preencher em 01_Formulario_A02)",INDEX('01_Formulario_A02'!$D:$D,MATCH("D11-DOC-EEP-001.JOURNEYS.FRICCAO",'01_Formulario_A02'!$A:$A,0))),"— (a preencher em 01_Formulario_A02)")</f>
        <v/>
      </c>
    </row>
    <row r="502">
      <c r="A502" s="13" t="inlineStr">
        <is>
          <t>D11-DOC-EEP-001.INFORMATION_ARCHITECTURE.NAVEGACAO</t>
        </is>
      </c>
      <c r="B502" s="2" t="inlineStr">
        <is>
          <t>navegacao</t>
        </is>
      </c>
      <c r="C502" s="14">
        <f>IFERROR(IF(INDEX('01_Formulario_A02'!$D:$D,MATCH("D11-DOC-EEP-001.INFORMATION_ARCHITECTURE.NAVEGACAO",'01_Formulario_A02'!$A:$A,0))="","— (a preencher em 01_Formulario_A02)",INDEX('01_Formulario_A02'!$D:$D,MATCH("D11-DOC-EEP-001.INFORMATION_ARCHITECTURE.NAVEGACAO",'01_Formulario_A02'!$A:$A,0))),"— (a preencher em 01_Formulario_A02)")</f>
        <v/>
      </c>
    </row>
    <row r="503">
      <c r="A503" s="13" t="inlineStr">
        <is>
          <t>D11-DOC-EEP-001.INFORMATION_ARCHITECTURE.HIERARQUIA</t>
        </is>
      </c>
      <c r="B503" s="2" t="inlineStr">
        <is>
          <t>hierarquia</t>
        </is>
      </c>
      <c r="C503" s="14">
        <f>IFERROR(IF(INDEX('01_Formulario_A02'!$D:$D,MATCH("D11-DOC-EEP-001.INFORMATION_ARCHITECTURE.HIERARQUIA",'01_Formulario_A02'!$A:$A,0))="","— (a preencher em 01_Formulario_A02)",INDEX('01_Formulario_A02'!$D:$D,MATCH("D11-DOC-EEP-001.INFORMATION_ARCHITECTURE.HIERARQUIA",'01_Formulario_A02'!$A:$A,0))),"— (a preencher em 01_Formulario_A02)")</f>
        <v/>
      </c>
    </row>
    <row r="504">
      <c r="A504" s="13" t="inlineStr">
        <is>
          <t>D11-DOC-EEP-001.FLOWS.ENTRADA</t>
        </is>
      </c>
      <c r="B504" s="2" t="inlineStr">
        <is>
          <t>entrada</t>
        </is>
      </c>
      <c r="C504" s="14">
        <f>IFERROR(IF(INDEX('01_Formulario_A02'!$D:$D,MATCH("D11-DOC-EEP-001.FLOWS.ENTRADA",'01_Formulario_A02'!$A:$A,0))="","— (a preencher em 01_Formulario_A02)",INDEX('01_Formulario_A02'!$D:$D,MATCH("D11-DOC-EEP-001.FLOWS.ENTRADA",'01_Formulario_A02'!$A:$A,0))),"— (a preencher em 01_Formulario_A02)")</f>
        <v/>
      </c>
    </row>
    <row r="505">
      <c r="A505" s="13" t="inlineStr">
        <is>
          <t>D11-DOC-EEP-001.FLOWS.DECISAO</t>
        </is>
      </c>
      <c r="B505" s="2" t="inlineStr">
        <is>
          <t>decisao</t>
        </is>
      </c>
      <c r="C505" s="14">
        <f>IFERROR(IF(INDEX('01_Formulario_A02'!$D:$D,MATCH("D11-DOC-EEP-001.FLOWS.DECISAO",'01_Formulario_A02'!$A:$A,0))="","— (a preencher em 01_Formulario_A02)",INDEX('01_Formulario_A02'!$D:$D,MATCH("D11-DOC-EEP-001.FLOWS.DECISAO",'01_Formulario_A02'!$A:$A,0))),"— (a preencher em 01_Formulario_A02)")</f>
        <v/>
      </c>
    </row>
    <row r="506">
      <c r="A506" s="13" t="inlineStr">
        <is>
          <t>D11-DOC-EEP-001.FLOWS.SAIDA</t>
        </is>
      </c>
      <c r="B506" s="2" t="inlineStr">
        <is>
          <t>saida</t>
        </is>
      </c>
      <c r="C506" s="14">
        <f>IFERROR(IF(INDEX('01_Formulario_A02'!$D:$D,MATCH("D11-DOC-EEP-001.FLOWS.SAIDA",'01_Formulario_A02'!$A:$A,0))="","— (a preencher em 01_Formulario_A02)",INDEX('01_Formulario_A02'!$D:$D,MATCH("D11-DOC-EEP-001.FLOWS.SAIDA",'01_Formulario_A02'!$A:$A,0))),"— (a preencher em 01_Formulario_A02)")</f>
        <v/>
      </c>
    </row>
    <row r="507">
      <c r="A507" s="13" t="inlineStr">
        <is>
          <t>D11-DOC-EEP-001.INTERACTION.COMPORTAMENTO</t>
        </is>
      </c>
      <c r="B507" s="2" t="inlineStr">
        <is>
          <t>comportamento</t>
        </is>
      </c>
      <c r="C507" s="14">
        <f>IFERROR(IF(INDEX('01_Formulario_A02'!$D:$D,MATCH("D11-DOC-EEP-001.INTERACTION.COMPORTAMENTO",'01_Formulario_A02'!$A:$A,0))="","— (a preencher em 01_Formulario_A02)",INDEX('01_Formulario_A02'!$D:$D,MATCH("D11-DOC-EEP-001.INTERACTION.COMPORTAMENTO",'01_Formulario_A02'!$A:$A,0))),"— (a preencher em 01_Formulario_A02)")</f>
        <v/>
      </c>
    </row>
    <row r="508">
      <c r="A508" s="13" t="inlineStr">
        <is>
          <t>D11-DOC-EEP-001.INTERACTION.FEEDBACK</t>
        </is>
      </c>
      <c r="B508" s="2" t="inlineStr">
        <is>
          <t>feedback</t>
        </is>
      </c>
      <c r="C508" s="14">
        <f>IFERROR(IF(INDEX('01_Formulario_A02'!$D:$D,MATCH("D11-DOC-EEP-001.INTERACTION.FEEDBACK",'01_Formulario_A02'!$A:$A,0))="","— (a preencher em 01_Formulario_A02)",INDEX('01_Formulario_A02'!$D:$D,MATCH("D11-DOC-EEP-001.INTERACTION.FEEDBACK",'01_Formulario_A02'!$A:$A,0))),"— (a preencher em 01_Formulario_A02)")</f>
        <v/>
      </c>
    </row>
    <row r="509">
      <c r="A509" s="13" t="inlineStr">
        <is>
          <t>D11-DOC-EEP-001.STATES.LOADING</t>
        </is>
      </c>
      <c r="B509" s="2" t="inlineStr">
        <is>
          <t>loading</t>
        </is>
      </c>
      <c r="C509" s="14">
        <f>IFERROR(IF(INDEX('01_Formulario_A02'!$D:$D,MATCH("D11-DOC-EEP-001.STATES.LOADING",'01_Formulario_A02'!$A:$A,0))="","— (a preencher em 01_Formulario_A02)",INDEX('01_Formulario_A02'!$D:$D,MATCH("D11-DOC-EEP-001.STATES.LOADING",'01_Formulario_A02'!$A:$A,0))),"— (a preencher em 01_Formulario_A02)")</f>
        <v/>
      </c>
    </row>
    <row r="510">
      <c r="A510" s="13" t="inlineStr">
        <is>
          <t>D11-DOC-EEP-001.STATES.VAZIO</t>
        </is>
      </c>
      <c r="B510" s="2" t="inlineStr">
        <is>
          <t>vazio</t>
        </is>
      </c>
      <c r="C510" s="14">
        <f>IFERROR(IF(INDEX('01_Formulario_A02'!$D:$D,MATCH("D11-DOC-EEP-001.STATES.VAZIO",'01_Formulario_A02'!$A:$A,0))="","— (a preencher em 01_Formulario_A02)",INDEX('01_Formulario_A02'!$D:$D,MATCH("D11-DOC-EEP-001.STATES.VAZIO",'01_Formulario_A02'!$A:$A,0))),"— (a preencher em 01_Formulario_A02)")</f>
        <v/>
      </c>
    </row>
    <row r="511">
      <c r="A511" s="13" t="inlineStr">
        <is>
          <t>D11-DOC-EEP-001.STATES.ERRO</t>
        </is>
      </c>
      <c r="B511" s="2" t="inlineStr">
        <is>
          <t>erro</t>
        </is>
      </c>
      <c r="C511" s="14">
        <f>IFERROR(IF(INDEX('01_Formulario_A02'!$D:$D,MATCH("D11-DOC-EEP-001.STATES.ERRO",'01_Formulario_A02'!$A:$A,0))="","— (a preencher em 01_Formulario_A02)",INDEX('01_Formulario_A02'!$D:$D,MATCH("D11-DOC-EEP-001.STATES.ERRO",'01_Formulario_A02'!$A:$A,0))),"— (a preencher em 01_Formulario_A02)")</f>
        <v/>
      </c>
    </row>
    <row r="512">
      <c r="A512" s="13" t="inlineStr">
        <is>
          <t>D11-DOC-EEP-001.STATES.SUCESSO</t>
        </is>
      </c>
      <c r="B512" s="2" t="inlineStr">
        <is>
          <t>sucesso</t>
        </is>
      </c>
      <c r="C512" s="14">
        <f>IFERROR(IF(INDEX('01_Formulario_A02'!$D:$D,MATCH("D11-DOC-EEP-001.STATES.SUCESSO",'01_Formulario_A02'!$A:$A,0))="","— (a preencher em 01_Formulario_A02)",INDEX('01_Formulario_A02'!$D:$D,MATCH("D11-DOC-EEP-001.STATES.SUCESSO",'01_Formulario_A02'!$A:$A,0))),"— (a preencher em 01_Formulario_A02)")</f>
        <v/>
      </c>
    </row>
    <row r="513">
      <c r="A513" s="13" t="inlineStr">
        <is>
          <t>D11-DOC-EEP-001.CONTENT.MICROCOPY</t>
        </is>
      </c>
      <c r="B513" s="2" t="inlineStr">
        <is>
          <t>microcopy</t>
        </is>
      </c>
      <c r="C513" s="14">
        <f>IFERROR(IF(INDEX('01_Formulario_A02'!$D:$D,MATCH("D11-DOC-EEP-001.CONTENT.MICROCOPY",'01_Formulario_A02'!$A:$A,0))="","— (a preencher em 01_Formulario_A02)",INDEX('01_Formulario_A02'!$D:$D,MATCH("D11-DOC-EEP-001.CONTENT.MICROCOPY",'01_Formulario_A02'!$A:$A,0))),"— (a preencher em 01_Formulario_A02)")</f>
        <v/>
      </c>
    </row>
    <row r="514">
      <c r="A514" s="13" t="inlineStr">
        <is>
          <t>D11-DOC-EEP-001.CONTENT.ORIENTACAO</t>
        </is>
      </c>
      <c r="B514" s="2" t="inlineStr">
        <is>
          <t>orientacao</t>
        </is>
      </c>
      <c r="C514" s="14">
        <f>IFERROR(IF(INDEX('01_Formulario_A02'!$D:$D,MATCH("D11-DOC-EEP-001.CONTENT.ORIENTACAO",'01_Formulario_A02'!$A:$A,0))="","— (a preencher em 01_Formulario_A02)",INDEX('01_Formulario_A02'!$D:$D,MATCH("D11-DOC-EEP-001.CONTENT.ORIENTACAO",'01_Formulario_A02'!$A:$A,0))),"— (a preencher em 01_Formulario_A02)")</f>
        <v/>
      </c>
    </row>
    <row r="515">
      <c r="A515" s="13" t="inlineStr">
        <is>
          <t>D11-DOC-EEP-001.RESPONSIVE.MOBILE</t>
        </is>
      </c>
      <c r="B515" s="2" t="inlineStr">
        <is>
          <t>mobile</t>
        </is>
      </c>
      <c r="C515" s="14">
        <f>IFERROR(IF(INDEX('01_Formulario_A02'!$D:$D,MATCH("D11-DOC-EEP-001.RESPONSIVE.MOBILE",'01_Formulario_A02'!$A:$A,0))="","— (a preencher em 01_Formulario_A02)",INDEX('01_Formulario_A02'!$D:$D,MATCH("D11-DOC-EEP-001.RESPONSIVE.MOBILE",'01_Formulario_A02'!$A:$A,0))),"— (a preencher em 01_Formulario_A02)")</f>
        <v/>
      </c>
    </row>
    <row r="516">
      <c r="A516" s="13" t="inlineStr">
        <is>
          <t>D11-DOC-EEP-001.RESPONSIVE.TABLET</t>
        </is>
      </c>
      <c r="B516" s="2" t="inlineStr">
        <is>
          <t>tablet</t>
        </is>
      </c>
      <c r="C516" s="14">
        <f>IFERROR(IF(INDEX('01_Formulario_A02'!$D:$D,MATCH("D11-DOC-EEP-001.RESPONSIVE.TABLET",'01_Formulario_A02'!$A:$A,0))="","— (a preencher em 01_Formulario_A02)",INDEX('01_Formulario_A02'!$D:$D,MATCH("D11-DOC-EEP-001.RESPONSIVE.TABLET",'01_Formulario_A02'!$A:$A,0))),"— (a preencher em 01_Formulario_A02)")</f>
        <v/>
      </c>
    </row>
    <row r="517">
      <c r="A517" s="13" t="inlineStr">
        <is>
          <t>D11-DOC-EEP-001.RESPONSIVE.DESKTOP</t>
        </is>
      </c>
      <c r="B517" s="2" t="inlineStr">
        <is>
          <t>desktop</t>
        </is>
      </c>
      <c r="C517" s="14">
        <f>IFERROR(IF(INDEX('01_Formulario_A02'!$D:$D,MATCH("D11-DOC-EEP-001.RESPONSIVE.DESKTOP",'01_Formulario_A02'!$A:$A,0))="","— (a preencher em 01_Formulario_A02)",INDEX('01_Formulario_A02'!$D:$D,MATCH("D11-DOC-EEP-001.RESPONSIVE.DESKTOP",'01_Formulario_A02'!$A:$A,0))),"— (a preencher em 01_Formulario_A02)")</f>
        <v/>
      </c>
    </row>
    <row r="518">
      <c r="A518" s="13" t="inlineStr">
        <is>
          <t>D11-DOC-EEP-001.ACCESSIBILITY.TECLADO</t>
        </is>
      </c>
      <c r="B518" s="2" t="inlineStr">
        <is>
          <t>teclado</t>
        </is>
      </c>
      <c r="C518" s="14">
        <f>IFERROR(IF(INDEX('01_Formulario_A02'!$D:$D,MATCH("D11-DOC-EEP-001.ACCESSIBILITY.TECLADO",'01_Formulario_A02'!$A:$A,0))="","— (a preencher em 01_Formulario_A02)",INDEX('01_Formulario_A02'!$D:$D,MATCH("D11-DOC-EEP-001.ACCESSIBILITY.TECLADO",'01_Formulario_A02'!$A:$A,0))),"— (a preencher em 01_Formulario_A02)")</f>
        <v/>
      </c>
    </row>
    <row r="519">
      <c r="A519" s="13" t="inlineStr">
        <is>
          <t>D11-DOC-EEP-001.ACCESSIBILITY.CONTRASTE</t>
        </is>
      </c>
      <c r="B519" s="2" t="inlineStr">
        <is>
          <t>contraste</t>
        </is>
      </c>
      <c r="C519" s="14">
        <f>IFERROR(IF(INDEX('01_Formulario_A02'!$D:$D,MATCH("D11-DOC-EEP-001.ACCESSIBILITY.CONTRASTE",'01_Formulario_A02'!$A:$A,0))="","— (a preencher em 01_Formulario_A02)",INDEX('01_Formulario_A02'!$D:$D,MATCH("D11-DOC-EEP-001.ACCESSIBILITY.CONTRASTE",'01_Formulario_A02'!$A:$A,0))),"— (a preencher em 01_Formulario_A02)")</f>
        <v/>
      </c>
    </row>
    <row r="520">
      <c r="A520" s="13" t="inlineStr">
        <is>
          <t>D11-DOC-EEP-001.ACCESSIBILITY.SEMANTICA</t>
        </is>
      </c>
      <c r="B520" s="2" t="inlineStr">
        <is>
          <t>semantica</t>
        </is>
      </c>
      <c r="C520" s="14">
        <f>IFERROR(IF(INDEX('01_Formulario_A02'!$D:$D,MATCH("D11-DOC-EEP-001.ACCESSIBILITY.SEMANTICA",'01_Formulario_A02'!$A:$A,0))="","— (a preencher em 01_Formulario_A02)",INDEX('01_Formulario_A02'!$D:$D,MATCH("D11-DOC-EEP-001.ACCESSIBILITY.SEMANTICA",'01_Formulario_A02'!$A:$A,0))),"— (a preencher em 01_Formulario_A02)")</f>
        <v/>
      </c>
    </row>
    <row r="521">
      <c r="A521" s="13" t="inlineStr">
        <is>
          <t>D11-DOC-EEP-001.ACCESSIBILITY.MOVIMENTO</t>
        </is>
      </c>
      <c r="B521" s="2" t="inlineStr">
        <is>
          <t>movimento</t>
        </is>
      </c>
      <c r="C521" s="14">
        <f>IFERROR(IF(INDEX('01_Formulario_A02'!$D:$D,MATCH("D11-DOC-EEP-001.ACCESSIBILITY.MOVIMENTO",'01_Formulario_A02'!$A:$A,0))="","— (a preencher em 01_Formulario_A02)",INDEX('01_Formulario_A02'!$D:$D,MATCH("D11-DOC-EEP-001.ACCESSIBILITY.MOVIMENTO",'01_Formulario_A02'!$A:$A,0))),"— (a preencher em 01_Formulario_A02)")</f>
        <v/>
      </c>
    </row>
    <row r="522">
      <c r="A522" s="13" t="inlineStr">
        <is>
          <t>D11-DOC-EEP-001.PROTOTYPE.ARTEFATO</t>
        </is>
      </c>
      <c r="B522" s="2" t="inlineStr">
        <is>
          <t>artefato</t>
        </is>
      </c>
      <c r="C522" s="14">
        <f>IFERROR(IF(INDEX('01_Formulario_A02'!$D:$D,MATCH("D11-DOC-EEP-001.PROTOTYPE.ARTEFATO",'01_Formulario_A02'!$A:$A,0))="","— (a preencher em 01_Formulario_A02)",INDEX('01_Formulario_A02'!$D:$D,MATCH("D11-DOC-EEP-001.PROTOTYPE.ARTEFATO",'01_Formulario_A02'!$A:$A,0))),"— (a preencher em 01_Formulario_A02)")</f>
        <v/>
      </c>
    </row>
    <row r="523">
      <c r="A523" s="13" t="inlineStr">
        <is>
          <t>D11-DOC-EEP-001.PROTOTYPE.STATUS</t>
        </is>
      </c>
      <c r="B523" s="2" t="inlineStr">
        <is>
          <t>status</t>
        </is>
      </c>
      <c r="C523" s="14">
        <f>IFERROR(IF(INDEX('01_Formulario_A02'!$D:$D,MATCH("D11-DOC-EEP-001.PROTOTYPE.STATUS",'01_Formulario_A02'!$A:$A,0))="","— (a preencher em 01_Formulario_A02)",INDEX('01_Formulario_A02'!$D:$D,MATCH("D11-DOC-EEP-001.PROTOTYPE.STATUS",'01_Formulario_A02'!$A:$A,0))),"— (a preencher em 01_Formulario_A02)")</f>
        <v/>
      </c>
    </row>
    <row r="524">
      <c r="A524" s="13" t="inlineStr">
        <is>
          <t>D11-DOC-EEP-001.VALIDATION.TESTE</t>
        </is>
      </c>
      <c r="B524" s="2" t="inlineStr">
        <is>
          <t>teste</t>
        </is>
      </c>
      <c r="C524" s="14">
        <f>IFERROR(IF(INDEX('01_Formulario_A02'!$D:$D,MATCH("D11-DOC-EEP-001.VALIDATION.TESTE",'01_Formulario_A02'!$A:$A,0))="","— (a preencher em 01_Formulario_A02)",INDEX('01_Formulario_A02'!$D:$D,MATCH("D11-DOC-EEP-001.VALIDATION.TESTE",'01_Formulario_A02'!$A:$A,0))),"— (a preencher em 01_Formulario_A02)")</f>
        <v/>
      </c>
    </row>
    <row r="525">
      <c r="A525" s="13" t="inlineStr">
        <is>
          <t>D11-DOC-EEP-001.VALIDATION.RESULTADO</t>
        </is>
      </c>
      <c r="B525" s="2" t="inlineStr">
        <is>
          <t>resultado</t>
        </is>
      </c>
      <c r="C525" s="14">
        <f>IFERROR(IF(INDEX('01_Formulario_A02'!$D:$D,MATCH("D11-DOC-EEP-001.VALIDATION.RESULTADO",'01_Formulario_A02'!$A:$A,0))="","— (a preencher em 01_Formulario_A02)",INDEX('01_Formulario_A02'!$D:$D,MATCH("D11-DOC-EEP-001.VALIDATION.RESULTADO",'01_Formulario_A02'!$A:$A,0))),"— (a preencher em 01_Formulario_A02)")</f>
        <v/>
      </c>
    </row>
    <row r="526">
      <c r="A526" s="13" t="inlineStr">
        <is>
          <t>D11-DOC-DSI-001.FOUNDATIONS.PRINCIPIOS</t>
        </is>
      </c>
      <c r="B526" s="2" t="inlineStr">
        <is>
          <t>principios</t>
        </is>
      </c>
      <c r="C526" s="14">
        <f>IFERROR(IF(INDEX('01_Formulario_A02'!$D:$D,MATCH("D11-DOC-DSI-001.FOUNDATIONS.PRINCIPIOS",'01_Formulario_A02'!$A:$A,0))="","— (a preencher em 01_Formulario_A02)",INDEX('01_Formulario_A02'!$D:$D,MATCH("D11-DOC-DSI-001.FOUNDATIONS.PRINCIPIOS",'01_Formulario_A02'!$A:$A,0))),"— (a preencher em 01_Formulario_A02)")</f>
        <v/>
      </c>
    </row>
    <row r="527">
      <c r="A527" s="13" t="inlineStr">
        <is>
          <t>D11-DOC-DSI-001.TOKENS.COR</t>
        </is>
      </c>
      <c r="B527" s="2" t="inlineStr">
        <is>
          <t>cor</t>
        </is>
      </c>
      <c r="C527" s="14">
        <f>IFERROR(IF(INDEX('01_Formulario_A02'!$D:$D,MATCH("D11-DOC-DSI-001.TOKENS.COR",'01_Formulario_A02'!$A:$A,0))="","— (a preencher em 01_Formulario_A02)",INDEX('01_Formulario_A02'!$D:$D,MATCH("D11-DOC-DSI-001.TOKENS.COR",'01_Formulario_A02'!$A:$A,0))),"— (a preencher em 01_Formulario_A02)")</f>
        <v/>
      </c>
    </row>
    <row r="528">
      <c r="A528" s="13" t="inlineStr">
        <is>
          <t>D11-DOC-DSI-001.TOKENS.TIPOGRAFIA</t>
        </is>
      </c>
      <c r="B528" s="2" t="inlineStr">
        <is>
          <t>tipografia</t>
        </is>
      </c>
      <c r="C528" s="14">
        <f>IFERROR(IF(INDEX('01_Formulario_A02'!$D:$D,MATCH("D11-DOC-DSI-001.TOKENS.TIPOGRAFIA",'01_Formulario_A02'!$A:$A,0))="","— (a preencher em 01_Formulario_A02)",INDEX('01_Formulario_A02'!$D:$D,MATCH("D11-DOC-DSI-001.TOKENS.TIPOGRAFIA",'01_Formulario_A02'!$A:$A,0))),"— (a preencher em 01_Formulario_A02)")</f>
        <v/>
      </c>
    </row>
    <row r="529">
      <c r="A529" s="13" t="inlineStr">
        <is>
          <t>D11-DOC-DSI-001.TOKENS.ESPACAMENTO</t>
        </is>
      </c>
      <c r="B529" s="2" t="inlineStr">
        <is>
          <t>espacamento</t>
        </is>
      </c>
      <c r="C529" s="14">
        <f>IFERROR(IF(INDEX('01_Formulario_A02'!$D:$D,MATCH("D11-DOC-DSI-001.TOKENS.ESPACAMENTO",'01_Formulario_A02'!$A:$A,0))="","— (a preencher em 01_Formulario_A02)",INDEX('01_Formulario_A02'!$D:$D,MATCH("D11-DOC-DSI-001.TOKENS.ESPACAMENTO",'01_Formulario_A02'!$A:$A,0))),"— (a preencher em 01_Formulario_A02)")</f>
        <v/>
      </c>
    </row>
    <row r="530">
      <c r="A530" s="13" t="inlineStr">
        <is>
          <t>D11-DOC-DSI-001.TOKENS.RAIO</t>
        </is>
      </c>
      <c r="B530" s="2" t="inlineStr">
        <is>
          <t>raio</t>
        </is>
      </c>
      <c r="C530" s="14">
        <f>IFERROR(IF(INDEX('01_Formulario_A02'!$D:$D,MATCH("D11-DOC-DSI-001.TOKENS.RAIO",'01_Formulario_A02'!$A:$A,0))="","— (a preencher em 01_Formulario_A02)",INDEX('01_Formulario_A02'!$D:$D,MATCH("D11-DOC-DSI-001.TOKENS.RAIO",'01_Formulario_A02'!$A:$A,0))),"— (a preencher em 01_Formulario_A02)")</f>
        <v/>
      </c>
    </row>
    <row r="531">
      <c r="A531" s="13" t="inlineStr">
        <is>
          <t>D11-DOC-DSI-001.TOKENS.SOMBRA</t>
        </is>
      </c>
      <c r="B531" s="2" t="inlineStr">
        <is>
          <t>sombra</t>
        </is>
      </c>
      <c r="C531" s="14">
        <f>IFERROR(IF(INDEX('01_Formulario_A02'!$D:$D,MATCH("D11-DOC-DSI-001.TOKENS.SOMBRA",'01_Formulario_A02'!$A:$A,0))="","— (a preencher em 01_Formulario_A02)",INDEX('01_Formulario_A02'!$D:$D,MATCH("D11-DOC-DSI-001.TOKENS.SOMBRA",'01_Formulario_A02'!$A:$A,0))),"— (a preencher em 01_Formulario_A02)")</f>
        <v/>
      </c>
    </row>
    <row r="532">
      <c r="A532" s="13" t="inlineStr">
        <is>
          <t>D11-DOC-DSI-001.GRID.BREAKPOINTS</t>
        </is>
      </c>
      <c r="B532" s="2" t="inlineStr">
        <is>
          <t>breakpoints</t>
        </is>
      </c>
      <c r="C532" s="14">
        <f>IFERROR(IF(INDEX('01_Formulario_A02'!$D:$D,MATCH("D11-DOC-DSI-001.GRID.BREAKPOINTS",'01_Formulario_A02'!$A:$A,0))="","— (a preencher em 01_Formulario_A02)",INDEX('01_Formulario_A02'!$D:$D,MATCH("D11-DOC-DSI-001.GRID.BREAKPOINTS",'01_Formulario_A02'!$A:$A,0))),"— (a preencher em 01_Formulario_A02)")</f>
        <v/>
      </c>
    </row>
    <row r="533">
      <c r="A533" s="13" t="inlineStr">
        <is>
          <t>D11-DOC-DSI-001.GRID.COLUNAS</t>
        </is>
      </c>
      <c r="B533" s="2" t="inlineStr">
        <is>
          <t>colunas</t>
        </is>
      </c>
      <c r="C533" s="14">
        <f>IFERROR(IF(INDEX('01_Formulario_A02'!$D:$D,MATCH("D11-DOC-DSI-001.GRID.COLUNAS",'01_Formulario_A02'!$A:$A,0))="","— (a preencher em 01_Formulario_A02)",INDEX('01_Formulario_A02'!$D:$D,MATCH("D11-DOC-DSI-001.GRID.COLUNAS",'01_Formulario_A02'!$A:$A,0))),"— (a preencher em 01_Formulario_A02)")</f>
        <v/>
      </c>
    </row>
    <row r="534">
      <c r="A534" s="13" t="inlineStr">
        <is>
          <t>D11-DOC-DSI-001.COMPONENTS.COMPONENTE</t>
        </is>
      </c>
      <c r="B534" s="2" t="inlineStr">
        <is>
          <t>componente</t>
        </is>
      </c>
      <c r="C534" s="14">
        <f>IFERROR(IF(INDEX('01_Formulario_A02'!$D:$D,MATCH("D11-DOC-DSI-001.COMPONENTS.COMPONENTE",'01_Formulario_A02'!$A:$A,0))="","— (a preencher em 01_Formulario_A02)",INDEX('01_Formulario_A02'!$D:$D,MATCH("D11-DOC-DSI-001.COMPONENTS.COMPONENTE",'01_Formulario_A02'!$A:$A,0))),"— (a preencher em 01_Formulario_A02)")</f>
        <v/>
      </c>
    </row>
    <row r="535">
      <c r="A535" s="13" t="inlineStr">
        <is>
          <t>D11-DOC-DSI-001.COMPONENTS.VARIANTE</t>
        </is>
      </c>
      <c r="B535" s="2" t="inlineStr">
        <is>
          <t>variante</t>
        </is>
      </c>
      <c r="C535" s="14">
        <f>IFERROR(IF(INDEX('01_Formulario_A02'!$D:$D,MATCH("D11-DOC-DSI-001.COMPONENTS.VARIANTE",'01_Formulario_A02'!$A:$A,0))="","— (a preencher em 01_Formulario_A02)",INDEX('01_Formulario_A02'!$D:$D,MATCH("D11-DOC-DSI-001.COMPONENTS.VARIANTE",'01_Formulario_A02'!$A:$A,0))),"— (a preencher em 01_Formulario_A02)")</f>
        <v/>
      </c>
    </row>
    <row r="536">
      <c r="A536" s="13" t="inlineStr">
        <is>
          <t>D11-DOC-DSI-001.COMPONENTS.ESTADO</t>
        </is>
      </c>
      <c r="B536" s="2" t="inlineStr">
        <is>
          <t>estado</t>
        </is>
      </c>
      <c r="C536" s="14">
        <f>IFERROR(IF(INDEX('01_Formulario_A02'!$D:$D,MATCH("D11-DOC-DSI-001.COMPONENTS.ESTADO",'01_Formulario_A02'!$A:$A,0))="","— (a preencher em 01_Formulario_A02)",INDEX('01_Formulario_A02'!$D:$D,MATCH("D11-DOC-DSI-001.COMPONENTS.ESTADO",'01_Formulario_A02'!$A:$A,0))),"— (a preencher em 01_Formulario_A02)")</f>
        <v/>
      </c>
    </row>
    <row r="537">
      <c r="A537" s="13" t="inlineStr">
        <is>
          <t>D11-DOC-DSI-001.PATTERNS.NAVEGACAO</t>
        </is>
      </c>
      <c r="B537" s="2" t="inlineStr">
        <is>
          <t>navegacao</t>
        </is>
      </c>
      <c r="C537" s="14">
        <f>IFERROR(IF(INDEX('01_Formulario_A02'!$D:$D,MATCH("D11-DOC-DSI-001.PATTERNS.NAVEGACAO",'01_Formulario_A02'!$A:$A,0))="","— (a preencher em 01_Formulario_A02)",INDEX('01_Formulario_A02'!$D:$D,MATCH("D11-DOC-DSI-001.PATTERNS.NAVEGACAO",'01_Formulario_A02'!$A:$A,0))),"— (a preencher em 01_Formulario_A02)")</f>
        <v/>
      </c>
    </row>
    <row r="538">
      <c r="A538" s="13" t="inlineStr">
        <is>
          <t>D11-DOC-DSI-001.PATTERNS.FORMULARIO</t>
        </is>
      </c>
      <c r="B538" s="2" t="inlineStr">
        <is>
          <t>formulario</t>
        </is>
      </c>
      <c r="C538" s="14">
        <f>IFERROR(IF(INDEX('01_Formulario_A02'!$D:$D,MATCH("D11-DOC-DSI-001.PATTERNS.FORMULARIO",'01_Formulario_A02'!$A:$A,0))="","— (a preencher em 01_Formulario_A02)",INDEX('01_Formulario_A02'!$D:$D,MATCH("D11-DOC-DSI-001.PATTERNS.FORMULARIO",'01_Formulario_A02'!$A:$A,0))),"— (a preencher em 01_Formulario_A02)")</f>
        <v/>
      </c>
    </row>
    <row r="539">
      <c r="A539" s="13" t="inlineStr">
        <is>
          <t>D11-DOC-DSI-001.PATTERNS.FEEDBACK</t>
        </is>
      </c>
      <c r="B539" s="2" t="inlineStr">
        <is>
          <t>feedback</t>
        </is>
      </c>
      <c r="C539" s="14">
        <f>IFERROR(IF(INDEX('01_Formulario_A02'!$D:$D,MATCH("D11-DOC-DSI-001.PATTERNS.FEEDBACK",'01_Formulario_A02'!$A:$A,0))="","— (a preencher em 01_Formulario_A02)",INDEX('01_Formulario_A02'!$D:$D,MATCH("D11-DOC-DSI-001.PATTERNS.FEEDBACK",'01_Formulario_A02'!$A:$A,0))),"— (a preencher em 01_Formulario_A02)")</f>
        <v/>
      </c>
    </row>
    <row r="540">
      <c r="A540" s="13" t="inlineStr">
        <is>
          <t>D11-DOC-DSI-001.ICONS.BIBLIOTECA</t>
        </is>
      </c>
      <c r="B540" s="2" t="inlineStr">
        <is>
          <t>biblioteca</t>
        </is>
      </c>
      <c r="C540" s="14">
        <f>IFERROR(IF(INDEX('01_Formulario_A02'!$D:$D,MATCH("D11-DOC-DSI-001.ICONS.BIBLIOTECA",'01_Formulario_A02'!$A:$A,0))="","— (a preencher em 01_Formulario_A02)",INDEX('01_Formulario_A02'!$D:$D,MATCH("D11-DOC-DSI-001.ICONS.BIBLIOTECA",'01_Formulario_A02'!$A:$A,0))),"— (a preencher em 01_Formulario_A02)")</f>
        <v/>
      </c>
    </row>
    <row r="541">
      <c r="A541" s="13" t="inlineStr">
        <is>
          <t>D11-DOC-DSI-001.ICONS.REGRAS</t>
        </is>
      </c>
      <c r="B541" s="2" t="inlineStr">
        <is>
          <t>regras</t>
        </is>
      </c>
      <c r="C541" s="14">
        <f>IFERROR(IF(INDEX('01_Formulario_A02'!$D:$D,MATCH("D11-DOC-DSI-001.ICONS.REGRAS",'01_Formulario_A02'!$A:$A,0))="","— (a preencher em 01_Formulario_A02)",INDEX('01_Formulario_A02'!$D:$D,MATCH("D11-DOC-DSI-001.ICONS.REGRAS",'01_Formulario_A02'!$A:$A,0))),"— (a preencher em 01_Formulario_A02)")</f>
        <v/>
      </c>
    </row>
    <row r="542">
      <c r="A542" s="13" t="inlineStr">
        <is>
          <t>D11-DOC-DSI-001.MOTION.DURACAO</t>
        </is>
      </c>
      <c r="B542" s="2" t="inlineStr">
        <is>
          <t>duracao</t>
        </is>
      </c>
      <c r="C542" s="14">
        <f>IFERROR(IF(INDEX('01_Formulario_A02'!$D:$D,MATCH("D11-DOC-DSI-001.MOTION.DURACAO",'01_Formulario_A02'!$A:$A,0))="","— (a preencher em 01_Formulario_A02)",INDEX('01_Formulario_A02'!$D:$D,MATCH("D11-DOC-DSI-001.MOTION.DURACAO",'01_Formulario_A02'!$A:$A,0))),"— (a preencher em 01_Formulario_A02)")</f>
        <v/>
      </c>
    </row>
    <row r="543">
      <c r="A543" s="13" t="inlineStr">
        <is>
          <t>D11-DOC-DSI-001.MOTION.EASING</t>
        </is>
      </c>
      <c r="B543" s="2" t="inlineStr">
        <is>
          <t>easing</t>
        </is>
      </c>
      <c r="C543" s="14">
        <f>IFERROR(IF(INDEX('01_Formulario_A02'!$D:$D,MATCH("D11-DOC-DSI-001.MOTION.EASING",'01_Formulario_A02'!$A:$A,0))="","— (a preencher em 01_Formulario_A02)",INDEX('01_Formulario_A02'!$D:$D,MATCH("D11-DOC-DSI-001.MOTION.EASING",'01_Formulario_A02'!$A:$A,0))),"— (a preencher em 01_Formulario_A02)")</f>
        <v/>
      </c>
    </row>
    <row r="544">
      <c r="A544" s="13" t="inlineStr">
        <is>
          <t>D11-DOC-DSI-001.MOTION.REDUCED_MOTION</t>
        </is>
      </c>
      <c r="B544" s="2" t="inlineStr">
        <is>
          <t>reduced_motion</t>
        </is>
      </c>
      <c r="C544" s="14">
        <f>IFERROR(IF(INDEX('01_Formulario_A02'!$D:$D,MATCH("D11-DOC-DSI-001.MOTION.REDUCED_MOTION",'01_Formulario_A02'!$A:$A,0))="","— (a preencher em 01_Formulario_A02)",INDEX('01_Formulario_A02'!$D:$D,MATCH("D11-DOC-DSI-001.MOTION.REDUCED_MOTION",'01_Formulario_A02'!$A:$A,0))),"— (a preencher em 01_Formulario_A02)")</f>
        <v/>
      </c>
    </row>
    <row r="545">
      <c r="A545" s="13" t="inlineStr">
        <is>
          <t>D11-DOC-DSI-001.ACCESSIBILITY.WCAG</t>
        </is>
      </c>
      <c r="B545" s="2" t="inlineStr">
        <is>
          <t>wcag</t>
        </is>
      </c>
      <c r="C545" s="14">
        <f>IFERROR(IF(INDEX('01_Formulario_A02'!$D:$D,MATCH("D11-DOC-DSI-001.ACCESSIBILITY.WCAG",'01_Formulario_A02'!$A:$A,0))="","— (a preencher em 01_Formulario_A02)",INDEX('01_Formulario_A02'!$D:$D,MATCH("D11-DOC-DSI-001.ACCESSIBILITY.WCAG",'01_Formulario_A02'!$A:$A,0))),"— (a preencher em 01_Formulario_A02)")</f>
        <v/>
      </c>
    </row>
    <row r="546">
      <c r="A546" s="13" t="inlineStr">
        <is>
          <t>D11-DOC-DSI-001.ACCESSIBILITY.FOCO</t>
        </is>
      </c>
      <c r="B546" s="2" t="inlineStr">
        <is>
          <t>foco</t>
        </is>
      </c>
      <c r="C546" s="14">
        <f>IFERROR(IF(INDEX('01_Formulario_A02'!$D:$D,MATCH("D11-DOC-DSI-001.ACCESSIBILITY.FOCO",'01_Formulario_A02'!$A:$A,0))="","— (a preencher em 01_Formulario_A02)",INDEX('01_Formulario_A02'!$D:$D,MATCH("D11-DOC-DSI-001.ACCESSIBILITY.FOCO",'01_Formulario_A02'!$A:$A,0))),"— (a preencher em 01_Formulario_A02)")</f>
        <v/>
      </c>
    </row>
    <row r="547">
      <c r="A547" s="13" t="inlineStr">
        <is>
          <t>D11-DOC-DSI-001.ACCESSIBILITY.CONTRASTE</t>
        </is>
      </c>
      <c r="B547" s="2" t="inlineStr">
        <is>
          <t>contraste</t>
        </is>
      </c>
      <c r="C547" s="14">
        <f>IFERROR(IF(INDEX('01_Formulario_A02'!$D:$D,MATCH("D11-DOC-DSI-001.ACCESSIBILITY.CONTRASTE",'01_Formulario_A02'!$A:$A,0))="","— (a preencher em 01_Formulario_A02)",INDEX('01_Formulario_A02'!$D:$D,MATCH("D11-DOC-DSI-001.ACCESSIBILITY.CONTRASTE",'01_Formulario_A02'!$A:$A,0))),"— (a preencher em 01_Formulario_A02)")</f>
        <v/>
      </c>
    </row>
    <row r="548">
      <c r="A548" s="13" t="inlineStr">
        <is>
          <t>D11-DOC-DSI-001.CONTENT_DESIGN.VOZ</t>
        </is>
      </c>
      <c r="B548" s="2" t="inlineStr">
        <is>
          <t>voz</t>
        </is>
      </c>
      <c r="C548" s="14">
        <f>IFERROR(IF(INDEX('01_Formulario_A02'!$D:$D,MATCH("D11-DOC-DSI-001.CONTENT_DESIGN.VOZ",'01_Formulario_A02'!$A:$A,0))="","— (a preencher em 01_Formulario_A02)",INDEX('01_Formulario_A02'!$D:$D,MATCH("D11-DOC-DSI-001.CONTENT_DESIGN.VOZ",'01_Formulario_A02'!$A:$A,0))),"— (a preencher em 01_Formulario_A02)")</f>
        <v/>
      </c>
    </row>
    <row r="549">
      <c r="A549" s="13" t="inlineStr">
        <is>
          <t>D11-DOC-DSI-001.CONTENT_DESIGN.TOM</t>
        </is>
      </c>
      <c r="B549" s="2" t="inlineStr">
        <is>
          <t>tom</t>
        </is>
      </c>
      <c r="C549" s="14">
        <f>IFERROR(IF(INDEX('01_Formulario_A02'!$D:$D,MATCH("D11-DOC-DSI-001.CONTENT_DESIGN.TOM",'01_Formulario_A02'!$A:$A,0))="","— (a preencher em 01_Formulario_A02)",INDEX('01_Formulario_A02'!$D:$D,MATCH("D11-DOC-DSI-001.CONTENT_DESIGN.TOM",'01_Formulario_A02'!$A:$A,0))),"— (a preencher em 01_Formulario_A02)")</f>
        <v/>
      </c>
    </row>
    <row r="550">
      <c r="A550" s="13" t="inlineStr">
        <is>
          <t>D11-DOC-DSI-001.CONTENT_DESIGN.NOMENCLATURA</t>
        </is>
      </c>
      <c r="B550" s="2" t="inlineStr">
        <is>
          <t>nomenclatura</t>
        </is>
      </c>
      <c r="C550" s="14">
        <f>IFERROR(IF(INDEX('01_Formulario_A02'!$D:$D,MATCH("D11-DOC-DSI-001.CONTENT_DESIGN.NOMENCLATURA",'01_Formulario_A02'!$A:$A,0))="","— (a preencher em 01_Formulario_A02)",INDEX('01_Formulario_A02'!$D:$D,MATCH("D11-DOC-DSI-001.CONTENT_DESIGN.NOMENCLATURA",'01_Formulario_A02'!$A:$A,0))),"— (a preencher em 01_Formulario_A02)")</f>
        <v/>
      </c>
    </row>
    <row r="551">
      <c r="A551" s="13" t="inlineStr">
        <is>
          <t>D11-DOC-DSI-001.GOVERNANCE.VERSAO</t>
        </is>
      </c>
      <c r="B551" s="2" t="inlineStr">
        <is>
          <t>versao</t>
        </is>
      </c>
      <c r="C551" s="14">
        <f>IFERROR(IF(INDEX('01_Formulario_A02'!$D:$D,MATCH("D11-DOC-DSI-001.GOVERNANCE.VERSAO",'01_Formulario_A02'!$A:$A,0))="","— (a preencher em 01_Formulario_A02)",INDEX('01_Formulario_A02'!$D:$D,MATCH("D11-DOC-DSI-001.GOVERNANCE.VERSAO",'01_Formulario_A02'!$A:$A,0))),"— (a preencher em 01_Formulario_A02)")</f>
        <v/>
      </c>
    </row>
    <row r="552">
      <c r="A552" s="13" t="inlineStr">
        <is>
          <t>D11-DOC-DSI-001.GOVERNANCE.OWNER</t>
        </is>
      </c>
      <c r="B552" s="2" t="inlineStr">
        <is>
          <t>owner</t>
        </is>
      </c>
      <c r="C552" s="14">
        <f>IFERROR(IF(INDEX('01_Formulario_A02'!$D:$D,MATCH("D11-DOC-DSI-001.GOVERNANCE.OWNER",'01_Formulario_A02'!$A:$A,0))="","— (a preencher em 01_Formulario_A02)",INDEX('01_Formulario_A02'!$D:$D,MATCH("D11-DOC-DSI-001.GOVERNANCE.OWNER",'01_Formulario_A02'!$A:$A,0))),"— (a preencher em 01_Formulario_A02)")</f>
        <v/>
      </c>
    </row>
    <row r="553">
      <c r="A553" s="13" t="inlineStr">
        <is>
          <t>D11-DOC-DSI-001.GOVERNANCE.CONTRIBUICAO</t>
        </is>
      </c>
      <c r="B553" s="2" t="inlineStr">
        <is>
          <t>contribuicao</t>
        </is>
      </c>
      <c r="C553" s="14">
        <f>IFERROR(IF(INDEX('01_Formulario_A02'!$D:$D,MATCH("D11-DOC-DSI-001.GOVERNANCE.CONTRIBUICAO",'01_Formulario_A02'!$A:$A,0))="","— (a preencher em 01_Formulario_A02)",INDEX('01_Formulario_A02'!$D:$D,MATCH("D11-DOC-DSI-001.GOVERNANCE.CONTRIBUICAO",'01_Formulario_A02'!$A:$A,0))),"— (a preencher em 01_Formulario_A02)")</f>
        <v/>
      </c>
    </row>
    <row r="554">
      <c r="A554" s="13" t="inlineStr">
        <is>
          <t>D11-DOC-DSI-001.ENGINEERING_HANDOFF.PACKAGE</t>
        </is>
      </c>
      <c r="B554" s="2" t="inlineStr">
        <is>
          <t>package</t>
        </is>
      </c>
      <c r="C554" s="14">
        <f>IFERROR(IF(INDEX('01_Formulario_A02'!$D:$D,MATCH("D11-DOC-DSI-001.ENGINEERING_HANDOFF.PACKAGE",'01_Formulario_A02'!$A:$A,0))="","— (a preencher em 01_Formulario_A02)",INDEX('01_Formulario_A02'!$D:$D,MATCH("D11-DOC-DSI-001.ENGINEERING_HANDOFF.PACKAGE",'01_Formulario_A02'!$A:$A,0))),"— (a preencher em 01_Formulario_A02)")</f>
        <v/>
      </c>
    </row>
    <row r="555">
      <c r="A555" s="13" t="inlineStr">
        <is>
          <t>D11-DOC-DSI-001.ENGINEERING_HANDOFF.TOKENS</t>
        </is>
      </c>
      <c r="B555" s="2" t="inlineStr">
        <is>
          <t>tokens</t>
        </is>
      </c>
      <c r="C555" s="14">
        <f>IFERROR(IF(INDEX('01_Formulario_A02'!$D:$D,MATCH("D11-DOC-DSI-001.ENGINEERING_HANDOFF.TOKENS",'01_Formulario_A02'!$A:$A,0))="","— (a preencher em 01_Formulario_A02)",INDEX('01_Formulario_A02'!$D:$D,MATCH("D11-DOC-DSI-001.ENGINEERING_HANDOFF.TOKENS",'01_Formulario_A02'!$A:$A,0))),"— (a preencher em 01_Formulario_A02)")</f>
        <v/>
      </c>
    </row>
    <row r="556">
      <c r="A556" s="13" t="inlineStr">
        <is>
          <t>D11-DOC-DSI-001.ENGINEERING_HANDOFF.STORYBOOK</t>
        </is>
      </c>
      <c r="B556" s="2" t="inlineStr">
        <is>
          <t>storybook</t>
        </is>
      </c>
      <c r="C556" s="14">
        <f>IFERROR(IF(INDEX('01_Formulario_A02'!$D:$D,MATCH("D11-DOC-DSI-001.ENGINEERING_HANDOFF.STORYBOOK",'01_Formulario_A02'!$A:$A,0))="","— (a preencher em 01_Formulario_A02)",INDEX('01_Formulario_A02'!$D:$D,MATCH("D11-DOC-DSI-001.ENGINEERING_HANDOFF.STORYBOOK",'01_Formulario_A02'!$A:$A,0))),"— (a preencher em 01_Formulario_A02)")</f>
        <v/>
      </c>
    </row>
    <row r="557">
      <c r="A557" s="5" t="inlineStr">
        <is>
          <t>A03 — Handoff Produto → Engenharia</t>
        </is>
      </c>
      <c r="B557" s="6" t="n"/>
      <c r="C557" s="7" t="n"/>
    </row>
    <row r="558">
      <c r="A558" s="5" t="inlineStr">
        <is>
          <t>A04 — Arquitetura, Engenharia e Implementação</t>
        </is>
      </c>
      <c r="B558" s="6" t="n"/>
      <c r="C558" s="7" t="n"/>
    </row>
    <row r="559">
      <c r="A559" s="13" t="inlineStr">
        <is>
          <t>D12-DOC-ETE-001.ARCHITECTURE.VISAO_GERAL</t>
        </is>
      </c>
      <c r="B559" s="2" t="inlineStr">
        <is>
          <t>visao_geral</t>
        </is>
      </c>
      <c r="C559" s="14">
        <f>IFERROR(IF(INDEX('01_Formulario_A04'!$D:$D,MATCH("D12-DOC-ETE-001.ARCHITECTURE.VISAO_GERAL",'01_Formulario_A04'!$A:$A,0))="","— (a preencher em 01_Formulario_A04)",INDEX('01_Formulario_A04'!$D:$D,MATCH("D12-DOC-ETE-001.ARCHITECTURE.VISAO_GERAL",'01_Formulario_A04'!$A:$A,0))),"— (a preencher em 01_Formulario_A04)")</f>
        <v/>
      </c>
    </row>
    <row r="560">
      <c r="A560" s="13" t="inlineStr">
        <is>
          <t>D12-DOC-ETE-001.ARCHITECTURE.DIAGRAMAS</t>
        </is>
      </c>
      <c r="B560" s="2" t="inlineStr">
        <is>
          <t>diagramas</t>
        </is>
      </c>
      <c r="C560" s="14">
        <f>IFERROR(IF(INDEX('01_Formulario_A04'!$D:$D,MATCH("D12-DOC-ETE-001.ARCHITECTURE.DIAGRAMAS",'01_Formulario_A04'!$A:$A,0))="","— (a preencher em 01_Formulario_A04)",INDEX('01_Formulario_A04'!$D:$D,MATCH("D12-DOC-ETE-001.ARCHITECTURE.DIAGRAMAS",'01_Formulario_A04'!$A:$A,0))),"— (a preencher em 01_Formulario_A04)")</f>
        <v/>
      </c>
    </row>
    <row r="561">
      <c r="A561" s="13" t="inlineStr">
        <is>
          <t>D12-DOC-ETE-001.REPOSITORIES.REPOSITORIO</t>
        </is>
      </c>
      <c r="B561" s="2" t="inlineStr">
        <is>
          <t>repositorio</t>
        </is>
      </c>
      <c r="C561" s="14">
        <f>IFERROR(IF(INDEX('01_Formulario_A04'!$D:$D,MATCH("D12-DOC-ETE-001.REPOSITORIES.REPOSITORIO",'01_Formulario_A04'!$A:$A,0))="","— (a preencher em 01_Formulario_A04)",INDEX('01_Formulario_A04'!$D:$D,MATCH("D12-DOC-ETE-001.REPOSITORIES.REPOSITORIO",'01_Formulario_A04'!$A:$A,0))),"— (a preencher em 01_Formulario_A04)")</f>
        <v/>
      </c>
    </row>
    <row r="562">
      <c r="A562" s="13" t="inlineStr">
        <is>
          <t>D12-DOC-ETE-001.REPOSITORIES.BRANCH</t>
        </is>
      </c>
      <c r="B562" s="2" t="inlineStr">
        <is>
          <t>branch</t>
        </is>
      </c>
      <c r="C562" s="14">
        <f>IFERROR(IF(INDEX('01_Formulario_A04'!$D:$D,MATCH("D12-DOC-ETE-001.REPOSITORIES.BRANCH",'01_Formulario_A04'!$A:$A,0))="","— (a preencher em 01_Formulario_A04)",INDEX('01_Formulario_A04'!$D:$D,MATCH("D12-DOC-ETE-001.REPOSITORIES.BRANCH",'01_Formulario_A04'!$A:$A,0))),"— (a preencher em 01_Formulario_A04)")</f>
        <v/>
      </c>
    </row>
    <row r="563">
      <c r="A563" s="13" t="inlineStr">
        <is>
          <t>D12-DOC-ETE-001.REPOSITORIES.FINALIDADE</t>
        </is>
      </c>
      <c r="B563" s="2" t="inlineStr">
        <is>
          <t>finalidade</t>
        </is>
      </c>
      <c r="C563" s="14">
        <f>IFERROR(IF(INDEX('01_Formulario_A04'!$D:$D,MATCH("D12-DOC-ETE-001.REPOSITORIES.FINALIDADE",'01_Formulario_A04'!$A:$A,0))="","— (a preencher em 01_Formulario_A04)",INDEX('01_Formulario_A04'!$D:$D,MATCH("D12-DOC-ETE-001.REPOSITORIES.FINALIDADE",'01_Formulario_A04'!$A:$A,0))),"— (a preencher em 01_Formulario_A04)")</f>
        <v/>
      </c>
    </row>
    <row r="564">
      <c r="A564" s="13" t="inlineStr">
        <is>
          <t>D12-DOC-ETE-001.STACK.FRAMEWORKS</t>
        </is>
      </c>
      <c r="B564" s="2" t="inlineStr">
        <is>
          <t>frameworks</t>
        </is>
      </c>
      <c r="C564" s="14">
        <f>IFERROR(IF(INDEX('01_Formulario_A04'!$D:$D,MATCH("D12-DOC-ETE-001.STACK.FRAMEWORKS",'01_Formulario_A04'!$A:$A,0))="","— (a preencher em 01_Formulario_A04)",INDEX('01_Formulario_A04'!$D:$D,MATCH("D12-DOC-ETE-001.STACK.FRAMEWORKS",'01_Formulario_A04'!$A:$A,0))),"— (a preencher em 01_Formulario_A04)")</f>
        <v/>
      </c>
    </row>
    <row r="565">
      <c r="A565" s="13" t="inlineStr">
        <is>
          <t>D12-DOC-ETE-001.STACK.LINGUAGENS</t>
        </is>
      </c>
      <c r="B565" s="2" t="inlineStr">
        <is>
          <t>linguagens</t>
        </is>
      </c>
      <c r="C565" s="14">
        <f>IFERROR(IF(INDEX('01_Formulario_A04'!$D:$D,MATCH("D12-DOC-ETE-001.STACK.LINGUAGENS",'01_Formulario_A04'!$A:$A,0))="","— (a preencher em 01_Formulario_A04)",INDEX('01_Formulario_A04'!$D:$D,MATCH("D12-DOC-ETE-001.STACK.LINGUAGENS",'01_Formulario_A04'!$A:$A,0))),"— (a preencher em 01_Formulario_A04)")</f>
        <v/>
      </c>
    </row>
    <row r="566">
      <c r="A566" s="13" t="inlineStr">
        <is>
          <t>D12-DOC-ETE-001.STACK.RUNTIME</t>
        </is>
      </c>
      <c r="B566" s="2" t="inlineStr">
        <is>
          <t>runtime</t>
        </is>
      </c>
      <c r="C566" s="14">
        <f>IFERROR(IF(INDEX('01_Formulario_A04'!$D:$D,MATCH("D12-DOC-ETE-001.STACK.RUNTIME",'01_Formulario_A04'!$A:$A,0))="","— (a preencher em 01_Formulario_A04)",INDEX('01_Formulario_A04'!$D:$D,MATCH("D12-DOC-ETE-001.STACK.RUNTIME",'01_Formulario_A04'!$A:$A,0))),"— (a preencher em 01_Formulario_A04)")</f>
        <v/>
      </c>
    </row>
    <row r="567">
      <c r="A567" s="13" t="inlineStr">
        <is>
          <t>D12-DOC-ETE-001.APPLICATIONS.APP</t>
        </is>
      </c>
      <c r="B567" s="2" t="inlineStr">
        <is>
          <t>app</t>
        </is>
      </c>
      <c r="C567" s="14">
        <f>IFERROR(IF(INDEX('01_Formulario_A04'!$D:$D,MATCH("D12-DOC-ETE-001.APPLICATIONS.APP",'01_Formulario_A04'!$A:$A,0))="","— (a preencher em 01_Formulario_A04)",INDEX('01_Formulario_A04'!$D:$D,MATCH("D12-DOC-ETE-001.APPLICATIONS.APP",'01_Formulario_A04'!$A:$A,0))),"— (a preencher em 01_Formulario_A04)")</f>
        <v/>
      </c>
    </row>
    <row r="568">
      <c r="A568" s="13" t="inlineStr">
        <is>
          <t>D12-DOC-ETE-001.APPLICATIONS.RESPONSABILIDADE</t>
        </is>
      </c>
      <c r="B568" s="2" t="inlineStr">
        <is>
          <t>responsabilidade</t>
        </is>
      </c>
      <c r="C568" s="14">
        <f>IFERROR(IF(INDEX('01_Formulario_A04'!$D:$D,MATCH("D12-DOC-ETE-001.APPLICATIONS.RESPONSABILIDADE",'01_Formulario_A04'!$A:$A,0))="","— (a preencher em 01_Formulario_A04)",INDEX('01_Formulario_A04'!$D:$D,MATCH("D12-DOC-ETE-001.APPLICATIONS.RESPONSABILIDADE",'01_Formulario_A04'!$A:$A,0))),"— (a preencher em 01_Formulario_A04)")</f>
        <v/>
      </c>
    </row>
    <row r="569">
      <c r="A569" s="13" t="inlineStr">
        <is>
          <t>D12-DOC-ETE-001.PACKAGES.PACKAGE</t>
        </is>
      </c>
      <c r="B569" s="2" t="inlineStr">
        <is>
          <t>package</t>
        </is>
      </c>
      <c r="C569" s="14">
        <f>IFERROR(IF(INDEX('01_Formulario_A04'!$D:$D,MATCH("D12-DOC-ETE-001.PACKAGES.PACKAGE",'01_Formulario_A04'!$A:$A,0))="","— (a preencher em 01_Formulario_A04)",INDEX('01_Formulario_A04'!$D:$D,MATCH("D12-DOC-ETE-001.PACKAGES.PACKAGE",'01_Formulario_A04'!$A:$A,0))),"— (a preencher em 01_Formulario_A04)")</f>
        <v/>
      </c>
    </row>
    <row r="570">
      <c r="A570" s="13" t="inlineStr">
        <is>
          <t>D12-DOC-ETE-001.PACKAGES.RESPONSABILIDADE</t>
        </is>
      </c>
      <c r="B570" s="2" t="inlineStr">
        <is>
          <t>responsabilidade</t>
        </is>
      </c>
      <c r="C570" s="14">
        <f>IFERROR(IF(INDEX('01_Formulario_A04'!$D:$D,MATCH("D12-DOC-ETE-001.PACKAGES.RESPONSABILIDADE",'01_Formulario_A04'!$A:$A,0))="","— (a preencher em 01_Formulario_A04)",INDEX('01_Formulario_A04'!$D:$D,MATCH("D12-DOC-ETE-001.PACKAGES.RESPONSABILIDADE",'01_Formulario_A04'!$A:$A,0))),"— (a preencher em 01_Formulario_A04)")</f>
        <v/>
      </c>
    </row>
    <row r="571">
      <c r="A571" s="13" t="inlineStr">
        <is>
          <t>D12-DOC-ETE-001.INTERFACES.API</t>
        </is>
      </c>
      <c r="B571" s="2" t="inlineStr">
        <is>
          <t>api</t>
        </is>
      </c>
      <c r="C571" s="14">
        <f>IFERROR(IF(INDEX('01_Formulario_A04'!$D:$D,MATCH("D12-DOC-ETE-001.INTERFACES.API",'01_Formulario_A04'!$A:$A,0))="","— (a preencher em 01_Formulario_A04)",INDEX('01_Formulario_A04'!$D:$D,MATCH("D12-DOC-ETE-001.INTERFACES.API",'01_Formulario_A04'!$A:$A,0))),"— (a preencher em 01_Formulario_A04)")</f>
        <v/>
      </c>
    </row>
    <row r="572">
      <c r="A572" s="13" t="inlineStr">
        <is>
          <t>D12-DOC-ETE-001.INTERFACES.EVENTOS</t>
        </is>
      </c>
      <c r="B572" s="2" t="inlineStr">
        <is>
          <t>eventos</t>
        </is>
      </c>
      <c r="C572" s="14">
        <f>IFERROR(IF(INDEX('01_Formulario_A04'!$D:$D,MATCH("D12-DOC-ETE-001.INTERFACES.EVENTOS",'01_Formulario_A04'!$A:$A,0))="","— (a preencher em 01_Formulario_A04)",INDEX('01_Formulario_A04'!$D:$D,MATCH("D12-DOC-ETE-001.INTERFACES.EVENTOS",'01_Formulario_A04'!$A:$A,0))),"— (a preencher em 01_Formulario_A04)")</f>
        <v/>
      </c>
    </row>
    <row r="573">
      <c r="A573" s="13" t="inlineStr">
        <is>
          <t>D12-DOC-ETE-001.INTERFACES.WEBHOOKS</t>
        </is>
      </c>
      <c r="B573" s="2" t="inlineStr">
        <is>
          <t>webhooks</t>
        </is>
      </c>
      <c r="C573" s="14">
        <f>IFERROR(IF(INDEX('01_Formulario_A04'!$D:$D,MATCH("D12-DOC-ETE-001.INTERFACES.WEBHOOKS",'01_Formulario_A04'!$A:$A,0))="","— (a preencher em 01_Formulario_A04)",INDEX('01_Formulario_A04'!$D:$D,MATCH("D12-DOC-ETE-001.INTERFACES.WEBHOOKS",'01_Formulario_A04'!$A:$A,0))),"— (a preencher em 01_Formulario_A04)")</f>
        <v/>
      </c>
    </row>
    <row r="574">
      <c r="A574" s="13" t="inlineStr">
        <is>
          <t>D12-DOC-ETE-001.DATA.BANCO</t>
        </is>
      </c>
      <c r="B574" s="2" t="inlineStr">
        <is>
          <t>banco</t>
        </is>
      </c>
      <c r="C574" s="14">
        <f>IFERROR(IF(INDEX('01_Formulario_A04'!$D:$D,MATCH("D12-DOC-ETE-001.DATA.BANCO",'01_Formulario_A04'!$A:$A,0))="","— (a preencher em 01_Formulario_A04)",INDEX('01_Formulario_A04'!$D:$D,MATCH("D12-DOC-ETE-001.DATA.BANCO",'01_Formulario_A04'!$A:$A,0))),"— (a preencher em 01_Formulario_A04)")</f>
        <v/>
      </c>
    </row>
    <row r="575">
      <c r="A575" s="13" t="inlineStr">
        <is>
          <t>D12-DOC-ETE-001.DATA.SCHEMA</t>
        </is>
      </c>
      <c r="B575" s="2" t="inlineStr">
        <is>
          <t>schema</t>
        </is>
      </c>
      <c r="C575" s="14">
        <f>IFERROR(IF(INDEX('01_Formulario_A04'!$D:$D,MATCH("D12-DOC-ETE-001.DATA.SCHEMA",'01_Formulario_A04'!$A:$A,0))="","— (a preencher em 01_Formulario_A04)",INDEX('01_Formulario_A04'!$D:$D,MATCH("D12-DOC-ETE-001.DATA.SCHEMA",'01_Formulario_A04'!$A:$A,0))),"— (a preencher em 01_Formulario_A04)")</f>
        <v/>
      </c>
    </row>
    <row r="576">
      <c r="A576" s="13" t="inlineStr">
        <is>
          <t>D12-DOC-ETE-001.DATA.MIGRACOES</t>
        </is>
      </c>
      <c r="B576" s="2" t="inlineStr">
        <is>
          <t>migracoes</t>
        </is>
      </c>
      <c r="C576" s="14">
        <f>IFERROR(IF(INDEX('01_Formulario_A04'!$D:$D,MATCH("D12-DOC-ETE-001.DATA.MIGRACOES",'01_Formulario_A04'!$A:$A,0))="","— (a preencher em 01_Formulario_A04)",INDEX('01_Formulario_A04'!$D:$D,MATCH("D12-DOC-ETE-001.DATA.MIGRACOES",'01_Formulario_A04'!$A:$A,0))),"— (a preencher em 01_Formulario_A04)")</f>
        <v/>
      </c>
    </row>
    <row r="577">
      <c r="A577" s="13" t="inlineStr">
        <is>
          <t>D12-DOC-ETE-001.AUTHENTICATION.AUTH</t>
        </is>
      </c>
      <c r="B577" s="2" t="inlineStr">
        <is>
          <t>auth</t>
        </is>
      </c>
      <c r="C577" s="14">
        <f>IFERROR(IF(INDEX('01_Formulario_A04'!$D:$D,MATCH("D12-DOC-ETE-001.AUTHENTICATION.AUTH",'01_Formulario_A04'!$A:$A,0))="","— (a preencher em 01_Formulario_A04)",INDEX('01_Formulario_A04'!$D:$D,MATCH("D12-DOC-ETE-001.AUTHENTICATION.AUTH",'01_Formulario_A04'!$A:$A,0))),"— (a preencher em 01_Formulario_A04)")</f>
        <v/>
      </c>
    </row>
    <row r="578">
      <c r="A578" s="13" t="inlineStr">
        <is>
          <t>D12-DOC-ETE-001.AUTHENTICATION.AUTORIZACAO</t>
        </is>
      </c>
      <c r="B578" s="2" t="inlineStr">
        <is>
          <t>autorizacao</t>
        </is>
      </c>
      <c r="C578" s="14">
        <f>IFERROR(IF(INDEX('01_Formulario_A04'!$D:$D,MATCH("D12-DOC-ETE-001.AUTHENTICATION.AUTORIZACAO",'01_Formulario_A04'!$A:$A,0))="","— (a preencher em 01_Formulario_A04)",INDEX('01_Formulario_A04'!$D:$D,MATCH("D12-DOC-ETE-001.AUTHENTICATION.AUTORIZACAO",'01_Formulario_A04'!$A:$A,0))),"— (a preencher em 01_Formulario_A04)")</f>
        <v/>
      </c>
    </row>
    <row r="579">
      <c r="A579" s="13" t="inlineStr">
        <is>
          <t>D12-DOC-ETE-001.INTEGRATIONS.SERVICO</t>
        </is>
      </c>
      <c r="B579" s="2" t="inlineStr">
        <is>
          <t>servico</t>
        </is>
      </c>
      <c r="C579" s="14">
        <f>IFERROR(IF(INDEX('01_Formulario_A04'!$D:$D,MATCH("D12-DOC-ETE-001.INTEGRATIONS.SERVICO",'01_Formulario_A04'!$A:$A,0))="","— (a preencher em 01_Formulario_A04)",INDEX('01_Formulario_A04'!$D:$D,MATCH("D12-DOC-ETE-001.INTEGRATIONS.SERVICO",'01_Formulario_A04'!$A:$A,0))),"— (a preencher em 01_Formulario_A04)")</f>
        <v/>
      </c>
    </row>
    <row r="580">
      <c r="A580" s="13" t="inlineStr">
        <is>
          <t>D12-DOC-ETE-001.INTEGRATIONS.CONTRATO</t>
        </is>
      </c>
      <c r="B580" s="2" t="inlineStr">
        <is>
          <t>contrato</t>
        </is>
      </c>
      <c r="C580" s="14">
        <f>IFERROR(IF(INDEX('01_Formulario_A04'!$D:$D,MATCH("D12-DOC-ETE-001.INTEGRATIONS.CONTRATO",'01_Formulario_A04'!$A:$A,0))="","— (a preencher em 01_Formulario_A04)",INDEX('01_Formulario_A04'!$D:$D,MATCH("D12-DOC-ETE-001.INTEGRATIONS.CONTRATO",'01_Formulario_A04'!$A:$A,0))),"— (a preencher em 01_Formulario_A04)")</f>
        <v/>
      </c>
    </row>
    <row r="581">
      <c r="A581" s="13" t="inlineStr">
        <is>
          <t>D12-DOC-ETE-001.INFRASTRUCTURE.HOSTING</t>
        </is>
      </c>
      <c r="B581" s="2" t="inlineStr">
        <is>
          <t>hosting</t>
        </is>
      </c>
      <c r="C581" s="14">
        <f>IFERROR(IF(INDEX('01_Formulario_A04'!$D:$D,MATCH("D12-DOC-ETE-001.INFRASTRUCTURE.HOSTING",'01_Formulario_A04'!$A:$A,0))="","— (a preencher em 01_Formulario_A04)",INDEX('01_Formulario_A04'!$D:$D,MATCH("D12-DOC-ETE-001.INFRASTRUCTURE.HOSTING",'01_Formulario_A04'!$A:$A,0))),"— (a preencher em 01_Formulario_A04)")</f>
        <v/>
      </c>
    </row>
    <row r="582">
      <c r="A582" s="13" t="inlineStr">
        <is>
          <t>D12-DOC-ETE-001.INFRASTRUCTURE.STORAGE</t>
        </is>
      </c>
      <c r="B582" s="2" t="inlineStr">
        <is>
          <t>storage</t>
        </is>
      </c>
      <c r="C582" s="14">
        <f>IFERROR(IF(INDEX('01_Formulario_A04'!$D:$D,MATCH("D12-DOC-ETE-001.INFRASTRUCTURE.STORAGE",'01_Formulario_A04'!$A:$A,0))="","— (a preencher em 01_Formulario_A04)",INDEX('01_Formulario_A04'!$D:$D,MATCH("D12-DOC-ETE-001.INFRASTRUCTURE.STORAGE",'01_Formulario_A04'!$A:$A,0))),"— (a preencher em 01_Formulario_A04)")</f>
        <v/>
      </c>
    </row>
    <row r="583">
      <c r="A583" s="13" t="inlineStr">
        <is>
          <t>D12-DOC-ETE-001.INFRASTRUCTURE.NETWORK</t>
        </is>
      </c>
      <c r="B583" s="2" t="inlineStr">
        <is>
          <t>network</t>
        </is>
      </c>
      <c r="C583" s="14">
        <f>IFERROR(IF(INDEX('01_Formulario_A04'!$D:$D,MATCH("D12-DOC-ETE-001.INFRASTRUCTURE.NETWORK",'01_Formulario_A04'!$A:$A,0))="","— (a preencher em 01_Formulario_A04)",INDEX('01_Formulario_A04'!$D:$D,MATCH("D12-DOC-ETE-001.INFRASTRUCTURE.NETWORK",'01_Formulario_A04'!$A:$A,0))),"— (a preencher em 01_Formulario_A04)")</f>
        <v/>
      </c>
    </row>
    <row r="584">
      <c r="A584" s="13" t="inlineStr">
        <is>
          <t>D12-DOC-ETE-001.ENVIRONMENTS.LOCAL</t>
        </is>
      </c>
      <c r="B584" s="2" t="inlineStr">
        <is>
          <t>local</t>
        </is>
      </c>
      <c r="C584" s="14">
        <f>IFERROR(IF(INDEX('01_Formulario_A04'!$D:$D,MATCH("D12-DOC-ETE-001.ENVIRONMENTS.LOCAL",'01_Formulario_A04'!$A:$A,0))="","— (a preencher em 01_Formulario_A04)",INDEX('01_Formulario_A04'!$D:$D,MATCH("D12-DOC-ETE-001.ENVIRONMENTS.LOCAL",'01_Formulario_A04'!$A:$A,0))),"— (a preencher em 01_Formulario_A04)")</f>
        <v/>
      </c>
    </row>
    <row r="585">
      <c r="A585" s="13" t="inlineStr">
        <is>
          <t>D12-DOC-ETE-001.ENVIRONMENTS.PREVIEW</t>
        </is>
      </c>
      <c r="B585" s="2" t="inlineStr">
        <is>
          <t>preview</t>
        </is>
      </c>
      <c r="C585" s="14">
        <f>IFERROR(IF(INDEX('01_Formulario_A04'!$D:$D,MATCH("D12-DOC-ETE-001.ENVIRONMENTS.PREVIEW",'01_Formulario_A04'!$A:$A,0))="","— (a preencher em 01_Formulario_A04)",INDEX('01_Formulario_A04'!$D:$D,MATCH("D12-DOC-ETE-001.ENVIRONMENTS.PREVIEW",'01_Formulario_A04'!$A:$A,0))),"— (a preencher em 01_Formulario_A04)")</f>
        <v/>
      </c>
    </row>
    <row r="586">
      <c r="A586" s="13" t="inlineStr">
        <is>
          <t>D12-DOC-ETE-001.ENVIRONMENTS.STAGING</t>
        </is>
      </c>
      <c r="B586" s="2" t="inlineStr">
        <is>
          <t>staging</t>
        </is>
      </c>
      <c r="C586" s="14">
        <f>IFERROR(IF(INDEX('01_Formulario_A04'!$D:$D,MATCH("D12-DOC-ETE-001.ENVIRONMENTS.STAGING",'01_Formulario_A04'!$A:$A,0))="","— (a preencher em 01_Formulario_A04)",INDEX('01_Formulario_A04'!$D:$D,MATCH("D12-DOC-ETE-001.ENVIRONMENTS.STAGING",'01_Formulario_A04'!$A:$A,0))),"— (a preencher em 01_Formulario_A04)")</f>
        <v/>
      </c>
    </row>
    <row r="587">
      <c r="A587" s="13" t="inlineStr">
        <is>
          <t>D12-DOC-ETE-001.ENVIRONMENTS.PRODUCTION</t>
        </is>
      </c>
      <c r="B587" s="2" t="inlineStr">
        <is>
          <t>production</t>
        </is>
      </c>
      <c r="C587" s="14">
        <f>IFERROR(IF(INDEX('01_Formulario_A04'!$D:$D,MATCH("D12-DOC-ETE-001.ENVIRONMENTS.PRODUCTION",'01_Formulario_A04'!$A:$A,0))="","— (a preencher em 01_Formulario_A04)",INDEX('01_Formulario_A04'!$D:$D,MATCH("D12-DOC-ETE-001.ENVIRONMENTS.PRODUCTION",'01_Formulario_A04'!$A:$A,0))),"— (a preencher em 01_Formulario_A04)")</f>
        <v/>
      </c>
    </row>
    <row r="588">
      <c r="A588" s="13" t="inlineStr">
        <is>
          <t>D12-DOC-ETE-001.CICD.BUILD</t>
        </is>
      </c>
      <c r="B588" s="2" t="inlineStr">
        <is>
          <t>build</t>
        </is>
      </c>
      <c r="C588" s="14">
        <f>IFERROR(IF(INDEX('01_Formulario_A04'!$D:$D,MATCH("D12-DOC-ETE-001.CICD.BUILD",'01_Formulario_A04'!$A:$A,0))="","— (a preencher em 01_Formulario_A04)",INDEX('01_Formulario_A04'!$D:$D,MATCH("D12-DOC-ETE-001.CICD.BUILD",'01_Formulario_A04'!$A:$A,0))),"— (a preencher em 01_Formulario_A04)")</f>
        <v/>
      </c>
    </row>
    <row r="589">
      <c r="A589" s="13" t="inlineStr">
        <is>
          <t>D12-DOC-ETE-001.CICD.TEST</t>
        </is>
      </c>
      <c r="B589" s="2" t="inlineStr">
        <is>
          <t>test</t>
        </is>
      </c>
      <c r="C589" s="14">
        <f>IFERROR(IF(INDEX('01_Formulario_A04'!$D:$D,MATCH("D12-DOC-ETE-001.CICD.TEST",'01_Formulario_A04'!$A:$A,0))="","— (a preencher em 01_Formulario_A04)",INDEX('01_Formulario_A04'!$D:$D,MATCH("D12-DOC-ETE-001.CICD.TEST",'01_Formulario_A04'!$A:$A,0))),"— (a preencher em 01_Formulario_A04)")</f>
        <v/>
      </c>
    </row>
    <row r="590">
      <c r="A590" s="13" t="inlineStr">
        <is>
          <t>D12-DOC-ETE-001.CICD.DEPLOY</t>
        </is>
      </c>
      <c r="B590" s="2" t="inlineStr">
        <is>
          <t>deploy</t>
        </is>
      </c>
      <c r="C590" s="14">
        <f>IFERROR(IF(INDEX('01_Formulario_A04'!$D:$D,MATCH("D12-DOC-ETE-001.CICD.DEPLOY",'01_Formulario_A04'!$A:$A,0))="","— (a preencher em 01_Formulario_A04)",INDEX('01_Formulario_A04'!$D:$D,MATCH("D12-DOC-ETE-001.CICD.DEPLOY",'01_Formulario_A04'!$A:$A,0))),"— (a preencher em 01_Formulario_A04)")</f>
        <v/>
      </c>
    </row>
    <row r="591">
      <c r="A591" s="13" t="inlineStr">
        <is>
          <t>D12-DOC-ETE-001.OBSERVABILITY.LOGS</t>
        </is>
      </c>
      <c r="B591" s="2" t="inlineStr">
        <is>
          <t>logs</t>
        </is>
      </c>
      <c r="C591" s="14">
        <f>IFERROR(IF(INDEX('01_Formulario_A04'!$D:$D,MATCH("D12-DOC-ETE-001.OBSERVABILITY.LOGS",'01_Formulario_A04'!$A:$A,0))="","— (a preencher em 01_Formulario_A04)",INDEX('01_Formulario_A04'!$D:$D,MATCH("D12-DOC-ETE-001.OBSERVABILITY.LOGS",'01_Formulario_A04'!$A:$A,0))),"— (a preencher em 01_Formulario_A04)")</f>
        <v/>
      </c>
    </row>
    <row r="592">
      <c r="A592" s="13" t="inlineStr">
        <is>
          <t>D12-DOC-ETE-001.OBSERVABILITY.METRICS</t>
        </is>
      </c>
      <c r="B592" s="2" t="inlineStr">
        <is>
          <t>metrics</t>
        </is>
      </c>
      <c r="C592" s="14">
        <f>IFERROR(IF(INDEX('01_Formulario_A04'!$D:$D,MATCH("D12-DOC-ETE-001.OBSERVABILITY.METRICS",'01_Formulario_A04'!$A:$A,0))="","— (a preencher em 01_Formulario_A04)",INDEX('01_Formulario_A04'!$D:$D,MATCH("D12-DOC-ETE-001.OBSERVABILITY.METRICS",'01_Formulario_A04'!$A:$A,0))),"— (a preencher em 01_Formulario_A04)")</f>
        <v/>
      </c>
    </row>
    <row r="593">
      <c r="A593" s="13" t="inlineStr">
        <is>
          <t>D12-DOC-ETE-001.OBSERVABILITY.ERRORS</t>
        </is>
      </c>
      <c r="B593" s="2" t="inlineStr">
        <is>
          <t>errors</t>
        </is>
      </c>
      <c r="C593" s="14">
        <f>IFERROR(IF(INDEX('01_Formulario_A04'!$D:$D,MATCH("D12-DOC-ETE-001.OBSERVABILITY.ERRORS",'01_Formulario_A04'!$A:$A,0))="","— (a preencher em 01_Formulario_A04)",INDEX('01_Formulario_A04'!$D:$D,MATCH("D12-DOC-ETE-001.OBSERVABILITY.ERRORS",'01_Formulario_A04'!$A:$A,0))),"— (a preencher em 01_Formulario_A04)")</f>
        <v/>
      </c>
    </row>
    <row r="594">
      <c r="A594" s="13" t="inlineStr">
        <is>
          <t>D12-DOC-ETE-001.PERFORMANCE.BUDGETS</t>
        </is>
      </c>
      <c r="B594" s="2" t="inlineStr">
        <is>
          <t>budgets</t>
        </is>
      </c>
      <c r="C594" s="14">
        <f>IFERROR(IF(INDEX('01_Formulario_A04'!$D:$D,MATCH("D12-DOC-ETE-001.PERFORMANCE.BUDGETS",'01_Formulario_A04'!$A:$A,0))="","— (a preencher em 01_Formulario_A04)",INDEX('01_Formulario_A04'!$D:$D,MATCH("D12-DOC-ETE-001.PERFORMANCE.BUDGETS",'01_Formulario_A04'!$A:$A,0))),"— (a preencher em 01_Formulario_A04)")</f>
        <v/>
      </c>
    </row>
    <row r="595">
      <c r="A595" s="13" t="inlineStr">
        <is>
          <t>D12-DOC-ETE-001.PERFORMANCE.LIMITES</t>
        </is>
      </c>
      <c r="B595" s="2" t="inlineStr">
        <is>
          <t>limites</t>
        </is>
      </c>
      <c r="C595" s="14">
        <f>IFERROR(IF(INDEX('01_Formulario_A04'!$D:$D,MATCH("D12-DOC-ETE-001.PERFORMANCE.LIMITES",'01_Formulario_A04'!$A:$A,0))="","— (a preencher em 01_Formulario_A04)",INDEX('01_Formulario_A04'!$D:$D,MATCH("D12-DOC-ETE-001.PERFORMANCE.LIMITES",'01_Formulario_A04'!$A:$A,0))),"— (a preencher em 01_Formulario_A04)")</f>
        <v/>
      </c>
    </row>
    <row r="596">
      <c r="A596" s="13" t="inlineStr">
        <is>
          <t>D12-DOC-ETE-001.SECURITY.SECRETS</t>
        </is>
      </c>
      <c r="B596" s="2" t="inlineStr">
        <is>
          <t>secrets</t>
        </is>
      </c>
      <c r="C596" s="14">
        <f>IFERROR(IF(INDEX('01_Formulario_A04'!$D:$D,MATCH("D12-DOC-ETE-001.SECURITY.SECRETS",'01_Formulario_A04'!$A:$A,0))="","— (a preencher em 01_Formulario_A04)",INDEX('01_Formulario_A04'!$D:$D,MATCH("D12-DOC-ETE-001.SECURITY.SECRETS",'01_Formulario_A04'!$A:$A,0))),"— (a preencher em 01_Formulario_A04)")</f>
        <v/>
      </c>
    </row>
    <row r="597">
      <c r="A597" s="13" t="inlineStr">
        <is>
          <t>D12-DOC-ETE-001.SECURITY.HEADERS</t>
        </is>
      </c>
      <c r="B597" s="2" t="inlineStr">
        <is>
          <t>headers</t>
        </is>
      </c>
      <c r="C597" s="14">
        <f>IFERROR(IF(INDEX('01_Formulario_A04'!$D:$D,MATCH("D12-DOC-ETE-001.SECURITY.HEADERS",'01_Formulario_A04'!$A:$A,0))="","— (a preencher em 01_Formulario_A04)",INDEX('01_Formulario_A04'!$D:$D,MATCH("D12-DOC-ETE-001.SECURITY.HEADERS",'01_Formulario_A04'!$A:$A,0))),"— (a preencher em 01_Formulario_A04)")</f>
        <v/>
      </c>
    </row>
    <row r="598">
      <c r="A598" s="13" t="inlineStr">
        <is>
          <t>D12-DOC-ETE-001.SECURITY.RATE_LIMIT</t>
        </is>
      </c>
      <c r="B598" s="2" t="inlineStr">
        <is>
          <t>rate_limit</t>
        </is>
      </c>
      <c r="C598" s="14">
        <f>IFERROR(IF(INDEX('01_Formulario_A04'!$D:$D,MATCH("D12-DOC-ETE-001.SECURITY.RATE_LIMIT",'01_Formulario_A04'!$A:$A,0))="","— (a preencher em 01_Formulario_A04)",INDEX('01_Formulario_A04'!$D:$D,MATCH("D12-DOC-ETE-001.SECURITY.RATE_LIMIT",'01_Formulario_A04'!$A:$A,0))),"— (a preencher em 01_Formulario_A04)")</f>
        <v/>
      </c>
    </row>
    <row r="599">
      <c r="A599" s="13" t="inlineStr">
        <is>
          <t>D12-DOC-ETE-001.TESTING.UNITARIO</t>
        </is>
      </c>
      <c r="B599" s="2" t="inlineStr">
        <is>
          <t>unitario</t>
        </is>
      </c>
      <c r="C599" s="14">
        <f>IFERROR(IF(INDEX('01_Formulario_A04'!$D:$D,MATCH("D12-DOC-ETE-001.TESTING.UNITARIO",'01_Formulario_A04'!$A:$A,0))="","— (a preencher em 01_Formulario_A04)",INDEX('01_Formulario_A04'!$D:$D,MATCH("D12-DOC-ETE-001.TESTING.UNITARIO",'01_Formulario_A04'!$A:$A,0))),"— (a preencher em 01_Formulario_A04)")</f>
        <v/>
      </c>
    </row>
    <row r="600">
      <c r="A600" s="13" t="inlineStr">
        <is>
          <t>D12-DOC-ETE-001.TESTING.INTEGRACAO</t>
        </is>
      </c>
      <c r="B600" s="2" t="inlineStr">
        <is>
          <t>integracao</t>
        </is>
      </c>
      <c r="C600" s="14">
        <f>IFERROR(IF(INDEX('01_Formulario_A04'!$D:$D,MATCH("D12-DOC-ETE-001.TESTING.INTEGRACAO",'01_Formulario_A04'!$A:$A,0))="","— (a preencher em 01_Formulario_A04)",INDEX('01_Formulario_A04'!$D:$D,MATCH("D12-DOC-ETE-001.TESTING.INTEGRACAO",'01_Formulario_A04'!$A:$A,0))),"— (a preencher em 01_Formulario_A04)")</f>
        <v/>
      </c>
    </row>
    <row r="601">
      <c r="A601" s="13" t="inlineStr">
        <is>
          <t>D12-DOC-ETE-001.TESTING.E2E</t>
        </is>
      </c>
      <c r="B601" s="2" t="inlineStr">
        <is>
          <t>e2e</t>
        </is>
      </c>
      <c r="C601" s="14">
        <f>IFERROR(IF(INDEX('01_Formulario_A04'!$D:$D,MATCH("D12-DOC-ETE-001.TESTING.E2E",'01_Formulario_A04'!$A:$A,0))="","— (a preencher em 01_Formulario_A04)",INDEX('01_Formulario_A04'!$D:$D,MATCH("D12-DOC-ETE-001.TESTING.E2E",'01_Formulario_A04'!$A:$A,0))),"— (a preencher em 01_Formulario_A04)")</f>
        <v/>
      </c>
    </row>
    <row r="602">
      <c r="A602" s="13" t="inlineStr">
        <is>
          <t>D12-DOC-ETE-001.DEPLOYMENT.PROCESSO</t>
        </is>
      </c>
      <c r="B602" s="2" t="inlineStr">
        <is>
          <t>processo</t>
        </is>
      </c>
      <c r="C602" s="14">
        <f>IFERROR(IF(INDEX('01_Formulario_A04'!$D:$D,MATCH("D12-DOC-ETE-001.DEPLOYMENT.PROCESSO",'01_Formulario_A04'!$A:$A,0))="","— (a preencher em 01_Formulario_A04)",INDEX('01_Formulario_A04'!$D:$D,MATCH("D12-DOC-ETE-001.DEPLOYMENT.PROCESSO",'01_Formulario_A04'!$A:$A,0))),"— (a preencher em 01_Formulario_A04)")</f>
        <v/>
      </c>
    </row>
    <row r="603">
      <c r="A603" s="13" t="inlineStr">
        <is>
          <t>D12-DOC-ETE-001.DEPLOYMENT.RELEASE</t>
        </is>
      </c>
      <c r="B603" s="2" t="inlineStr">
        <is>
          <t>release</t>
        </is>
      </c>
      <c r="C603" s="14">
        <f>IFERROR(IF(INDEX('01_Formulario_A04'!$D:$D,MATCH("D12-DOC-ETE-001.DEPLOYMENT.RELEASE",'01_Formulario_A04'!$A:$A,0))="","— (a preencher em 01_Formulario_A04)",INDEX('01_Formulario_A04'!$D:$D,MATCH("D12-DOC-ETE-001.DEPLOYMENT.RELEASE",'01_Formulario_A04'!$A:$A,0))),"— (a preencher em 01_Formulario_A04)")</f>
        <v/>
      </c>
    </row>
    <row r="604">
      <c r="A604" s="13" t="inlineStr">
        <is>
          <t>D12-DOC-ETE-001.ROLLBACK.CONDICAO</t>
        </is>
      </c>
      <c r="B604" s="2" t="inlineStr">
        <is>
          <t>condicao</t>
        </is>
      </c>
      <c r="C604" s="14">
        <f>IFERROR(IF(INDEX('01_Formulario_A04'!$D:$D,MATCH("D12-DOC-ETE-001.ROLLBACK.CONDICAO",'01_Formulario_A04'!$A:$A,0))="","— (a preencher em 01_Formulario_A04)",INDEX('01_Formulario_A04'!$D:$D,MATCH("D12-DOC-ETE-001.ROLLBACK.CONDICAO",'01_Formulario_A04'!$A:$A,0))),"— (a preencher em 01_Formulario_A04)")</f>
        <v/>
      </c>
    </row>
    <row r="605">
      <c r="A605" s="13" t="inlineStr">
        <is>
          <t>D12-DOC-ETE-001.ROLLBACK.PROCEDIMENTO</t>
        </is>
      </c>
      <c r="B605" s="2" t="inlineStr">
        <is>
          <t>procedimento</t>
        </is>
      </c>
      <c r="C605" s="14">
        <f>IFERROR(IF(INDEX('01_Formulario_A04'!$D:$D,MATCH("D12-DOC-ETE-001.ROLLBACK.PROCEDIMENTO",'01_Formulario_A04'!$A:$A,0))="","— (a preencher em 01_Formulario_A04)",INDEX('01_Formulario_A04'!$D:$D,MATCH("D12-DOC-ETE-001.ROLLBACK.PROCEDIMENTO",'01_Formulario_A04'!$A:$A,0))),"— (a preencher em 01_Formulario_A04)")</f>
        <v/>
      </c>
    </row>
    <row r="606">
      <c r="A606" s="13" t="inlineStr">
        <is>
          <t>D12-DOC-ETE-001.ADR_LINKS.DECISOES_ARQUITETURAIS</t>
        </is>
      </c>
      <c r="B606" s="2" t="inlineStr">
        <is>
          <t>decisoes_arquiteturais</t>
        </is>
      </c>
      <c r="C606" s="14">
        <f>IFERROR(IF(INDEX('01_Formulario_A04'!$D:$D,MATCH("D12-DOC-ETE-001.ADR_LINKS.DECISOES_ARQUITETURAIS",'01_Formulario_A04'!$A:$A,0))="","— (a preencher em 01_Formulario_A04)",INDEX('01_Formulario_A04'!$D:$D,MATCH("D12-DOC-ETE-001.ADR_LINKS.DECISOES_ARQUITETURAIS",'01_Formulario_A04'!$A:$A,0))),"— (a preencher em 01_Formulario_A04)")</f>
        <v/>
      </c>
    </row>
    <row r="607">
      <c r="A607" s="5" t="inlineStr">
        <is>
          <t>A05 — Operações, Plataforma, Deploy e Segurança</t>
        </is>
      </c>
      <c r="B607" s="6" t="n"/>
      <c r="C607" s="7" t="n"/>
    </row>
    <row r="608">
      <c r="A608" s="13" t="inlineStr">
        <is>
          <t>D08-DOC-MOP-001.OPERATING_MODEL.SERVICOS</t>
        </is>
      </c>
      <c r="B608" s="2" t="inlineStr">
        <is>
          <t>servicos</t>
        </is>
      </c>
      <c r="C608" s="14">
        <f>IFERROR(IF(INDEX('01_Formulario_A05'!$D:$D,MATCH("D08-DOC-MOP-001.OPERATING_MODEL.SERVICOS",'01_Formulario_A05'!$A:$A,0))="","— (a preencher em 01_Formulario_A05)",INDEX('01_Formulario_A05'!$D:$D,MATCH("D08-DOC-MOP-001.OPERATING_MODEL.SERVICOS",'01_Formulario_A05'!$A:$A,0))),"— (a preencher em 01_Formulario_A05)")</f>
        <v/>
      </c>
    </row>
    <row r="609">
      <c r="A609" s="13" t="inlineStr">
        <is>
          <t>D08-DOC-MOP-001.OPERATING_MODEL.PROCESSOS</t>
        </is>
      </c>
      <c r="B609" s="2" t="inlineStr">
        <is>
          <t>processos</t>
        </is>
      </c>
      <c r="C609" s="14">
        <f>IFERROR(IF(INDEX('01_Formulario_A05'!$D:$D,MATCH("D08-DOC-MOP-001.OPERATING_MODEL.PROCESSOS",'01_Formulario_A05'!$A:$A,0))="","— (a preencher em 01_Formulario_A05)",INDEX('01_Formulario_A05'!$D:$D,MATCH("D08-DOC-MOP-001.OPERATING_MODEL.PROCESSOS",'01_Formulario_A05'!$A:$A,0))),"— (a preencher em 01_Formulario_A05)")</f>
        <v/>
      </c>
    </row>
    <row r="610">
      <c r="A610" s="13" t="inlineStr">
        <is>
          <t>D08-DOC-MOP-001.PROCESS_INVENTORY.PROCESSO</t>
        </is>
      </c>
      <c r="B610" s="2" t="inlineStr">
        <is>
          <t>processo</t>
        </is>
      </c>
      <c r="C610" s="14">
        <f>IFERROR(IF(INDEX('01_Formulario_A05'!$D:$D,MATCH("D08-DOC-MOP-001.PROCESS_INVENTORY.PROCESSO",'01_Formulario_A05'!$A:$A,0))="","— (a preencher em 01_Formulario_A05)",INDEX('01_Formulario_A05'!$D:$D,MATCH("D08-DOC-MOP-001.PROCESS_INVENTORY.PROCESSO",'01_Formulario_A05'!$A:$A,0))),"— (a preencher em 01_Formulario_A05)")</f>
        <v/>
      </c>
    </row>
    <row r="611">
      <c r="A611" s="13" t="inlineStr">
        <is>
          <t>D08-DOC-MOP-001.PROCESS_INVENTORY.OBJETIVO</t>
        </is>
      </c>
      <c r="B611" s="2" t="inlineStr">
        <is>
          <t>objetivo</t>
        </is>
      </c>
      <c r="C611" s="14">
        <f>IFERROR(IF(INDEX('01_Formulario_A05'!$D:$D,MATCH("D08-DOC-MOP-001.PROCESS_INVENTORY.OBJETIVO",'01_Formulario_A05'!$A:$A,0))="","— (a preencher em 01_Formulario_A05)",INDEX('01_Formulario_A05'!$D:$D,MATCH("D08-DOC-MOP-001.PROCESS_INVENTORY.OBJETIVO",'01_Formulario_A05'!$A:$A,0))),"— (a preencher em 01_Formulario_A05)")</f>
        <v/>
      </c>
    </row>
    <row r="612">
      <c r="A612" s="13" t="inlineStr">
        <is>
          <t>D08-DOC-MOP-001.PROCESS_INVENTORY.OWNER</t>
        </is>
      </c>
      <c r="B612" s="2" t="inlineStr">
        <is>
          <t>owner</t>
        </is>
      </c>
      <c r="C612" s="14">
        <f>IFERROR(IF(INDEX('01_Formulario_A05'!$D:$D,MATCH("D08-DOC-MOP-001.PROCESS_INVENTORY.OWNER",'01_Formulario_A05'!$A:$A,0))="","— (a preencher em 01_Formulario_A05)",INDEX('01_Formulario_A05'!$D:$D,MATCH("D08-DOC-MOP-001.PROCESS_INVENTORY.OWNER",'01_Formulario_A05'!$A:$A,0))),"— (a preencher em 01_Formulario_A05)")</f>
        <v/>
      </c>
    </row>
    <row r="613">
      <c r="A613" s="13" t="inlineStr">
        <is>
          <t>D08-DOC-MOP-001.INPUTS.ENTRADA</t>
        </is>
      </c>
      <c r="B613" s="2" t="inlineStr">
        <is>
          <t>entrada</t>
        </is>
      </c>
      <c r="C613" s="14">
        <f>IFERROR(IF(INDEX('01_Formulario_A05'!$D:$D,MATCH("D08-DOC-MOP-001.INPUTS.ENTRADA",'01_Formulario_A05'!$A:$A,0))="","— (a preencher em 01_Formulario_A05)",INDEX('01_Formulario_A05'!$D:$D,MATCH("D08-DOC-MOP-001.INPUTS.ENTRADA",'01_Formulario_A05'!$A:$A,0))),"— (a preencher em 01_Formulario_A05)")</f>
        <v/>
      </c>
    </row>
    <row r="614">
      <c r="A614" s="13" t="inlineStr">
        <is>
          <t>D08-DOC-MOP-001.INPUTS.ORIGEM</t>
        </is>
      </c>
      <c r="B614" s="2" t="inlineStr">
        <is>
          <t>origem</t>
        </is>
      </c>
      <c r="C614" s="14">
        <f>IFERROR(IF(INDEX('01_Formulario_A05'!$D:$D,MATCH("D08-DOC-MOP-001.INPUTS.ORIGEM",'01_Formulario_A05'!$A:$A,0))="","— (a preencher em 01_Formulario_A05)",INDEX('01_Formulario_A05'!$D:$D,MATCH("D08-DOC-MOP-001.INPUTS.ORIGEM",'01_Formulario_A05'!$A:$A,0))),"— (a preencher em 01_Formulario_A05)")</f>
        <v/>
      </c>
    </row>
    <row r="615">
      <c r="A615" s="13" t="inlineStr">
        <is>
          <t>D08-DOC-MOP-001.PROCEDURES.ETAPAS</t>
        </is>
      </c>
      <c r="B615" s="2" t="inlineStr">
        <is>
          <t>etapas</t>
        </is>
      </c>
      <c r="C615" s="14">
        <f>IFERROR(IF(INDEX('01_Formulario_A05'!$D:$D,MATCH("D08-DOC-MOP-001.PROCEDURES.ETAPAS",'01_Formulario_A05'!$A:$A,0))="","— (a preencher em 01_Formulario_A05)",INDEX('01_Formulario_A05'!$D:$D,MATCH("D08-DOC-MOP-001.PROCEDURES.ETAPAS",'01_Formulario_A05'!$A:$A,0))),"— (a preencher em 01_Formulario_A05)")</f>
        <v/>
      </c>
    </row>
    <row r="616">
      <c r="A616" s="13" t="inlineStr">
        <is>
          <t>D08-DOC-MOP-001.PROCEDURES.REGRA</t>
        </is>
      </c>
      <c r="B616" s="2" t="inlineStr">
        <is>
          <t>regra</t>
        </is>
      </c>
      <c r="C616" s="14">
        <f>IFERROR(IF(INDEX('01_Formulario_A05'!$D:$D,MATCH("D08-DOC-MOP-001.PROCEDURES.REGRA",'01_Formulario_A05'!$A:$A,0))="","— (a preencher em 01_Formulario_A05)",INDEX('01_Formulario_A05'!$D:$D,MATCH("D08-DOC-MOP-001.PROCEDURES.REGRA",'01_Formulario_A05'!$A:$A,0))),"— (a preencher em 01_Formulario_A05)")</f>
        <v/>
      </c>
    </row>
    <row r="617">
      <c r="A617" s="13" t="inlineStr">
        <is>
          <t>D08-DOC-MOP-001.OUTPUTS.SAIDA</t>
        </is>
      </c>
      <c r="B617" s="2" t="inlineStr">
        <is>
          <t>saida</t>
        </is>
      </c>
      <c r="C617" s="14">
        <f>IFERROR(IF(INDEX('01_Formulario_A05'!$D:$D,MATCH("D08-DOC-MOP-001.OUTPUTS.SAIDA",'01_Formulario_A05'!$A:$A,0))="","— (a preencher em 01_Formulario_A05)",INDEX('01_Formulario_A05'!$D:$D,MATCH("D08-DOC-MOP-001.OUTPUTS.SAIDA",'01_Formulario_A05'!$A:$A,0))),"— (a preencher em 01_Formulario_A05)")</f>
        <v/>
      </c>
    </row>
    <row r="618">
      <c r="A618" s="13" t="inlineStr">
        <is>
          <t>D08-DOC-MOP-001.OUTPUTS.CONSUMIDOR</t>
        </is>
      </c>
      <c r="B618" s="2" t="inlineStr">
        <is>
          <t>consumidor</t>
        </is>
      </c>
      <c r="C618" s="14">
        <f>IFERROR(IF(INDEX('01_Formulario_A05'!$D:$D,MATCH("D08-DOC-MOP-001.OUTPUTS.CONSUMIDOR",'01_Formulario_A05'!$A:$A,0))="","— (a preencher em 01_Formulario_A05)",INDEX('01_Formulario_A05'!$D:$D,MATCH("D08-DOC-MOP-001.OUTPUTS.CONSUMIDOR",'01_Formulario_A05'!$A:$A,0))),"— (a preencher em 01_Formulario_A05)")</f>
        <v/>
      </c>
    </row>
    <row r="619">
      <c r="A619" s="13" t="inlineStr">
        <is>
          <t>D08-DOC-MOP-001.ROLES.EXECUTOR</t>
        </is>
      </c>
      <c r="B619" s="2" t="inlineStr">
        <is>
          <t>executor</t>
        </is>
      </c>
      <c r="C619" s="14">
        <f>IFERROR(IF(INDEX('01_Formulario_A05'!$D:$D,MATCH("D08-DOC-MOP-001.ROLES.EXECUTOR",'01_Formulario_A05'!$A:$A,0))="","— (a preencher em 01_Formulario_A05)",INDEX('01_Formulario_A05'!$D:$D,MATCH("D08-DOC-MOP-001.ROLES.EXECUTOR",'01_Formulario_A05'!$A:$A,0))),"— (a preencher em 01_Formulario_A05)")</f>
        <v/>
      </c>
    </row>
    <row r="620">
      <c r="A620" s="13" t="inlineStr">
        <is>
          <t>D08-DOC-MOP-001.ROLES.APROVADOR</t>
        </is>
      </c>
      <c r="B620" s="2" t="inlineStr">
        <is>
          <t>aprovador</t>
        </is>
      </c>
      <c r="C620" s="14">
        <f>IFERROR(IF(INDEX('01_Formulario_A05'!$D:$D,MATCH("D08-DOC-MOP-001.ROLES.APROVADOR",'01_Formulario_A05'!$A:$A,0))="","— (a preencher em 01_Formulario_A05)",INDEX('01_Formulario_A05'!$D:$D,MATCH("D08-DOC-MOP-001.ROLES.APROVADOR",'01_Formulario_A05'!$A:$A,0))),"— (a preencher em 01_Formulario_A05)")</f>
        <v/>
      </c>
    </row>
    <row r="621">
      <c r="A621" s="13" t="inlineStr">
        <is>
          <t>D08-DOC-MOP-001.CONTROLS.CONTROLE</t>
        </is>
      </c>
      <c r="B621" s="2" t="inlineStr">
        <is>
          <t>controle</t>
        </is>
      </c>
      <c r="C621" s="14">
        <f>IFERROR(IF(INDEX('01_Formulario_A05'!$D:$D,MATCH("D08-DOC-MOP-001.CONTROLS.CONTROLE",'01_Formulario_A05'!$A:$A,0))="","— (a preencher em 01_Formulario_A05)",INDEX('01_Formulario_A05'!$D:$D,MATCH("D08-DOC-MOP-001.CONTROLS.CONTROLE",'01_Formulario_A05'!$A:$A,0))),"— (a preencher em 01_Formulario_A05)")</f>
        <v/>
      </c>
    </row>
    <row r="622">
      <c r="A622" s="13" t="inlineStr">
        <is>
          <t>D08-DOC-MOP-001.CONTROLS.FREQUENCIA</t>
        </is>
      </c>
      <c r="B622" s="2" t="inlineStr">
        <is>
          <t>frequencia</t>
        </is>
      </c>
      <c r="C622" s="14">
        <f>IFERROR(IF(INDEX('01_Formulario_A05'!$D:$D,MATCH("D08-DOC-MOP-001.CONTROLS.FREQUENCIA",'01_Formulario_A05'!$A:$A,0))="","— (a preencher em 01_Formulario_A05)",INDEX('01_Formulario_A05'!$D:$D,MATCH("D08-DOC-MOP-001.CONTROLS.FREQUENCIA",'01_Formulario_A05'!$A:$A,0))),"— (a preencher em 01_Formulario_A05)")</f>
        <v/>
      </c>
    </row>
    <row r="623">
      <c r="A623" s="13" t="inlineStr">
        <is>
          <t>D08-DOC-MOP-001.SLA.SERVICO</t>
        </is>
      </c>
      <c r="B623" s="2" t="inlineStr">
        <is>
          <t>servico</t>
        </is>
      </c>
      <c r="C623" s="14">
        <f>IFERROR(IF(INDEX('01_Formulario_A05'!$D:$D,MATCH("D08-DOC-MOP-001.SLA.SERVICO",'01_Formulario_A05'!$A:$A,0))="","— (a preencher em 01_Formulario_A05)",INDEX('01_Formulario_A05'!$D:$D,MATCH("D08-DOC-MOP-001.SLA.SERVICO",'01_Formulario_A05'!$A:$A,0))),"— (a preencher em 01_Formulario_A05)")</f>
        <v/>
      </c>
    </row>
    <row r="624">
      <c r="A624" s="13" t="inlineStr">
        <is>
          <t>D08-DOC-MOP-001.SLA.META</t>
        </is>
      </c>
      <c r="B624" s="2" t="inlineStr">
        <is>
          <t>meta</t>
        </is>
      </c>
      <c r="C624" s="14">
        <f>IFERROR(IF(INDEX('01_Formulario_A05'!$D:$D,MATCH("D08-DOC-MOP-001.SLA.META",'01_Formulario_A05'!$A:$A,0))="","— (a preencher em 01_Formulario_A05)",INDEX('01_Formulario_A05'!$D:$D,MATCH("D08-DOC-MOP-001.SLA.META",'01_Formulario_A05'!$A:$A,0))),"— (a preencher em 01_Formulario_A05)")</f>
        <v/>
      </c>
    </row>
    <row r="625">
      <c r="A625" s="13" t="inlineStr">
        <is>
          <t>D08-DOC-MOP-001.HANDOFFS.ORIGEM</t>
        </is>
      </c>
      <c r="B625" s="2" t="inlineStr">
        <is>
          <t>origem</t>
        </is>
      </c>
      <c r="C625" s="14">
        <f>IFERROR(IF(INDEX('01_Formulario_A05'!$D:$D,MATCH("D08-DOC-MOP-001.HANDOFFS.ORIGEM",'01_Formulario_A05'!$A:$A,0))="","— (a preencher em 01_Formulario_A05)",INDEX('01_Formulario_A05'!$D:$D,MATCH("D08-DOC-MOP-001.HANDOFFS.ORIGEM",'01_Formulario_A05'!$A:$A,0))),"— (a preencher em 01_Formulario_A05)")</f>
        <v/>
      </c>
    </row>
    <row r="626">
      <c r="A626" s="13" t="inlineStr">
        <is>
          <t>D08-DOC-MOP-001.HANDOFFS.DESTINO</t>
        </is>
      </c>
      <c r="B626" s="2" t="inlineStr">
        <is>
          <t>destino</t>
        </is>
      </c>
      <c r="C626" s="14">
        <f>IFERROR(IF(INDEX('01_Formulario_A05'!$D:$D,MATCH("D08-DOC-MOP-001.HANDOFFS.DESTINO",'01_Formulario_A05'!$A:$A,0))="","— (a preencher em 01_Formulario_A05)",INDEX('01_Formulario_A05'!$D:$D,MATCH("D08-DOC-MOP-001.HANDOFFS.DESTINO",'01_Formulario_A05'!$A:$A,0))),"— (a preencher em 01_Formulario_A05)")</f>
        <v/>
      </c>
    </row>
    <row r="627">
      <c r="A627" s="13" t="inlineStr">
        <is>
          <t>D08-DOC-MOP-001.INCIDENTS.TIPO</t>
        </is>
      </c>
      <c r="B627" s="2" t="inlineStr">
        <is>
          <t>tipo</t>
        </is>
      </c>
      <c r="C627" s="14">
        <f>IFERROR(IF(INDEX('01_Formulario_A05'!$D:$D,MATCH("D08-DOC-MOP-001.INCIDENTS.TIPO",'01_Formulario_A05'!$A:$A,0))="","— (a preencher em 01_Formulario_A05)",INDEX('01_Formulario_A05'!$D:$D,MATCH("D08-DOC-MOP-001.INCIDENTS.TIPO",'01_Formulario_A05'!$A:$A,0))),"— (a preencher em 01_Formulario_A05)")</f>
        <v/>
      </c>
    </row>
    <row r="628">
      <c r="A628" s="13" t="inlineStr">
        <is>
          <t>D08-DOC-MOP-001.INCIDENTS.RESPOSTA</t>
        </is>
      </c>
      <c r="B628" s="2" t="inlineStr">
        <is>
          <t>resposta</t>
        </is>
      </c>
      <c r="C628" s="14">
        <f>IFERROR(IF(INDEX('01_Formulario_A05'!$D:$D,MATCH("D08-DOC-MOP-001.INCIDENTS.RESPOSTA",'01_Formulario_A05'!$A:$A,0))="","— (a preencher em 01_Formulario_A05)",INDEX('01_Formulario_A05'!$D:$D,MATCH("D08-DOC-MOP-001.INCIDENTS.RESPOSTA",'01_Formulario_A05'!$A:$A,0))),"— (a preencher em 01_Formulario_A05)")</f>
        <v/>
      </c>
    </row>
    <row r="629">
      <c r="A629" s="13" t="inlineStr">
        <is>
          <t>D08-DOC-MOP-001.CONTINUITY.BACKUP</t>
        </is>
      </c>
      <c r="B629" s="2" t="inlineStr">
        <is>
          <t>backup</t>
        </is>
      </c>
      <c r="C629" s="14">
        <f>IFERROR(IF(INDEX('01_Formulario_A05'!$D:$D,MATCH("D08-DOC-MOP-001.CONTINUITY.BACKUP",'01_Formulario_A05'!$A:$A,0))="","— (a preencher em 01_Formulario_A05)",INDEX('01_Formulario_A05'!$D:$D,MATCH("D08-DOC-MOP-001.CONTINUITY.BACKUP",'01_Formulario_A05'!$A:$A,0))),"— (a preencher em 01_Formulario_A05)")</f>
        <v/>
      </c>
    </row>
    <row r="630">
      <c r="A630" s="13" t="inlineStr">
        <is>
          <t>D08-DOC-MOP-001.CONTINUITY.CONTINGENCIA</t>
        </is>
      </c>
      <c r="B630" s="2" t="inlineStr">
        <is>
          <t>contingencia</t>
        </is>
      </c>
      <c r="C630" s="14">
        <f>IFERROR(IF(INDEX('01_Formulario_A05'!$D:$D,MATCH("D08-DOC-MOP-001.CONTINUITY.CONTINGENCIA",'01_Formulario_A05'!$A:$A,0))="","— (a preencher em 01_Formulario_A05)",INDEX('01_Formulario_A05'!$D:$D,MATCH("D08-DOC-MOP-001.CONTINUITY.CONTINGENCIA",'01_Formulario_A05'!$A:$A,0))),"— (a preencher em 01_Formulario_A05)")</f>
        <v/>
      </c>
    </row>
    <row r="631">
      <c r="A631" s="13" t="inlineStr">
        <is>
          <t>D08-DOC-MOP-001.METRICS.VOLUME</t>
        </is>
      </c>
      <c r="B631" s="2" t="inlineStr">
        <is>
          <t>volume</t>
        </is>
      </c>
      <c r="C631" s="14">
        <f>IFERROR(IF(INDEX('01_Formulario_A05'!$D:$D,MATCH("D08-DOC-MOP-001.METRICS.VOLUME",'01_Formulario_A05'!$A:$A,0))="","— (a preencher em 01_Formulario_A05)",INDEX('01_Formulario_A05'!$D:$D,MATCH("D08-DOC-MOP-001.METRICS.VOLUME",'01_Formulario_A05'!$A:$A,0))),"— (a preencher em 01_Formulario_A05)")</f>
        <v/>
      </c>
    </row>
    <row r="632">
      <c r="A632" s="13" t="inlineStr">
        <is>
          <t>D08-DOC-MOP-001.METRICS.TEMPO</t>
        </is>
      </c>
      <c r="B632" s="2" t="inlineStr">
        <is>
          <t>tempo</t>
        </is>
      </c>
      <c r="C632" s="14">
        <f>IFERROR(IF(INDEX('01_Formulario_A05'!$D:$D,MATCH("D08-DOC-MOP-001.METRICS.TEMPO",'01_Formulario_A05'!$A:$A,0))="","— (a preencher em 01_Formulario_A05)",INDEX('01_Formulario_A05'!$D:$D,MATCH("D08-DOC-MOP-001.METRICS.TEMPO",'01_Formulario_A05'!$A:$A,0))),"— (a preencher em 01_Formulario_A05)")</f>
        <v/>
      </c>
    </row>
    <row r="633">
      <c r="A633" s="13" t="inlineStr">
        <is>
          <t>D08-DOC-MOP-001.METRICS.ERRO</t>
        </is>
      </c>
      <c r="B633" s="2" t="inlineStr">
        <is>
          <t>erro</t>
        </is>
      </c>
      <c r="C633" s="14">
        <f>IFERROR(IF(INDEX('01_Formulario_A05'!$D:$D,MATCH("D08-DOC-MOP-001.METRICS.ERRO",'01_Formulario_A05'!$A:$A,0))="","— (a preencher em 01_Formulario_A05)",INDEX('01_Formulario_A05'!$D:$D,MATCH("D08-DOC-MOP-001.METRICS.ERRO",'01_Formulario_A05'!$A:$A,0))),"— (a preencher em 01_Formulario_A05)")</f>
        <v/>
      </c>
    </row>
    <row r="634">
      <c r="A634" s="13" t="inlineStr">
        <is>
          <t>D08-DOC-MOP-001.METRICS.QUALIDADE</t>
        </is>
      </c>
      <c r="B634" s="2" t="inlineStr">
        <is>
          <t>qualidade</t>
        </is>
      </c>
      <c r="C634" s="14">
        <f>IFERROR(IF(INDEX('01_Formulario_A05'!$D:$D,MATCH("D08-DOC-MOP-001.METRICS.QUALIDADE",'01_Formulario_A05'!$A:$A,0))="","— (a preencher em 01_Formulario_A05)",INDEX('01_Formulario_A05'!$D:$D,MATCH("D08-DOC-MOP-001.METRICS.QUALIDADE",'01_Formulario_A05'!$A:$A,0))),"— (a preencher em 01_Formulario_A05)")</f>
        <v/>
      </c>
    </row>
    <row r="635">
      <c r="A635" s="13" t="inlineStr">
        <is>
          <t>D08-DOC-RUN-001.SCHEMA.RUNBOOK_ID</t>
        </is>
      </c>
      <c r="B635" s="2" t="inlineStr">
        <is>
          <t>runbook_id</t>
        </is>
      </c>
      <c r="C635" s="14">
        <f>IFERROR(IF(INDEX('01_Formulario_A05'!$D:$D,MATCH("D08-DOC-RUN-001.SCHEMA.RUNBOOK_ID",'01_Formulario_A05'!$A:$A,0))="","— (a preencher em 01_Formulario_A05)",INDEX('01_Formulario_A05'!$D:$D,MATCH("D08-DOC-RUN-001.SCHEMA.RUNBOOK_ID",'01_Formulario_A05'!$A:$A,0))),"— (a preencher em 01_Formulario_A05)")</f>
        <v/>
      </c>
    </row>
    <row r="636">
      <c r="A636" s="13" t="inlineStr">
        <is>
          <t>D08-DOC-RUN-001.SCHEMA.NOME</t>
        </is>
      </c>
      <c r="B636" s="2" t="inlineStr">
        <is>
          <t>nome</t>
        </is>
      </c>
      <c r="C636" s="14">
        <f>IFERROR(IF(INDEX('01_Formulario_A05'!$D:$D,MATCH("D08-DOC-RUN-001.SCHEMA.NOME",'01_Formulario_A05'!$A:$A,0))="","— (a preencher em 01_Formulario_A05)",INDEX('01_Formulario_A05'!$D:$D,MATCH("D08-DOC-RUN-001.SCHEMA.NOME",'01_Formulario_A05'!$A:$A,0))),"— (a preencher em 01_Formulario_A05)")</f>
        <v/>
      </c>
    </row>
    <row r="637">
      <c r="A637" s="13" t="inlineStr">
        <is>
          <t>D08-DOC-RUN-001.SCHEMA.OBJETIVO</t>
        </is>
      </c>
      <c r="B637" s="2" t="inlineStr">
        <is>
          <t>objetivo</t>
        </is>
      </c>
      <c r="C637" s="14">
        <f>IFERROR(IF(INDEX('01_Formulario_A05'!$D:$D,MATCH("D08-DOC-RUN-001.SCHEMA.OBJETIVO",'01_Formulario_A05'!$A:$A,0))="","— (a preencher em 01_Formulario_A05)",INDEX('01_Formulario_A05'!$D:$D,MATCH("D08-DOC-RUN-001.SCHEMA.OBJETIVO",'01_Formulario_A05'!$A:$A,0))),"— (a preencher em 01_Formulario_A05)")</f>
        <v/>
      </c>
    </row>
    <row r="638">
      <c r="A638" s="13" t="inlineStr">
        <is>
          <t>D08-DOC-RUN-001.SCHEMA.TRIGGER</t>
        </is>
      </c>
      <c r="B638" s="2" t="inlineStr">
        <is>
          <t>trigger</t>
        </is>
      </c>
      <c r="C638" s="14">
        <f>IFERROR(IF(INDEX('01_Formulario_A05'!$D:$D,MATCH("D08-DOC-RUN-001.SCHEMA.TRIGGER",'01_Formulario_A05'!$A:$A,0))="","— (a preencher em 01_Formulario_A05)",INDEX('01_Formulario_A05'!$D:$D,MATCH("D08-DOC-RUN-001.SCHEMA.TRIGGER",'01_Formulario_A05'!$A:$A,0))),"— (a preencher em 01_Formulario_A05)")</f>
        <v/>
      </c>
    </row>
    <row r="639">
      <c r="A639" s="13" t="inlineStr">
        <is>
          <t>D08-DOC-RUN-001.SCHEMA.PRECONDICOES</t>
        </is>
      </c>
      <c r="B639" s="2" t="inlineStr">
        <is>
          <t>precondicoes</t>
        </is>
      </c>
      <c r="C639" s="14">
        <f>IFERROR(IF(INDEX('01_Formulario_A05'!$D:$D,MATCH("D08-DOC-RUN-001.SCHEMA.PRECONDICOES",'01_Formulario_A05'!$A:$A,0))="","— (a preencher em 01_Formulario_A05)",INDEX('01_Formulario_A05'!$D:$D,MATCH("D08-DOC-RUN-001.SCHEMA.PRECONDICOES",'01_Formulario_A05'!$A:$A,0))),"— (a preencher em 01_Formulario_A05)")</f>
        <v/>
      </c>
    </row>
    <row r="640">
      <c r="A640" s="13" t="inlineStr">
        <is>
          <t>D08-DOC-RUN-001.SCHEMA.SISTEMAS</t>
        </is>
      </c>
      <c r="B640" s="2" t="inlineStr">
        <is>
          <t>sistemas</t>
        </is>
      </c>
      <c r="C640" s="14">
        <f>IFERROR(IF(INDEX('01_Formulario_A05'!$D:$D,MATCH("D08-DOC-RUN-001.SCHEMA.SISTEMAS",'01_Formulario_A05'!$A:$A,0))="","— (a preencher em 01_Formulario_A05)",INDEX('01_Formulario_A05'!$D:$D,MATCH("D08-DOC-RUN-001.SCHEMA.SISTEMAS",'01_Formulario_A05'!$A:$A,0))),"— (a preencher em 01_Formulario_A05)")</f>
        <v/>
      </c>
    </row>
    <row r="641">
      <c r="A641" s="13" t="inlineStr">
        <is>
          <t>D08-DOC-RUN-001.SCHEMA.CREDENCIAIS_NECESSARIAS</t>
        </is>
      </c>
      <c r="B641" s="2" t="inlineStr">
        <is>
          <t>credenciais_necessarias</t>
        </is>
      </c>
      <c r="C641" s="14">
        <f>IFERROR(IF(INDEX('01_Formulario_A05'!$D:$D,MATCH("D08-DOC-RUN-001.SCHEMA.CREDENCIAIS_NECESSARIAS",'01_Formulario_A05'!$A:$A,0))="","— (a preencher em 01_Formulario_A05)",INDEX('01_Formulario_A05'!$D:$D,MATCH("D08-DOC-RUN-001.SCHEMA.CREDENCIAIS_NECESSARIAS",'01_Formulario_A05'!$A:$A,0))),"— (a preencher em 01_Formulario_A05)")</f>
        <v/>
      </c>
    </row>
    <row r="642">
      <c r="A642" s="13" t="inlineStr">
        <is>
          <t>D08-DOC-RUN-001.SCHEMA.PASSOS</t>
        </is>
      </c>
      <c r="B642" s="2" t="inlineStr">
        <is>
          <t>passos</t>
        </is>
      </c>
      <c r="C642" s="14">
        <f>IFERROR(IF(INDEX('01_Formulario_A05'!$D:$D,MATCH("D08-DOC-RUN-001.SCHEMA.PASSOS",'01_Formulario_A05'!$A:$A,0))="","— (a preencher em 01_Formulario_A05)",INDEX('01_Formulario_A05'!$D:$D,MATCH("D08-DOC-RUN-001.SCHEMA.PASSOS",'01_Formulario_A05'!$A:$A,0))),"— (a preencher em 01_Formulario_A05)")</f>
        <v/>
      </c>
    </row>
    <row r="643">
      <c r="A643" s="13" t="inlineStr">
        <is>
          <t>D08-DOC-RUN-001.SCHEMA.RESULTADO_ESPERADO</t>
        </is>
      </c>
      <c r="B643" s="2" t="inlineStr">
        <is>
          <t>resultado_esperado</t>
        </is>
      </c>
      <c r="C643" s="14">
        <f>IFERROR(IF(INDEX('01_Formulario_A05'!$D:$D,MATCH("D08-DOC-RUN-001.SCHEMA.RESULTADO_ESPERADO",'01_Formulario_A05'!$A:$A,0))="","— (a preencher em 01_Formulario_A05)",INDEX('01_Formulario_A05'!$D:$D,MATCH("D08-DOC-RUN-001.SCHEMA.RESULTADO_ESPERADO",'01_Formulario_A05'!$A:$A,0))),"— (a preencher em 01_Formulario_A05)")</f>
        <v/>
      </c>
    </row>
    <row r="644">
      <c r="A644" s="13" t="inlineStr">
        <is>
          <t>D08-DOC-RUN-001.SCHEMA.VERIFICACAO</t>
        </is>
      </c>
      <c r="B644" s="2" t="inlineStr">
        <is>
          <t>verificacao</t>
        </is>
      </c>
      <c r="C644" s="14">
        <f>IFERROR(IF(INDEX('01_Formulario_A05'!$D:$D,MATCH("D08-DOC-RUN-001.SCHEMA.VERIFICACAO",'01_Formulario_A05'!$A:$A,0))="","— (a preencher em 01_Formulario_A05)",INDEX('01_Formulario_A05'!$D:$D,MATCH("D08-DOC-RUN-001.SCHEMA.VERIFICACAO",'01_Formulario_A05'!$A:$A,0))),"— (a preencher em 01_Formulario_A05)")</f>
        <v/>
      </c>
    </row>
    <row r="645">
      <c r="A645" s="13" t="inlineStr">
        <is>
          <t>D08-DOC-RUN-001.SCHEMA.EVIDENCIA</t>
        </is>
      </c>
      <c r="B645" s="2" t="inlineStr">
        <is>
          <t>evidencia</t>
        </is>
      </c>
      <c r="C645" s="14">
        <f>IFERROR(IF(INDEX('01_Formulario_A05'!$D:$D,MATCH("D08-DOC-RUN-001.SCHEMA.EVIDENCIA",'01_Formulario_A05'!$A:$A,0))="","— (a preencher em 01_Formulario_A05)",INDEX('01_Formulario_A05'!$D:$D,MATCH("D08-DOC-RUN-001.SCHEMA.EVIDENCIA",'01_Formulario_A05'!$A:$A,0))),"— (a preencher em 01_Formulario_A05)")</f>
        <v/>
      </c>
    </row>
    <row r="646">
      <c r="A646" s="13" t="inlineStr">
        <is>
          <t>D08-DOC-RUN-001.SCHEMA.EXCECOES</t>
        </is>
      </c>
      <c r="B646" s="2" t="inlineStr">
        <is>
          <t>excecoes</t>
        </is>
      </c>
      <c r="C646" s="14">
        <f>IFERROR(IF(INDEX('01_Formulario_A05'!$D:$D,MATCH("D08-DOC-RUN-001.SCHEMA.EXCECOES",'01_Formulario_A05'!$A:$A,0))="","— (a preencher em 01_Formulario_A05)",INDEX('01_Formulario_A05'!$D:$D,MATCH("D08-DOC-RUN-001.SCHEMA.EXCECOES",'01_Formulario_A05'!$A:$A,0))),"— (a preencher em 01_Formulario_A05)")</f>
        <v/>
      </c>
    </row>
    <row r="647">
      <c r="A647" s="13" t="inlineStr">
        <is>
          <t>D08-DOC-RUN-001.SCHEMA.ROLLBACK</t>
        </is>
      </c>
      <c r="B647" s="2" t="inlineStr">
        <is>
          <t>rollback</t>
        </is>
      </c>
      <c r="C647" s="14">
        <f>IFERROR(IF(INDEX('01_Formulario_A05'!$D:$D,MATCH("D08-DOC-RUN-001.SCHEMA.ROLLBACK",'01_Formulario_A05'!$A:$A,0))="","— (a preencher em 01_Formulario_A05)",INDEX('01_Formulario_A05'!$D:$D,MATCH("D08-DOC-RUN-001.SCHEMA.ROLLBACK",'01_Formulario_A05'!$A:$A,0))),"— (a preencher em 01_Formulario_A05)")</f>
        <v/>
      </c>
    </row>
    <row r="648">
      <c r="A648" s="13" t="inlineStr">
        <is>
          <t>D08-DOC-RUN-001.SCHEMA.ESCALACAO</t>
        </is>
      </c>
      <c r="B648" s="2" t="inlineStr">
        <is>
          <t>escalacao</t>
        </is>
      </c>
      <c r="C648" s="14">
        <f>IFERROR(IF(INDEX('01_Formulario_A05'!$D:$D,MATCH("D08-DOC-RUN-001.SCHEMA.ESCALACAO",'01_Formulario_A05'!$A:$A,0))="","— (a preencher em 01_Formulario_A05)",INDEX('01_Formulario_A05'!$D:$D,MATCH("D08-DOC-RUN-001.SCHEMA.ESCALACAO",'01_Formulario_A05'!$A:$A,0))),"— (a preencher em 01_Formulario_A05)")</f>
        <v/>
      </c>
    </row>
    <row r="649">
      <c r="A649" s="13" t="inlineStr">
        <is>
          <t>D08-DOC-RUN-001.SCHEMA.OWNER</t>
        </is>
      </c>
      <c r="B649" s="2" t="inlineStr">
        <is>
          <t>owner</t>
        </is>
      </c>
      <c r="C649" s="14">
        <f>IFERROR(IF(INDEX('01_Formulario_A05'!$D:$D,MATCH("D08-DOC-RUN-001.SCHEMA.OWNER",'01_Formulario_A05'!$A:$A,0))="","— (a preencher em 01_Formulario_A05)",INDEX('01_Formulario_A05'!$D:$D,MATCH("D08-DOC-RUN-001.SCHEMA.OWNER",'01_Formulario_A05'!$A:$A,0))),"— (a preencher em 01_Formulario_A05)")</f>
        <v/>
      </c>
    </row>
    <row r="650">
      <c r="A650" s="13" t="inlineStr">
        <is>
          <t>D08-DOC-RUN-001.SCHEMA.FREQUENCIA</t>
        </is>
      </c>
      <c r="B650" s="2" t="inlineStr">
        <is>
          <t>frequencia</t>
        </is>
      </c>
      <c r="C650" s="14">
        <f>IFERROR(IF(INDEX('01_Formulario_A05'!$D:$D,MATCH("D08-DOC-RUN-001.SCHEMA.FREQUENCIA",'01_Formulario_A05'!$A:$A,0))="","— (a preencher em 01_Formulario_A05)",INDEX('01_Formulario_A05'!$D:$D,MATCH("D08-DOC-RUN-001.SCHEMA.FREQUENCIA",'01_Formulario_A05'!$A:$A,0))),"— (a preencher em 01_Formulario_A05)")</f>
        <v/>
      </c>
    </row>
    <row r="651">
      <c r="A651" s="5" t="inlineStr">
        <is>
          <t>A06 — Dados, Pesquisa e Conhecimento</t>
        </is>
      </c>
      <c r="B651" s="6" t="n"/>
      <c r="C651" s="7" t="n"/>
    </row>
    <row r="652">
      <c r="A652" s="13" t="inlineStr">
        <is>
          <t>D05-DOC-EPGD-001.DATA_DOMAINS.DOMINIO</t>
        </is>
      </c>
      <c r="B652" s="2" t="inlineStr">
        <is>
          <t>dominio</t>
        </is>
      </c>
      <c r="C652" s="14">
        <f>IFERROR(IF(INDEX('01_Formulario_A06'!$D:$D,MATCH("D05-DOC-EPGD-001.DATA_DOMAINS.DOMINIO",'01_Formulario_A06'!$A:$A,0))="","— (a preencher em 01_Formulario_A06)",INDEX('01_Formulario_A06'!$D:$D,MATCH("D05-DOC-EPGD-001.DATA_DOMAINS.DOMINIO",'01_Formulario_A06'!$A:$A,0))),"— (a preencher em 01_Formulario_A06)")</f>
        <v/>
      </c>
    </row>
    <row r="653">
      <c r="A653" s="13" t="inlineStr">
        <is>
          <t>D05-DOC-EPGD-001.DATA_DOMAINS.DESCRICAO</t>
        </is>
      </c>
      <c r="B653" s="2" t="inlineStr">
        <is>
          <t>descricao</t>
        </is>
      </c>
      <c r="C653" s="14">
        <f>IFERROR(IF(INDEX('01_Formulario_A06'!$D:$D,MATCH("D05-DOC-EPGD-001.DATA_DOMAINS.DESCRICAO",'01_Formulario_A06'!$A:$A,0))="","— (a preencher em 01_Formulario_A06)",INDEX('01_Formulario_A06'!$D:$D,MATCH("D05-DOC-EPGD-001.DATA_DOMAINS.DESCRICAO",'01_Formulario_A06'!$A:$A,0))),"— (a preencher em 01_Formulario_A06)")</f>
        <v/>
      </c>
    </row>
    <row r="654">
      <c r="A654" s="13" t="inlineStr">
        <is>
          <t>D05-DOC-EPGD-001.DATA_DOMAINS.OWNER</t>
        </is>
      </c>
      <c r="B654" s="2" t="inlineStr">
        <is>
          <t>owner</t>
        </is>
      </c>
      <c r="C654" s="14">
        <f>IFERROR(IF(INDEX('01_Formulario_A06'!$D:$D,MATCH("D05-DOC-EPGD-001.DATA_DOMAINS.OWNER",'01_Formulario_A06'!$A:$A,0))="","— (a preencher em 01_Formulario_A06)",INDEX('01_Formulario_A06'!$D:$D,MATCH("D05-DOC-EPGD-001.DATA_DOMAINS.OWNER",'01_Formulario_A06'!$A:$A,0))),"— (a preencher em 01_Formulario_A06)")</f>
        <v/>
      </c>
    </row>
    <row r="655">
      <c r="A655" s="13" t="inlineStr">
        <is>
          <t>D05-DOC-EPGD-001.SOURCES.FONTE</t>
        </is>
      </c>
      <c r="B655" s="2" t="inlineStr">
        <is>
          <t>fonte</t>
        </is>
      </c>
      <c r="C655" s="14">
        <f>IFERROR(IF(INDEX('01_Formulario_A06'!$D:$D,MATCH("D05-DOC-EPGD-001.SOURCES.FONTE",'01_Formulario_A06'!$A:$A,0))="","— (a preencher em 01_Formulario_A06)",INDEX('01_Formulario_A06'!$D:$D,MATCH("D05-DOC-EPGD-001.SOURCES.FONTE",'01_Formulario_A06'!$A:$A,0))),"— (a preencher em 01_Formulario_A06)")</f>
        <v/>
      </c>
    </row>
    <row r="656">
      <c r="A656" s="13" t="inlineStr">
        <is>
          <t>D05-DOC-EPGD-001.SOURCES.SISTEMA</t>
        </is>
      </c>
      <c r="B656" s="2" t="inlineStr">
        <is>
          <t>sistema</t>
        </is>
      </c>
      <c r="C656" s="14">
        <f>IFERROR(IF(INDEX('01_Formulario_A06'!$D:$D,MATCH("D05-DOC-EPGD-001.SOURCES.SISTEMA",'01_Formulario_A06'!$A:$A,0))="","— (a preencher em 01_Formulario_A06)",INDEX('01_Formulario_A06'!$D:$D,MATCH("D05-DOC-EPGD-001.SOURCES.SISTEMA",'01_Formulario_A06'!$A:$A,0))),"— (a preencher em 01_Formulario_A06)")</f>
        <v/>
      </c>
    </row>
    <row r="657">
      <c r="A657" s="13" t="inlineStr">
        <is>
          <t>D05-DOC-EPGD-001.SOURCES.ORIGEM</t>
        </is>
      </c>
      <c r="B657" s="2" t="inlineStr">
        <is>
          <t>origem</t>
        </is>
      </c>
      <c r="C657" s="14">
        <f>IFERROR(IF(INDEX('01_Formulario_A06'!$D:$D,MATCH("D05-DOC-EPGD-001.SOURCES.ORIGEM",'01_Formulario_A06'!$A:$A,0))="","— (a preencher em 01_Formulario_A06)",INDEX('01_Formulario_A06'!$D:$D,MATCH("D05-DOC-EPGD-001.SOURCES.ORIGEM",'01_Formulario_A06'!$A:$A,0))),"— (a preencher em 01_Formulario_A06)")</f>
        <v/>
      </c>
    </row>
    <row r="658">
      <c r="A658" s="13" t="inlineStr">
        <is>
          <t>D05-DOC-EPGD-001.INGESTION.METODO</t>
        </is>
      </c>
      <c r="B658" s="2" t="inlineStr">
        <is>
          <t>metodo</t>
        </is>
      </c>
      <c r="C658" s="14">
        <f>IFERROR(IF(INDEX('01_Formulario_A06'!$D:$D,MATCH("D05-DOC-EPGD-001.INGESTION.METODO",'01_Formulario_A06'!$A:$A,0))="","— (a preencher em 01_Formulario_A06)",INDEX('01_Formulario_A06'!$D:$D,MATCH("D05-DOC-EPGD-001.INGESTION.METODO",'01_Formulario_A06'!$A:$A,0))),"— (a preencher em 01_Formulario_A06)")</f>
        <v/>
      </c>
    </row>
    <row r="659">
      <c r="A659" s="13" t="inlineStr">
        <is>
          <t>D05-DOC-EPGD-001.INGESTION.FREQUENCIA</t>
        </is>
      </c>
      <c r="B659" s="2" t="inlineStr">
        <is>
          <t>frequencia</t>
        </is>
      </c>
      <c r="C659" s="14">
        <f>IFERROR(IF(INDEX('01_Formulario_A06'!$D:$D,MATCH("D05-DOC-EPGD-001.INGESTION.FREQUENCIA",'01_Formulario_A06'!$A:$A,0))="","— (a preencher em 01_Formulario_A06)",INDEX('01_Formulario_A06'!$D:$D,MATCH("D05-DOC-EPGD-001.INGESTION.FREQUENCIA",'01_Formulario_A06'!$A:$A,0))),"— (a preencher em 01_Formulario_A06)")</f>
        <v/>
      </c>
    </row>
    <row r="660">
      <c r="A660" s="13" t="inlineStr">
        <is>
          <t>D05-DOC-EPGD-001.STORAGE.BANCO</t>
        </is>
      </c>
      <c r="B660" s="2" t="inlineStr">
        <is>
          <t>banco</t>
        </is>
      </c>
      <c r="C660" s="14">
        <f>IFERROR(IF(INDEX('01_Formulario_A06'!$D:$D,MATCH("D05-DOC-EPGD-001.STORAGE.BANCO",'01_Formulario_A06'!$A:$A,0))="","— (a preencher em 01_Formulario_A06)",INDEX('01_Formulario_A06'!$D:$D,MATCH("D05-DOC-EPGD-001.STORAGE.BANCO",'01_Formulario_A06'!$A:$A,0))),"— (a preencher em 01_Formulario_A06)")</f>
        <v/>
      </c>
    </row>
    <row r="661">
      <c r="A661" s="13" t="inlineStr">
        <is>
          <t>D05-DOC-EPGD-001.STORAGE.REPOSITORIO</t>
        </is>
      </c>
      <c r="B661" s="2" t="inlineStr">
        <is>
          <t>repositorio</t>
        </is>
      </c>
      <c r="C661" s="14">
        <f>IFERROR(IF(INDEX('01_Formulario_A06'!$D:$D,MATCH("D05-DOC-EPGD-001.STORAGE.REPOSITORIO",'01_Formulario_A06'!$A:$A,0))="","— (a preencher em 01_Formulario_A06)",INDEX('01_Formulario_A06'!$D:$D,MATCH("D05-DOC-EPGD-001.STORAGE.REPOSITORIO",'01_Formulario_A06'!$A:$A,0))),"— (a preencher em 01_Formulario_A06)")</f>
        <v/>
      </c>
    </row>
    <row r="662">
      <c r="A662" s="13" t="inlineStr">
        <is>
          <t>D05-DOC-EPGD-001.STORAGE.FORMATO</t>
        </is>
      </c>
      <c r="B662" s="2" t="inlineStr">
        <is>
          <t>formato</t>
        </is>
      </c>
      <c r="C662" s="14">
        <f>IFERROR(IF(INDEX('01_Formulario_A06'!$D:$D,MATCH("D05-DOC-EPGD-001.STORAGE.FORMATO",'01_Formulario_A06'!$A:$A,0))="","— (a preencher em 01_Formulario_A06)",INDEX('01_Formulario_A06'!$D:$D,MATCH("D05-DOC-EPGD-001.STORAGE.FORMATO",'01_Formulario_A06'!$A:$A,0))),"— (a preencher em 01_Formulario_A06)")</f>
        <v/>
      </c>
    </row>
    <row r="663">
      <c r="A663" s="13" t="inlineStr">
        <is>
          <t>D05-DOC-EPGD-001.SCHEMAS.SCHEMA</t>
        </is>
      </c>
      <c r="B663" s="2" t="inlineStr">
        <is>
          <t>schema</t>
        </is>
      </c>
      <c r="C663" s="14">
        <f>IFERROR(IF(INDEX('01_Formulario_A06'!$D:$D,MATCH("D05-DOC-EPGD-001.SCHEMAS.SCHEMA",'01_Formulario_A06'!$A:$A,0))="","— (a preencher em 01_Formulario_A06)",INDEX('01_Formulario_A06'!$D:$D,MATCH("D05-DOC-EPGD-001.SCHEMAS.SCHEMA",'01_Formulario_A06'!$A:$A,0))),"— (a preencher em 01_Formulario_A06)")</f>
        <v/>
      </c>
    </row>
    <row r="664">
      <c r="A664" s="13" t="inlineStr">
        <is>
          <t>D05-DOC-EPGD-001.SCHEMAS.VERSAO</t>
        </is>
      </c>
      <c r="B664" s="2" t="inlineStr">
        <is>
          <t>versao</t>
        </is>
      </c>
      <c r="C664" s="14">
        <f>IFERROR(IF(INDEX('01_Formulario_A06'!$D:$D,MATCH("D05-DOC-EPGD-001.SCHEMAS.VERSAO",'01_Formulario_A06'!$A:$A,0))="","— (a preencher em 01_Formulario_A06)",INDEX('01_Formulario_A06'!$D:$D,MATCH("D05-DOC-EPGD-001.SCHEMAS.VERSAO",'01_Formulario_A06'!$A:$A,0))),"— (a preencher em 01_Formulario_A06)")</f>
        <v/>
      </c>
    </row>
    <row r="665">
      <c r="A665" s="13" t="inlineStr">
        <is>
          <t>D05-DOC-EPGD-001.SCHEMAS.CONTRATO</t>
        </is>
      </c>
      <c r="B665" s="2" t="inlineStr">
        <is>
          <t>contrato</t>
        </is>
      </c>
      <c r="C665" s="14">
        <f>IFERROR(IF(INDEX('01_Formulario_A06'!$D:$D,MATCH("D05-DOC-EPGD-001.SCHEMAS.CONTRATO",'01_Formulario_A06'!$A:$A,0))="","— (a preencher em 01_Formulario_A06)",INDEX('01_Formulario_A06'!$D:$D,MATCH("D05-DOC-EPGD-001.SCHEMAS.CONTRATO",'01_Formulario_A06'!$A:$A,0))),"— (a preencher em 01_Formulario_A06)")</f>
        <v/>
      </c>
    </row>
    <row r="666">
      <c r="A666" s="13" t="inlineStr">
        <is>
          <t>D05-DOC-EPGD-001.QUALITY.COMPLETUDE</t>
        </is>
      </c>
      <c r="B666" s="2" t="inlineStr">
        <is>
          <t>completude</t>
        </is>
      </c>
      <c r="C666" s="14">
        <f>IFERROR(IF(INDEX('01_Formulario_A06'!$D:$D,MATCH("D05-DOC-EPGD-001.QUALITY.COMPLETUDE",'01_Formulario_A06'!$A:$A,0))="","— (a preencher em 01_Formulario_A06)",INDEX('01_Formulario_A06'!$D:$D,MATCH("D05-DOC-EPGD-001.QUALITY.COMPLETUDE",'01_Formulario_A06'!$A:$A,0))),"— (a preencher em 01_Formulario_A06)")</f>
        <v/>
      </c>
    </row>
    <row r="667">
      <c r="A667" s="13" t="inlineStr">
        <is>
          <t>D05-DOC-EPGD-001.QUALITY.VALIDADE</t>
        </is>
      </c>
      <c r="B667" s="2" t="inlineStr">
        <is>
          <t>validade</t>
        </is>
      </c>
      <c r="C667" s="14">
        <f>IFERROR(IF(INDEX('01_Formulario_A06'!$D:$D,MATCH("D05-DOC-EPGD-001.QUALITY.VALIDADE",'01_Formulario_A06'!$A:$A,0))="","— (a preencher em 01_Formulario_A06)",INDEX('01_Formulario_A06'!$D:$D,MATCH("D05-DOC-EPGD-001.QUALITY.VALIDADE",'01_Formulario_A06'!$A:$A,0))),"— (a preencher em 01_Formulario_A06)")</f>
        <v/>
      </c>
    </row>
    <row r="668">
      <c r="A668" s="13" t="inlineStr">
        <is>
          <t>D05-DOC-EPGD-001.QUALITY.CONSISTENCIA</t>
        </is>
      </c>
      <c r="B668" s="2" t="inlineStr">
        <is>
          <t>consistencia</t>
        </is>
      </c>
      <c r="C668" s="14">
        <f>IFERROR(IF(INDEX('01_Formulario_A06'!$D:$D,MATCH("D05-DOC-EPGD-001.QUALITY.CONSISTENCIA",'01_Formulario_A06'!$A:$A,0))="","— (a preencher em 01_Formulario_A06)",INDEX('01_Formulario_A06'!$D:$D,MATCH("D05-DOC-EPGD-001.QUALITY.CONSISTENCIA",'01_Formulario_A06'!$A:$A,0))),"— (a preencher em 01_Formulario_A06)")</f>
        <v/>
      </c>
    </row>
    <row r="669">
      <c r="A669" s="13" t="inlineStr">
        <is>
          <t>D05-DOC-EPGD-001.QUALITY.UNICIDADE</t>
        </is>
      </c>
      <c r="B669" s="2" t="inlineStr">
        <is>
          <t>unicidade</t>
        </is>
      </c>
      <c r="C669" s="14">
        <f>IFERROR(IF(INDEX('01_Formulario_A06'!$D:$D,MATCH("D05-DOC-EPGD-001.QUALITY.UNICIDADE",'01_Formulario_A06'!$A:$A,0))="","— (a preencher em 01_Formulario_A06)",INDEX('01_Formulario_A06'!$D:$D,MATCH("D05-DOC-EPGD-001.QUALITY.UNICIDADE",'01_Formulario_A06'!$A:$A,0))),"— (a preencher em 01_Formulario_A06)")</f>
        <v/>
      </c>
    </row>
    <row r="670">
      <c r="A670" s="13" t="inlineStr">
        <is>
          <t>D05-DOC-EPGD-001.LINEAGE.ORIGEM</t>
        </is>
      </c>
      <c r="B670" s="2" t="inlineStr">
        <is>
          <t>origem</t>
        </is>
      </c>
      <c r="C670" s="14">
        <f>IFERROR(IF(INDEX('01_Formulario_A06'!$D:$D,MATCH("D05-DOC-EPGD-001.LINEAGE.ORIGEM",'01_Formulario_A06'!$A:$A,0))="","— (a preencher em 01_Formulario_A06)",INDEX('01_Formulario_A06'!$D:$D,MATCH("D05-DOC-EPGD-001.LINEAGE.ORIGEM",'01_Formulario_A06'!$A:$A,0))),"— (a preencher em 01_Formulario_A06)")</f>
        <v/>
      </c>
    </row>
    <row r="671">
      <c r="A671" s="13" t="inlineStr">
        <is>
          <t>D05-DOC-EPGD-001.LINEAGE.TRANSFORMACOES</t>
        </is>
      </c>
      <c r="B671" s="2" t="inlineStr">
        <is>
          <t>transformacoes</t>
        </is>
      </c>
      <c r="C671" s="14">
        <f>IFERROR(IF(INDEX('01_Formulario_A06'!$D:$D,MATCH("D05-DOC-EPGD-001.LINEAGE.TRANSFORMACOES",'01_Formulario_A06'!$A:$A,0))="","— (a preencher em 01_Formulario_A06)",INDEX('01_Formulario_A06'!$D:$D,MATCH("D05-DOC-EPGD-001.LINEAGE.TRANSFORMACOES",'01_Formulario_A06'!$A:$A,0))),"— (a preencher em 01_Formulario_A06)")</f>
        <v/>
      </c>
    </row>
    <row r="672">
      <c r="A672" s="13" t="inlineStr">
        <is>
          <t>D05-DOC-EPGD-001.LINEAGE.DESTINO</t>
        </is>
      </c>
      <c r="B672" s="2" t="inlineStr">
        <is>
          <t>destino</t>
        </is>
      </c>
      <c r="C672" s="14">
        <f>IFERROR(IF(INDEX('01_Formulario_A06'!$D:$D,MATCH("D05-DOC-EPGD-001.LINEAGE.DESTINO",'01_Formulario_A06'!$A:$A,0))="","— (a preencher em 01_Formulario_A06)",INDEX('01_Formulario_A06'!$D:$D,MATCH("D05-DOC-EPGD-001.LINEAGE.DESTINO",'01_Formulario_A06'!$A:$A,0))),"— (a preencher em 01_Formulario_A06)")</f>
        <v/>
      </c>
    </row>
    <row r="673">
      <c r="A673" s="13" t="inlineStr">
        <is>
          <t>D05-DOC-EPGD-001.ACCESS.PERFIL</t>
        </is>
      </c>
      <c r="B673" s="2" t="inlineStr">
        <is>
          <t>perfil</t>
        </is>
      </c>
      <c r="C673" s="14">
        <f>IFERROR(IF(INDEX('01_Formulario_A06'!$D:$D,MATCH("D05-DOC-EPGD-001.ACCESS.PERFIL",'01_Formulario_A06'!$A:$A,0))="","— (a preencher em 01_Formulario_A06)",INDEX('01_Formulario_A06'!$D:$D,MATCH("D05-DOC-EPGD-001.ACCESS.PERFIL",'01_Formulario_A06'!$A:$A,0))),"— (a preencher em 01_Formulario_A06)")</f>
        <v/>
      </c>
    </row>
    <row r="674">
      <c r="A674" s="13" t="inlineStr">
        <is>
          <t>D05-DOC-EPGD-001.ACCESS.PERMISSAO</t>
        </is>
      </c>
      <c r="B674" s="2" t="inlineStr">
        <is>
          <t>permissao</t>
        </is>
      </c>
      <c r="C674" s="14">
        <f>IFERROR(IF(INDEX('01_Formulario_A06'!$D:$D,MATCH("D05-DOC-EPGD-001.ACCESS.PERMISSAO",'01_Formulario_A06'!$A:$A,0))="","— (a preencher em 01_Formulario_A06)",INDEX('01_Formulario_A06'!$D:$D,MATCH("D05-DOC-EPGD-001.ACCESS.PERMISSAO",'01_Formulario_A06'!$A:$A,0))),"— (a preencher em 01_Formulario_A06)")</f>
        <v/>
      </c>
    </row>
    <row r="675">
      <c r="A675" s="13" t="inlineStr">
        <is>
          <t>D05-DOC-EPGD-001.SECURITY.CLASSIFICACAO</t>
        </is>
      </c>
      <c r="B675" s="2" t="inlineStr">
        <is>
          <t>classificacao</t>
        </is>
      </c>
      <c r="C675" s="14">
        <f>IFERROR(IF(INDEX('01_Formulario_A06'!$D:$D,MATCH("D05-DOC-EPGD-001.SECURITY.CLASSIFICACAO",'01_Formulario_A06'!$A:$A,0))="","— (a preencher em 01_Formulario_A06)",INDEX('01_Formulario_A06'!$D:$D,MATCH("D05-DOC-EPGD-001.SECURITY.CLASSIFICACAO",'01_Formulario_A06'!$A:$A,0))),"— (a preencher em 01_Formulario_A06)")</f>
        <v/>
      </c>
    </row>
    <row r="676">
      <c r="A676" s="13" t="inlineStr">
        <is>
          <t>D05-DOC-EPGD-001.SECURITY.PROTECAO</t>
        </is>
      </c>
      <c r="B676" s="2" t="inlineStr">
        <is>
          <t>protecao</t>
        </is>
      </c>
      <c r="C676" s="14">
        <f>IFERROR(IF(INDEX('01_Formulario_A06'!$D:$D,MATCH("D05-DOC-EPGD-001.SECURITY.PROTECAO",'01_Formulario_A06'!$A:$A,0))="","— (a preencher em 01_Formulario_A06)",INDEX('01_Formulario_A06'!$D:$D,MATCH("D05-DOC-EPGD-001.SECURITY.PROTECAO",'01_Formulario_A06'!$A:$A,0))),"— (a preencher em 01_Formulario_A06)")</f>
        <v/>
      </c>
    </row>
    <row r="677">
      <c r="A677" s="13" t="inlineStr">
        <is>
          <t>D05-DOC-EPGD-001.PRIVACY.DADOS_PESSOAIS</t>
        </is>
      </c>
      <c r="B677" s="2" t="inlineStr">
        <is>
          <t>dados_pessoais</t>
        </is>
      </c>
      <c r="C677" s="14">
        <f>IFERROR(IF(INDEX('01_Formulario_A06'!$D:$D,MATCH("D05-DOC-EPGD-001.PRIVACY.DADOS_PESSOAIS",'01_Formulario_A06'!$A:$A,0))="","— (a preencher em 01_Formulario_A06)",INDEX('01_Formulario_A06'!$D:$D,MATCH("D05-DOC-EPGD-001.PRIVACY.DADOS_PESSOAIS",'01_Formulario_A06'!$A:$A,0))),"— (a preencher em 01_Formulario_A06)")</f>
        <v/>
      </c>
    </row>
    <row r="678">
      <c r="A678" s="13" t="inlineStr">
        <is>
          <t>D05-DOC-EPGD-001.PRIVACY.FINALIDADE</t>
        </is>
      </c>
      <c r="B678" s="2" t="inlineStr">
        <is>
          <t>finalidade</t>
        </is>
      </c>
      <c r="C678" s="14">
        <f>IFERROR(IF(INDEX('01_Formulario_A06'!$D:$D,MATCH("D05-DOC-EPGD-001.PRIVACY.FINALIDADE",'01_Formulario_A06'!$A:$A,0))="","— (a preencher em 01_Formulario_A06)",INDEX('01_Formulario_A06'!$D:$D,MATCH("D05-DOC-EPGD-001.PRIVACY.FINALIDADE",'01_Formulario_A06'!$A:$A,0))),"— (a preencher em 01_Formulario_A06)")</f>
        <v/>
      </c>
    </row>
    <row r="679">
      <c r="A679" s="13" t="inlineStr">
        <is>
          <t>D05-DOC-EPGD-001.LIFECYCLE.CRIACAO</t>
        </is>
      </c>
      <c r="B679" s="2" t="inlineStr">
        <is>
          <t>criacao</t>
        </is>
      </c>
      <c r="C679" s="14">
        <f>IFERROR(IF(INDEX('01_Formulario_A06'!$D:$D,MATCH("D05-DOC-EPGD-001.LIFECYCLE.CRIACAO",'01_Formulario_A06'!$A:$A,0))="","— (a preencher em 01_Formulario_A06)",INDEX('01_Formulario_A06'!$D:$D,MATCH("D05-DOC-EPGD-001.LIFECYCLE.CRIACAO",'01_Formulario_A06'!$A:$A,0))),"— (a preencher em 01_Formulario_A06)")</f>
        <v/>
      </c>
    </row>
    <row r="680">
      <c r="A680" s="13" t="inlineStr">
        <is>
          <t>D05-DOC-EPGD-001.LIFECYCLE.USO</t>
        </is>
      </c>
      <c r="B680" s="2" t="inlineStr">
        <is>
          <t>uso</t>
        </is>
      </c>
      <c r="C680" s="14">
        <f>IFERROR(IF(INDEX('01_Formulario_A06'!$D:$D,MATCH("D05-DOC-EPGD-001.LIFECYCLE.USO",'01_Formulario_A06'!$A:$A,0))="","— (a preencher em 01_Formulario_A06)",INDEX('01_Formulario_A06'!$D:$D,MATCH("D05-DOC-EPGD-001.LIFECYCLE.USO",'01_Formulario_A06'!$A:$A,0))),"— (a preencher em 01_Formulario_A06)")</f>
        <v/>
      </c>
    </row>
    <row r="681">
      <c r="A681" s="13" t="inlineStr">
        <is>
          <t>D05-DOC-EPGD-001.LIFECYCLE.RETENCAO</t>
        </is>
      </c>
      <c r="B681" s="2" t="inlineStr">
        <is>
          <t>retencao</t>
        </is>
      </c>
      <c r="C681" s="14">
        <f>IFERROR(IF(INDEX('01_Formulario_A06'!$D:$D,MATCH("D05-DOC-EPGD-001.LIFECYCLE.RETENCAO",'01_Formulario_A06'!$A:$A,0))="","— (a preencher em 01_Formulario_A06)",INDEX('01_Formulario_A06'!$D:$D,MATCH("D05-DOC-EPGD-001.LIFECYCLE.RETENCAO",'01_Formulario_A06'!$A:$A,0))),"— (a preencher em 01_Formulario_A06)")</f>
        <v/>
      </c>
    </row>
    <row r="682">
      <c r="A682" s="13" t="inlineStr">
        <is>
          <t>D05-DOC-EPGD-001.LIFECYCLE.DESCARTE</t>
        </is>
      </c>
      <c r="B682" s="2" t="inlineStr">
        <is>
          <t>descarte</t>
        </is>
      </c>
      <c r="C682" s="14">
        <f>IFERROR(IF(INDEX('01_Formulario_A06'!$D:$D,MATCH("D05-DOC-EPGD-001.LIFECYCLE.DESCARTE",'01_Formulario_A06'!$A:$A,0))="","— (a preencher em 01_Formulario_A06)",INDEX('01_Formulario_A06'!$D:$D,MATCH("D05-DOC-EPGD-001.LIFECYCLE.DESCARTE",'01_Formulario_A06'!$A:$A,0))),"— (a preencher em 01_Formulario_A06)")</f>
        <v/>
      </c>
    </row>
    <row r="683">
      <c r="A683" s="13" t="inlineStr">
        <is>
          <t>D05-DOC-EPGD-001.ANALYTICS.DATASETS</t>
        </is>
      </c>
      <c r="B683" s="2" t="inlineStr">
        <is>
          <t>datasets</t>
        </is>
      </c>
      <c r="C683" s="14">
        <f>IFERROR(IF(INDEX('01_Formulario_A06'!$D:$D,MATCH("D05-DOC-EPGD-001.ANALYTICS.DATASETS",'01_Formulario_A06'!$A:$A,0))="","— (a preencher em 01_Formulario_A06)",INDEX('01_Formulario_A06'!$D:$D,MATCH("D05-DOC-EPGD-001.ANALYTICS.DATASETS",'01_Formulario_A06'!$A:$A,0))),"— (a preencher em 01_Formulario_A06)")</f>
        <v/>
      </c>
    </row>
    <row r="684">
      <c r="A684" s="13" t="inlineStr">
        <is>
          <t>D05-DOC-EPGD-001.ANALYTICS.INDICADORES</t>
        </is>
      </c>
      <c r="B684" s="2" t="inlineStr">
        <is>
          <t>indicadores</t>
        </is>
      </c>
      <c r="C684" s="14">
        <f>IFERROR(IF(INDEX('01_Formulario_A06'!$D:$D,MATCH("D05-DOC-EPGD-001.ANALYTICS.INDICADORES",'01_Formulario_A06'!$A:$A,0))="","— (a preencher em 01_Formulario_A06)",INDEX('01_Formulario_A06'!$D:$D,MATCH("D05-DOC-EPGD-001.ANALYTICS.INDICADORES",'01_Formulario_A06'!$A:$A,0))),"— (a preencher em 01_Formulario_A06)")</f>
        <v/>
      </c>
    </row>
    <row r="685">
      <c r="A685" s="13" t="inlineStr">
        <is>
          <t>D05-DOC-EPGD-001.GOVERNANCE.OWNERS</t>
        </is>
      </c>
      <c r="B685" s="2" t="inlineStr">
        <is>
          <t>owners</t>
        </is>
      </c>
      <c r="C685" s="14">
        <f>IFERROR(IF(INDEX('01_Formulario_A06'!$D:$D,MATCH("D05-DOC-EPGD-001.GOVERNANCE.OWNERS",'01_Formulario_A06'!$A:$A,0))="","— (a preencher em 01_Formulario_A06)",INDEX('01_Formulario_A06'!$D:$D,MATCH("D05-DOC-EPGD-001.GOVERNANCE.OWNERS",'01_Formulario_A06'!$A:$A,0))),"— (a preencher em 01_Formulario_A06)")</f>
        <v/>
      </c>
    </row>
    <row r="686">
      <c r="A686" s="13" t="inlineStr">
        <is>
          <t>D05-DOC-EPGD-001.GOVERNANCE.STEWARDS</t>
        </is>
      </c>
      <c r="B686" s="2" t="inlineStr">
        <is>
          <t>stewards</t>
        </is>
      </c>
      <c r="C686" s="14">
        <f>IFERROR(IF(INDEX('01_Formulario_A06'!$D:$D,MATCH("D05-DOC-EPGD-001.GOVERNANCE.STEWARDS",'01_Formulario_A06'!$A:$A,0))="","— (a preencher em 01_Formulario_A06)",INDEX('01_Formulario_A06'!$D:$D,MATCH("D05-DOC-EPGD-001.GOVERNANCE.STEWARDS",'01_Formulario_A06'!$A:$A,0))),"— (a preencher em 01_Formulario_A06)")</f>
        <v/>
      </c>
    </row>
    <row r="687">
      <c r="A687" s="13" t="inlineStr">
        <is>
          <t>D05-DOC-EPGD-001.GOVERNANCE.APROVACAO</t>
        </is>
      </c>
      <c r="B687" s="2" t="inlineStr">
        <is>
          <t>aprovacao</t>
        </is>
      </c>
      <c r="C687" s="14">
        <f>IFERROR(IF(INDEX('01_Formulario_A06'!$D:$D,MATCH("D05-DOC-EPGD-001.GOVERNANCE.APROVACAO",'01_Formulario_A06'!$A:$A,0))="","— (a preencher em 01_Formulario_A06)",INDEX('01_Formulario_A06'!$D:$D,MATCH("D05-DOC-EPGD-001.GOVERNANCE.APROVACAO",'01_Formulario_A06'!$A:$A,0))),"— (a preencher em 01_Formulario_A06)")</f>
        <v/>
      </c>
    </row>
    <row r="688">
      <c r="A688" s="13" t="inlineStr">
        <is>
          <t>D05-DOC-DCM-001.SCHEMA.METRIC_OR_FIELD_ID</t>
        </is>
      </c>
      <c r="B688" s="2" t="inlineStr">
        <is>
          <t>metric_or_field_id</t>
        </is>
      </c>
      <c r="C688" s="14">
        <f>IFERROR(IF(INDEX('01_Formulario_A06'!$D:$D,MATCH("D05-DOC-DCM-001.SCHEMA.METRIC_OR_FIELD_ID",'01_Formulario_A06'!$A:$A,0))="","— (a preencher em 01_Formulario_A06)",INDEX('01_Formulario_A06'!$D:$D,MATCH("D05-DOC-DCM-001.SCHEMA.METRIC_OR_FIELD_ID",'01_Formulario_A06'!$A:$A,0))),"— (a preencher em 01_Formulario_A06)")</f>
        <v/>
      </c>
    </row>
    <row r="689">
      <c r="A689" s="13" t="inlineStr">
        <is>
          <t>D05-DOC-DCM-001.SCHEMA.NOME</t>
        </is>
      </c>
      <c r="B689" s="2" t="inlineStr">
        <is>
          <t>nome</t>
        </is>
      </c>
      <c r="C689" s="14">
        <f>IFERROR(IF(INDEX('01_Formulario_A06'!$D:$D,MATCH("D05-DOC-DCM-001.SCHEMA.NOME",'01_Formulario_A06'!$A:$A,0))="","— (a preencher em 01_Formulario_A06)",INDEX('01_Formulario_A06'!$D:$D,MATCH("D05-DOC-DCM-001.SCHEMA.NOME",'01_Formulario_A06'!$A:$A,0))),"— (a preencher em 01_Formulario_A06)")</f>
        <v/>
      </c>
    </row>
    <row r="690">
      <c r="A690" s="13" t="inlineStr">
        <is>
          <t>D05-DOC-DCM-001.SCHEMA.TIPO</t>
        </is>
      </c>
      <c r="B690" s="2" t="inlineStr">
        <is>
          <t>tipo</t>
        </is>
      </c>
      <c r="C690" s="14">
        <f>IFERROR(IF(INDEX('01_Formulario_A06'!$D:$D,MATCH("D05-DOC-DCM-001.SCHEMA.TIPO",'01_Formulario_A06'!$A:$A,0))="","— (a preencher em 01_Formulario_A06)",INDEX('01_Formulario_A06'!$D:$D,MATCH("D05-DOC-DCM-001.SCHEMA.TIPO",'01_Formulario_A06'!$A:$A,0))),"— (a preencher em 01_Formulario_A06)")</f>
        <v/>
      </c>
    </row>
    <row r="691">
      <c r="A691" s="13" t="inlineStr">
        <is>
          <t>D05-DOC-DCM-001.SCHEMA.DEFINICAO</t>
        </is>
      </c>
      <c r="B691" s="2" t="inlineStr">
        <is>
          <t>definicao</t>
        </is>
      </c>
      <c r="C691" s="14">
        <f>IFERROR(IF(INDEX('01_Formulario_A06'!$D:$D,MATCH("D05-DOC-DCM-001.SCHEMA.DEFINICAO",'01_Formulario_A06'!$A:$A,0))="","— (a preencher em 01_Formulario_A06)",INDEX('01_Formulario_A06'!$D:$D,MATCH("D05-DOC-DCM-001.SCHEMA.DEFINICAO",'01_Formulario_A06'!$A:$A,0))),"— (a preencher em 01_Formulario_A06)")</f>
        <v/>
      </c>
    </row>
    <row r="692">
      <c r="A692" s="13" t="inlineStr">
        <is>
          <t>D05-DOC-DCM-001.SCHEMA.FORMULA</t>
        </is>
      </c>
      <c r="B692" s="2" t="inlineStr">
        <is>
          <t>formula</t>
        </is>
      </c>
      <c r="C692" s="14">
        <f>IFERROR(IF(INDEX('01_Formulario_A06'!$D:$D,MATCH("D05-DOC-DCM-001.SCHEMA.FORMULA",'01_Formulario_A06'!$A:$A,0))="","— (a preencher em 01_Formulario_A06)",INDEX('01_Formulario_A06'!$D:$D,MATCH("D05-DOC-DCM-001.SCHEMA.FORMULA",'01_Formulario_A06'!$A:$A,0))),"— (a preencher em 01_Formulario_A06)")</f>
        <v/>
      </c>
    </row>
    <row r="693">
      <c r="A693" s="13" t="inlineStr">
        <is>
          <t>D05-DOC-DCM-001.SCHEMA.UNIDADE</t>
        </is>
      </c>
      <c r="B693" s="2" t="inlineStr">
        <is>
          <t>unidade</t>
        </is>
      </c>
      <c r="C693" s="14">
        <f>IFERROR(IF(INDEX('01_Formulario_A06'!$D:$D,MATCH("D05-DOC-DCM-001.SCHEMA.UNIDADE",'01_Formulario_A06'!$A:$A,0))="","— (a preencher em 01_Formulario_A06)",INDEX('01_Formulario_A06'!$D:$D,MATCH("D05-DOC-DCM-001.SCHEMA.UNIDADE",'01_Formulario_A06'!$A:$A,0))),"— (a preencher em 01_Formulario_A06)")</f>
        <v/>
      </c>
    </row>
    <row r="694">
      <c r="A694" s="13" t="inlineStr">
        <is>
          <t>D05-DOC-DCM-001.SCHEMA.GRANULARIDADE</t>
        </is>
      </c>
      <c r="B694" s="2" t="inlineStr">
        <is>
          <t>granularidade</t>
        </is>
      </c>
      <c r="C694" s="14">
        <f>IFERROR(IF(INDEX('01_Formulario_A06'!$D:$D,MATCH("D05-DOC-DCM-001.SCHEMA.GRANULARIDADE",'01_Formulario_A06'!$A:$A,0))="","— (a preencher em 01_Formulario_A06)",INDEX('01_Formulario_A06'!$D:$D,MATCH("D05-DOC-DCM-001.SCHEMA.GRANULARIDADE",'01_Formulario_A06'!$A:$A,0))),"— (a preencher em 01_Formulario_A06)")</f>
        <v/>
      </c>
    </row>
    <row r="695">
      <c r="A695" s="13" t="inlineStr">
        <is>
          <t>D05-DOC-DCM-001.SCHEMA.FONTE</t>
        </is>
      </c>
      <c r="B695" s="2" t="inlineStr">
        <is>
          <t>fonte</t>
        </is>
      </c>
      <c r="C695" s="14">
        <f>IFERROR(IF(INDEX('01_Formulario_A06'!$D:$D,MATCH("D05-DOC-DCM-001.SCHEMA.FONTE",'01_Formulario_A06'!$A:$A,0))="","— (a preencher em 01_Formulario_A06)",INDEX('01_Formulario_A06'!$D:$D,MATCH("D05-DOC-DCM-001.SCHEMA.FONTE",'01_Formulario_A06'!$A:$A,0))),"— (a preencher em 01_Formulario_A06)")</f>
        <v/>
      </c>
    </row>
    <row r="696">
      <c r="A696" s="13" t="inlineStr">
        <is>
          <t>D05-DOC-DCM-001.SCHEMA.TABELA_DATASET</t>
        </is>
      </c>
      <c r="B696" s="2" t="inlineStr">
        <is>
          <t>tabela_dataset</t>
        </is>
      </c>
      <c r="C696" s="14">
        <f>IFERROR(IF(INDEX('01_Formulario_A06'!$D:$D,MATCH("D05-DOC-DCM-001.SCHEMA.TABELA_DATASET",'01_Formulario_A06'!$A:$A,0))="","— (a preencher em 01_Formulario_A06)",INDEX('01_Formulario_A06'!$D:$D,MATCH("D05-DOC-DCM-001.SCHEMA.TABELA_DATASET",'01_Formulario_A06'!$A:$A,0))),"— (a preencher em 01_Formulario_A06)")</f>
        <v/>
      </c>
    </row>
    <row r="697">
      <c r="A697" s="13" t="inlineStr">
        <is>
          <t>D05-DOC-DCM-001.SCHEMA.CAMPO_EVENTO</t>
        </is>
      </c>
      <c r="B697" s="2" t="inlineStr">
        <is>
          <t>campo_evento</t>
        </is>
      </c>
      <c r="C697" s="14">
        <f>IFERROR(IF(INDEX('01_Formulario_A06'!$D:$D,MATCH("D05-DOC-DCM-001.SCHEMA.CAMPO_EVENTO",'01_Formulario_A06'!$A:$A,0))="","— (a preencher em 01_Formulario_A06)",INDEX('01_Formulario_A06'!$D:$D,MATCH("D05-DOC-DCM-001.SCHEMA.CAMPO_EVENTO",'01_Formulario_A06'!$A:$A,0))),"— (a preencher em 01_Formulario_A06)")</f>
        <v/>
      </c>
    </row>
    <row r="698">
      <c r="A698" s="13" t="inlineStr">
        <is>
          <t>D05-DOC-DCM-001.SCHEMA.DIMENSOES</t>
        </is>
      </c>
      <c r="B698" s="2" t="inlineStr">
        <is>
          <t>dimensoes</t>
        </is>
      </c>
      <c r="C698" s="14">
        <f>IFERROR(IF(INDEX('01_Formulario_A06'!$D:$D,MATCH("D05-DOC-DCM-001.SCHEMA.DIMENSOES",'01_Formulario_A06'!$A:$A,0))="","— (a preencher em 01_Formulario_A06)",INDEX('01_Formulario_A06'!$D:$D,MATCH("D05-DOC-DCM-001.SCHEMA.DIMENSOES",'01_Formulario_A06'!$A:$A,0))),"— (a preencher em 01_Formulario_A06)")</f>
        <v/>
      </c>
    </row>
    <row r="699">
      <c r="A699" s="13" t="inlineStr">
        <is>
          <t>D05-DOC-DCM-001.SCHEMA.OWNER</t>
        </is>
      </c>
      <c r="B699" s="2" t="inlineStr">
        <is>
          <t>owner</t>
        </is>
      </c>
      <c r="C699" s="14">
        <f>IFERROR(IF(INDEX('01_Formulario_A06'!$D:$D,MATCH("D05-DOC-DCM-001.SCHEMA.OWNER",'01_Formulario_A06'!$A:$A,0))="","— (a preencher em 01_Formulario_A06)",INDEX('01_Formulario_A06'!$D:$D,MATCH("D05-DOC-DCM-001.SCHEMA.OWNER",'01_Formulario_A06'!$A:$A,0))),"— (a preencher em 01_Formulario_A06)")</f>
        <v/>
      </c>
    </row>
    <row r="700">
      <c r="A700" s="13" t="inlineStr">
        <is>
          <t>D05-DOC-DCM-001.SCHEMA.FREQUENCIA</t>
        </is>
      </c>
      <c r="B700" s="2" t="inlineStr">
        <is>
          <t>frequencia</t>
        </is>
      </c>
      <c r="C700" s="14">
        <f>IFERROR(IF(INDEX('01_Formulario_A06'!$D:$D,MATCH("D05-DOC-DCM-001.SCHEMA.FREQUENCIA",'01_Formulario_A06'!$A:$A,0))="","— (a preencher em 01_Formulario_A06)",INDEX('01_Formulario_A06'!$D:$D,MATCH("D05-DOC-DCM-001.SCHEMA.FREQUENCIA",'01_Formulario_A06'!$A:$A,0))),"— (a preencher em 01_Formulario_A06)")</f>
        <v/>
      </c>
    </row>
    <row r="701">
      <c r="A701" s="13" t="inlineStr">
        <is>
          <t>D05-DOC-DCM-001.SCHEMA.FRESHNESS</t>
        </is>
      </c>
      <c r="B701" s="2" t="inlineStr">
        <is>
          <t>freshness</t>
        </is>
      </c>
      <c r="C701" s="14">
        <f>IFERROR(IF(INDEX('01_Formulario_A06'!$D:$D,MATCH("D05-DOC-DCM-001.SCHEMA.FRESHNESS",'01_Formulario_A06'!$A:$A,0))="","— (a preencher em 01_Formulario_A06)",INDEX('01_Formulario_A06'!$D:$D,MATCH("D05-DOC-DCM-001.SCHEMA.FRESHNESS",'01_Formulario_A06'!$A:$A,0))),"— (a preencher em 01_Formulario_A06)")</f>
        <v/>
      </c>
    </row>
    <row r="702">
      <c r="A702" s="13" t="inlineStr">
        <is>
          <t>D05-DOC-DCM-001.SCHEMA.REGRA_DE_QUALIDADE</t>
        </is>
      </c>
      <c r="B702" s="2" t="inlineStr">
        <is>
          <t>regra_de_qualidade</t>
        </is>
      </c>
      <c r="C702" s="14">
        <f>IFERROR(IF(INDEX('01_Formulario_A06'!$D:$D,MATCH("D05-DOC-DCM-001.SCHEMA.REGRA_DE_QUALIDADE",'01_Formulario_A06'!$A:$A,0))="","— (a preencher em 01_Formulario_A06)",INDEX('01_Formulario_A06'!$D:$D,MATCH("D05-DOC-DCM-001.SCHEMA.REGRA_DE_QUALIDADE",'01_Formulario_A06'!$A:$A,0))),"— (a preencher em 01_Formulario_A06)")</f>
        <v/>
      </c>
    </row>
    <row r="703">
      <c r="A703" s="13" t="inlineStr">
        <is>
          <t>D05-DOC-DCM-001.SCHEMA.CLASSIFICACAO</t>
        </is>
      </c>
      <c r="B703" s="2" t="inlineStr">
        <is>
          <t>classificacao</t>
        </is>
      </c>
      <c r="C703" s="14">
        <f>IFERROR(IF(INDEX('01_Formulario_A06'!$D:$D,MATCH("D05-DOC-DCM-001.SCHEMA.CLASSIFICACAO",'01_Formulario_A06'!$A:$A,0))="","— (a preencher em 01_Formulario_A06)",INDEX('01_Formulario_A06'!$D:$D,MATCH("D05-DOC-DCM-001.SCHEMA.CLASSIFICACAO",'01_Formulario_A06'!$A:$A,0))),"— (a preencher em 01_Formulario_A06)")</f>
        <v/>
      </c>
    </row>
    <row r="704">
      <c r="A704" s="13" t="inlineStr">
        <is>
          <t>D05-DOC-DCM-001.SCHEMA.RETENCAO</t>
        </is>
      </c>
      <c r="B704" s="2" t="inlineStr">
        <is>
          <t>retencao</t>
        </is>
      </c>
      <c r="C704" s="14">
        <f>IFERROR(IF(INDEX('01_Formulario_A06'!$D:$D,MATCH("D05-DOC-DCM-001.SCHEMA.RETENCAO",'01_Formulario_A06'!$A:$A,0))="","— (a preencher em 01_Formulario_A06)",INDEX('01_Formulario_A06'!$D:$D,MATCH("D05-DOC-DCM-001.SCHEMA.RETENCAO",'01_Formulario_A06'!$A:$A,0))),"— (a preencher em 01_Formulario_A06)")</f>
        <v/>
      </c>
    </row>
    <row r="705">
      <c r="A705" s="13" t="inlineStr">
        <is>
          <t>D05-DOC-DCM-001.SCHEMA.CONSUMIDORES</t>
        </is>
      </c>
      <c r="B705" s="2" t="inlineStr">
        <is>
          <t>consumidores</t>
        </is>
      </c>
      <c r="C705" s="14">
        <f>IFERROR(IF(INDEX('01_Formulario_A06'!$D:$D,MATCH("D05-DOC-DCM-001.SCHEMA.CONSUMIDORES",'01_Formulario_A06'!$A:$A,0))="","— (a preencher em 01_Formulario_A06)",INDEX('01_Formulario_A06'!$D:$D,MATCH("D05-DOC-DCM-001.SCHEMA.CONSUMIDORES",'01_Formulario_A06'!$A:$A,0))),"— (a preencher em 01_Formulario_A06)")</f>
        <v/>
      </c>
    </row>
    <row r="706">
      <c r="A706" s="13" t="inlineStr">
        <is>
          <t>D06-DOC-EGC-001.TAXONOMY.DOMINIOS</t>
        </is>
      </c>
      <c r="B706" s="2" t="inlineStr">
        <is>
          <t>dominios</t>
        </is>
      </c>
      <c r="C706" s="14">
        <f>IFERROR(IF(INDEX('01_Formulario_A06'!$D:$D,MATCH("D06-DOC-EGC-001.TAXONOMY.DOMINIOS",'01_Formulario_A06'!$A:$A,0))="","— (a preencher em 01_Formulario_A06)",INDEX('01_Formulario_A06'!$D:$D,MATCH("D06-DOC-EGC-001.TAXONOMY.DOMINIOS",'01_Formulario_A06'!$A:$A,0))),"— (a preencher em 01_Formulario_A06)")</f>
        <v/>
      </c>
    </row>
    <row r="707">
      <c r="A707" s="13" t="inlineStr">
        <is>
          <t>D06-DOC-EGC-001.TAXONOMY.SUBAREAS</t>
        </is>
      </c>
      <c r="B707" s="2" t="inlineStr">
        <is>
          <t>subareas</t>
        </is>
      </c>
      <c r="C707" s="14">
        <f>IFERROR(IF(INDEX('01_Formulario_A06'!$D:$D,MATCH("D06-DOC-EGC-001.TAXONOMY.SUBAREAS",'01_Formulario_A06'!$A:$A,0))="","— (a preencher em 01_Formulario_A06)",INDEX('01_Formulario_A06'!$D:$D,MATCH("D06-DOC-EGC-001.TAXONOMY.SUBAREAS",'01_Formulario_A06'!$A:$A,0))),"— (a preencher em 01_Formulario_A06)")</f>
        <v/>
      </c>
    </row>
    <row r="708">
      <c r="A708" s="13" t="inlineStr">
        <is>
          <t>D06-DOC-EGC-001.TAXONOMY.CLASSES_DOCUMENTAIS</t>
        </is>
      </c>
      <c r="B708" s="2" t="inlineStr">
        <is>
          <t>classes_documentais</t>
        </is>
      </c>
      <c r="C708" s="14">
        <f>IFERROR(IF(INDEX('01_Formulario_A06'!$D:$D,MATCH("D06-DOC-EGC-001.TAXONOMY.CLASSES_DOCUMENTAIS",'01_Formulario_A06'!$A:$A,0))="","— (a preencher em 01_Formulario_A06)",INDEX('01_Formulario_A06'!$D:$D,MATCH("D06-DOC-EGC-001.TAXONOMY.CLASSES_DOCUMENTAIS",'01_Formulario_A06'!$A:$A,0))),"— (a preencher em 01_Formulario_A06)")</f>
        <v/>
      </c>
    </row>
    <row r="709">
      <c r="A709" s="13" t="inlineStr">
        <is>
          <t>D06-DOC-EGC-001.ONTOLOGY.OBJETOS</t>
        </is>
      </c>
      <c r="B709" s="2" t="inlineStr">
        <is>
          <t>objetos</t>
        </is>
      </c>
      <c r="C709" s="14">
        <f>IFERROR(IF(INDEX('01_Formulario_A06'!$D:$D,MATCH("D06-DOC-EGC-001.ONTOLOGY.OBJETOS",'01_Formulario_A06'!$A:$A,0))="","— (a preencher em 01_Formulario_A06)",INDEX('01_Formulario_A06'!$D:$D,MATCH("D06-DOC-EGC-001.ONTOLOGY.OBJETOS",'01_Formulario_A06'!$A:$A,0))),"— (a preencher em 01_Formulario_A06)")</f>
        <v/>
      </c>
    </row>
    <row r="710">
      <c r="A710" s="13" t="inlineStr">
        <is>
          <t>D06-DOC-EGC-001.ONTOLOGY.RELACOES</t>
        </is>
      </c>
      <c r="B710" s="2" t="inlineStr">
        <is>
          <t>relacoes</t>
        </is>
      </c>
      <c r="C710" s="14">
        <f>IFERROR(IF(INDEX('01_Formulario_A06'!$D:$D,MATCH("D06-DOC-EGC-001.ONTOLOGY.RELACOES",'01_Formulario_A06'!$A:$A,0))="","— (a preencher em 01_Formulario_A06)",INDEX('01_Formulario_A06'!$D:$D,MATCH("D06-DOC-EGC-001.ONTOLOGY.RELACOES",'01_Formulario_A06'!$A:$A,0))),"— (a preencher em 01_Formulario_A06)")</f>
        <v/>
      </c>
    </row>
    <row r="711">
      <c r="A711" s="13" t="inlineStr">
        <is>
          <t>D06-DOC-EGC-001.REPOSITORIES.REPOSITORIO</t>
        </is>
      </c>
      <c r="B711" s="2" t="inlineStr">
        <is>
          <t>repositorio</t>
        </is>
      </c>
      <c r="C711" s="14">
        <f>IFERROR(IF(INDEX('01_Formulario_A06'!$D:$D,MATCH("D06-DOC-EGC-001.REPOSITORIES.REPOSITORIO",'01_Formulario_A06'!$A:$A,0))="","— (a preencher em 01_Formulario_A06)",INDEX('01_Formulario_A06'!$D:$D,MATCH("D06-DOC-EGC-001.REPOSITORIES.REPOSITORIO",'01_Formulario_A06'!$A:$A,0))),"— (a preencher em 01_Formulario_A06)")</f>
        <v/>
      </c>
    </row>
    <row r="712">
      <c r="A712" s="13" t="inlineStr">
        <is>
          <t>D06-DOC-EGC-001.REPOSITORIES.FINALIDADE</t>
        </is>
      </c>
      <c r="B712" s="2" t="inlineStr">
        <is>
          <t>finalidade</t>
        </is>
      </c>
      <c r="C712" s="14">
        <f>IFERROR(IF(INDEX('01_Formulario_A06'!$D:$D,MATCH("D06-DOC-EGC-001.REPOSITORIES.FINALIDADE",'01_Formulario_A06'!$A:$A,0))="","— (a preencher em 01_Formulario_A06)",INDEX('01_Formulario_A06'!$D:$D,MATCH("D06-DOC-EGC-001.REPOSITORIES.FINALIDADE",'01_Formulario_A06'!$A:$A,0))),"— (a preencher em 01_Formulario_A06)")</f>
        <v/>
      </c>
    </row>
    <row r="713">
      <c r="A713" s="13" t="inlineStr">
        <is>
          <t>D06-DOC-EGC-001.REPOSITORIES.OWNER</t>
        </is>
      </c>
      <c r="B713" s="2" t="inlineStr">
        <is>
          <t>owner</t>
        </is>
      </c>
      <c r="C713" s="14">
        <f>IFERROR(IF(INDEX('01_Formulario_A06'!$D:$D,MATCH("D06-DOC-EGC-001.REPOSITORIES.OWNER",'01_Formulario_A06'!$A:$A,0))="","— (a preencher em 01_Formulario_A06)",INDEX('01_Formulario_A06'!$D:$D,MATCH("D06-DOC-EGC-001.REPOSITORIES.OWNER",'01_Formulario_A06'!$A:$A,0))),"— (a preencher em 01_Formulario_A06)")</f>
        <v/>
      </c>
    </row>
    <row r="714">
      <c r="A714" s="13" t="inlineStr">
        <is>
          <t>D06-DOC-EGC-001.SOURCES_OF_TRUTH.OBJETO</t>
        </is>
      </c>
      <c r="B714" s="2" t="inlineStr">
        <is>
          <t>objeto</t>
        </is>
      </c>
      <c r="C714" s="14">
        <f>IFERROR(IF(INDEX('01_Formulario_A06'!$D:$D,MATCH("D06-DOC-EGC-001.SOURCES_OF_TRUTH.OBJETO",'01_Formulario_A06'!$A:$A,0))="","— (a preencher em 01_Formulario_A06)",INDEX('01_Formulario_A06'!$D:$D,MATCH("D06-DOC-EGC-001.SOURCES_OF_TRUTH.OBJETO",'01_Formulario_A06'!$A:$A,0))),"— (a preencher em 01_Formulario_A06)")</f>
        <v/>
      </c>
    </row>
    <row r="715">
      <c r="A715" s="13" t="inlineStr">
        <is>
          <t>D06-DOC-EGC-001.SOURCES_OF_TRUTH.FONTE_CANONICA</t>
        </is>
      </c>
      <c r="B715" s="2" t="inlineStr">
        <is>
          <t>fonte_canonica</t>
        </is>
      </c>
      <c r="C715" s="14">
        <f>IFERROR(IF(INDEX('01_Formulario_A06'!$D:$D,MATCH("D06-DOC-EGC-001.SOURCES_OF_TRUTH.FONTE_CANONICA",'01_Formulario_A06'!$A:$A,0))="","— (a preencher em 01_Formulario_A06)",INDEX('01_Formulario_A06'!$D:$D,MATCH("D06-DOC-EGC-001.SOURCES_OF_TRUTH.FONTE_CANONICA",'01_Formulario_A06'!$A:$A,0))),"— (a preencher em 01_Formulario_A06)")</f>
        <v/>
      </c>
    </row>
    <row r="716">
      <c r="A716" s="13" t="inlineStr">
        <is>
          <t>D06-DOC-EGC-001.IDENTITY.PADRAO_DE_IDS</t>
        </is>
      </c>
      <c r="B716" s="2" t="inlineStr">
        <is>
          <t>padrao_de_ids</t>
        </is>
      </c>
      <c r="C716" s="14">
        <f>IFERROR(IF(INDEX('01_Formulario_A06'!$D:$D,MATCH("D06-DOC-EGC-001.IDENTITY.PADRAO_DE_IDS",'01_Formulario_A06'!$A:$A,0))="","— (a preencher em 01_Formulario_A06)",INDEX('01_Formulario_A06'!$D:$D,MATCH("D06-DOC-EGC-001.IDENTITY.PADRAO_DE_IDS",'01_Formulario_A06'!$A:$A,0))),"— (a preencher em 01_Formulario_A06)")</f>
        <v/>
      </c>
    </row>
    <row r="717">
      <c r="A717" s="13" t="inlineStr">
        <is>
          <t>D06-DOC-EGC-001.IDENTITY.NAMING</t>
        </is>
      </c>
      <c r="B717" s="2" t="inlineStr">
        <is>
          <t>naming</t>
        </is>
      </c>
      <c r="C717" s="14">
        <f>IFERROR(IF(INDEX('01_Formulario_A06'!$D:$D,MATCH("D06-DOC-EGC-001.IDENTITY.NAMING",'01_Formulario_A06'!$A:$A,0))="","— (a preencher em 01_Formulario_A06)",INDEX('01_Formulario_A06'!$D:$D,MATCH("D06-DOC-EGC-001.IDENTITY.NAMING",'01_Formulario_A06'!$A:$A,0))),"— (a preencher em 01_Formulario_A06)")</f>
        <v/>
      </c>
    </row>
    <row r="718">
      <c r="A718" s="13" t="inlineStr">
        <is>
          <t>D06-DOC-EGC-001.VERSIONING.VERSAO</t>
        </is>
      </c>
      <c r="B718" s="2" t="inlineStr">
        <is>
          <t>versao</t>
        </is>
      </c>
      <c r="C718" s="14">
        <f>IFERROR(IF(INDEX('01_Formulario_A06'!$D:$D,MATCH("D06-DOC-EGC-001.VERSIONING.VERSAO",'01_Formulario_A06'!$A:$A,0))="","— (a preencher em 01_Formulario_A06)",INDEX('01_Formulario_A06'!$D:$D,MATCH("D06-DOC-EGC-001.VERSIONING.VERSAO",'01_Formulario_A06'!$A:$A,0))),"— (a preencher em 01_Formulario_A06)")</f>
        <v/>
      </c>
    </row>
    <row r="719">
      <c r="A719" s="13" t="inlineStr">
        <is>
          <t>D06-DOC-EGC-001.VERSIONING.HISTORICO</t>
        </is>
      </c>
      <c r="B719" s="2" t="inlineStr">
        <is>
          <t>historico</t>
        </is>
      </c>
      <c r="C719" s="14">
        <f>IFERROR(IF(INDEX('01_Formulario_A06'!$D:$D,MATCH("D06-DOC-EGC-001.VERSIONING.HISTORICO",'01_Formulario_A06'!$A:$A,0))="","— (a preencher em 01_Formulario_A06)",INDEX('01_Formulario_A06'!$D:$D,MATCH("D06-DOC-EGC-001.VERSIONING.HISTORICO",'01_Formulario_A06'!$A:$A,0))),"— (a preencher em 01_Formulario_A06)")</f>
        <v/>
      </c>
    </row>
    <row r="720">
      <c r="A720" s="13" t="inlineStr">
        <is>
          <t>D06-DOC-EGC-001.VERSIONING.SUPERSEDE</t>
        </is>
      </c>
      <c r="B720" s="2" t="inlineStr">
        <is>
          <t>supersede</t>
        </is>
      </c>
      <c r="C720" s="14">
        <f>IFERROR(IF(INDEX('01_Formulario_A06'!$D:$D,MATCH("D06-DOC-EGC-001.VERSIONING.SUPERSEDE",'01_Formulario_A06'!$A:$A,0))="","— (a preencher em 01_Formulario_A06)",INDEX('01_Formulario_A06'!$D:$D,MATCH("D06-DOC-EGC-001.VERSIONING.SUPERSEDE",'01_Formulario_A06'!$A:$A,0))),"— (a preencher em 01_Formulario_A06)")</f>
        <v/>
      </c>
    </row>
    <row r="721">
      <c r="A721" s="13" t="inlineStr">
        <is>
          <t>D06-DOC-EGC-001.INGESTION.ENTRADA</t>
        </is>
      </c>
      <c r="B721" s="2" t="inlineStr">
        <is>
          <t>entrada</t>
        </is>
      </c>
      <c r="C721" s="14">
        <f>IFERROR(IF(INDEX('01_Formulario_A06'!$D:$D,MATCH("D06-DOC-EGC-001.INGESTION.ENTRADA",'01_Formulario_A06'!$A:$A,0))="","— (a preencher em 01_Formulario_A06)",INDEX('01_Formulario_A06'!$D:$D,MATCH("D06-DOC-EGC-001.INGESTION.ENTRADA",'01_Formulario_A06'!$A:$A,0))),"— (a preencher em 01_Formulario_A06)")</f>
        <v/>
      </c>
    </row>
    <row r="722">
      <c r="A722" s="13" t="inlineStr">
        <is>
          <t>D06-DOC-EGC-001.INGESTION.CLASSIFICACAO</t>
        </is>
      </c>
      <c r="B722" s="2" t="inlineStr">
        <is>
          <t>classificacao</t>
        </is>
      </c>
      <c r="C722" s="14">
        <f>IFERROR(IF(INDEX('01_Formulario_A06'!$D:$D,MATCH("D06-DOC-EGC-001.INGESTION.CLASSIFICACAO",'01_Formulario_A06'!$A:$A,0))="","— (a preencher em 01_Formulario_A06)",INDEX('01_Formulario_A06'!$D:$D,MATCH("D06-DOC-EGC-001.INGESTION.CLASSIFICACAO",'01_Formulario_A06'!$A:$A,0))),"— (a preencher em 01_Formulario_A06)")</f>
        <v/>
      </c>
    </row>
    <row r="723">
      <c r="A723" s="13" t="inlineStr">
        <is>
          <t>D06-DOC-EGC-001.INGESTION.PROCESSAMENTO</t>
        </is>
      </c>
      <c r="B723" s="2" t="inlineStr">
        <is>
          <t>processamento</t>
        </is>
      </c>
      <c r="C723" s="14">
        <f>IFERROR(IF(INDEX('01_Formulario_A06'!$D:$D,MATCH("D06-DOC-EGC-001.INGESTION.PROCESSAMENTO",'01_Formulario_A06'!$A:$A,0))="","— (a preencher em 01_Formulario_A06)",INDEX('01_Formulario_A06'!$D:$D,MATCH("D06-DOC-EGC-001.INGESTION.PROCESSAMENTO",'01_Formulario_A06'!$A:$A,0))),"— (a preencher em 01_Formulario_A06)")</f>
        <v/>
      </c>
    </row>
    <row r="724">
      <c r="A724" s="13" t="inlineStr">
        <is>
          <t>D06-DOC-EGC-001.RETRIEVAL.BUSCA</t>
        </is>
      </c>
      <c r="B724" s="2" t="inlineStr">
        <is>
          <t>busca</t>
        </is>
      </c>
      <c r="C724" s="14">
        <f>IFERROR(IF(INDEX('01_Formulario_A06'!$D:$D,MATCH("D06-DOC-EGC-001.RETRIEVAL.BUSCA",'01_Formulario_A06'!$A:$A,0))="","— (a preencher em 01_Formulario_A06)",INDEX('01_Formulario_A06'!$D:$D,MATCH("D06-DOC-EGC-001.RETRIEVAL.BUSCA",'01_Formulario_A06'!$A:$A,0))),"— (a preencher em 01_Formulario_A06)")</f>
        <v/>
      </c>
    </row>
    <row r="725">
      <c r="A725" s="13" t="inlineStr">
        <is>
          <t>D06-DOC-EGC-001.RETRIEVAL.FILTROS</t>
        </is>
      </c>
      <c r="B725" s="2" t="inlineStr">
        <is>
          <t>filtros</t>
        </is>
      </c>
      <c r="C725" s="14">
        <f>IFERROR(IF(INDEX('01_Formulario_A06'!$D:$D,MATCH("D06-DOC-EGC-001.RETRIEVAL.FILTROS",'01_Formulario_A06'!$A:$A,0))="","— (a preencher em 01_Formulario_A06)",INDEX('01_Formulario_A06'!$D:$D,MATCH("D06-DOC-EGC-001.RETRIEVAL.FILTROS",'01_Formulario_A06'!$A:$A,0))),"— (a preencher em 01_Formulario_A06)")</f>
        <v/>
      </c>
    </row>
    <row r="726">
      <c r="A726" s="13" t="inlineStr">
        <is>
          <t>D06-DOC-EGC-001.RETRIEVAL.INDEXACAO</t>
        </is>
      </c>
      <c r="B726" s="2" t="inlineStr">
        <is>
          <t>indexacao</t>
        </is>
      </c>
      <c r="C726" s="14">
        <f>IFERROR(IF(INDEX('01_Formulario_A06'!$D:$D,MATCH("D06-DOC-EGC-001.RETRIEVAL.INDEXACAO",'01_Formulario_A06'!$A:$A,0))="","— (a preencher em 01_Formulario_A06)",INDEX('01_Formulario_A06'!$D:$D,MATCH("D06-DOC-EGC-001.RETRIEVAL.INDEXACAO",'01_Formulario_A06'!$A:$A,0))),"— (a preencher em 01_Formulario_A06)")</f>
        <v/>
      </c>
    </row>
    <row r="727">
      <c r="A727" s="13" t="inlineStr">
        <is>
          <t>D06-DOC-EGC-001.CURATION.REVISAO</t>
        </is>
      </c>
      <c r="B727" s="2" t="inlineStr">
        <is>
          <t>revisao</t>
        </is>
      </c>
      <c r="C727" s="14">
        <f>IFERROR(IF(INDEX('01_Formulario_A06'!$D:$D,MATCH("D06-DOC-EGC-001.CURATION.REVISAO",'01_Formulario_A06'!$A:$A,0))="","— (a preencher em 01_Formulario_A06)",INDEX('01_Formulario_A06'!$D:$D,MATCH("D06-DOC-EGC-001.CURATION.REVISAO",'01_Formulario_A06'!$A:$A,0))),"— (a preencher em 01_Formulario_A06)")</f>
        <v/>
      </c>
    </row>
    <row r="728">
      <c r="A728" s="13" t="inlineStr">
        <is>
          <t>D06-DOC-EGC-001.CURATION.APROVACAO</t>
        </is>
      </c>
      <c r="B728" s="2" t="inlineStr">
        <is>
          <t>aprovacao</t>
        </is>
      </c>
      <c r="C728" s="14">
        <f>IFERROR(IF(INDEX('01_Formulario_A06'!$D:$D,MATCH("D06-DOC-EGC-001.CURATION.APROVACAO",'01_Formulario_A06'!$A:$A,0))="","— (a preencher em 01_Formulario_A06)",INDEX('01_Formulario_A06'!$D:$D,MATCH("D06-DOC-EGC-001.CURATION.APROVACAO",'01_Formulario_A06'!$A:$A,0))),"— (a preencher em 01_Formulario_A06)")</f>
        <v/>
      </c>
    </row>
    <row r="729">
      <c r="A729" s="13" t="inlineStr">
        <is>
          <t>D06-DOC-EGC-001.ARCHIVAL.ARQUIVAMENTO</t>
        </is>
      </c>
      <c r="B729" s="2" t="inlineStr">
        <is>
          <t>arquivamento</t>
        </is>
      </c>
      <c r="C729" s="14">
        <f>IFERROR(IF(INDEX('01_Formulario_A06'!$D:$D,MATCH("D06-DOC-EGC-001.ARCHIVAL.ARQUIVAMENTO",'01_Formulario_A06'!$A:$A,0))="","— (a preencher em 01_Formulario_A06)",INDEX('01_Formulario_A06'!$D:$D,MATCH("D06-DOC-EGC-001.ARCHIVAL.ARQUIVAMENTO",'01_Formulario_A06'!$A:$A,0))),"— (a preencher em 01_Formulario_A06)")</f>
        <v/>
      </c>
    </row>
    <row r="730">
      <c r="A730" s="13" t="inlineStr">
        <is>
          <t>D06-DOC-EGC-001.ARCHIVAL.DESCARTE</t>
        </is>
      </c>
      <c r="B730" s="2" t="inlineStr">
        <is>
          <t>descarte</t>
        </is>
      </c>
      <c r="C730" s="14">
        <f>IFERROR(IF(INDEX('01_Formulario_A06'!$D:$D,MATCH("D06-DOC-EGC-001.ARCHIVAL.DESCARTE",'01_Formulario_A06'!$A:$A,0))="","— (a preencher em 01_Formulario_A06)",INDEX('01_Formulario_A06'!$D:$D,MATCH("D06-DOC-EGC-001.ARCHIVAL.DESCARTE",'01_Formulario_A06'!$A:$A,0))),"— (a preencher em 01_Formulario_A06)")</f>
        <v/>
      </c>
    </row>
    <row r="731">
      <c r="A731" s="13" t="inlineStr">
        <is>
          <t>D06-DOC-EGC-001.CROSSLINKING.RELACOES_ENTRE_DOCUMENTOS</t>
        </is>
      </c>
      <c r="B731" s="2" t="inlineStr">
        <is>
          <t>relacoes_entre_documentos</t>
        </is>
      </c>
      <c r="C731" s="14">
        <f>IFERROR(IF(INDEX('01_Formulario_A06'!$D:$D,MATCH("D06-DOC-EGC-001.CROSSLINKING.RELACOES_ENTRE_DOCUMENTOS",'01_Formulario_A06'!$A:$A,0))="","— (a preencher em 01_Formulario_A06)",INDEX('01_Formulario_A06'!$D:$D,MATCH("D06-DOC-EGC-001.CROSSLINKING.RELACOES_ENTRE_DOCUMENTOS",'01_Formulario_A06'!$A:$A,0))),"— (a preencher em 01_Formulario_A06)")</f>
        <v/>
      </c>
    </row>
    <row r="732">
      <c r="A732" s="13" t="inlineStr">
        <is>
          <t>D06-DOC-EGC-001.GOVERNANCE.OWNER</t>
        </is>
      </c>
      <c r="B732" s="2" t="inlineStr">
        <is>
          <t>owner</t>
        </is>
      </c>
      <c r="C732" s="14">
        <f>IFERROR(IF(INDEX('01_Formulario_A06'!$D:$D,MATCH("D06-DOC-EGC-001.GOVERNANCE.OWNER",'01_Formulario_A06'!$A:$A,0))="","— (a preencher em 01_Formulario_A06)",INDEX('01_Formulario_A06'!$D:$D,MATCH("D06-DOC-EGC-001.GOVERNANCE.OWNER",'01_Formulario_A06'!$A:$A,0))),"— (a preencher em 01_Formulario_A06)")</f>
        <v/>
      </c>
    </row>
    <row r="733">
      <c r="A733" s="13" t="inlineStr">
        <is>
          <t>D06-DOC-EGC-001.GOVERNANCE.ESTADO</t>
        </is>
      </c>
      <c r="B733" s="2" t="inlineStr">
        <is>
          <t>estado</t>
        </is>
      </c>
      <c r="C733" s="14">
        <f>IFERROR(IF(INDEX('01_Formulario_A06'!$D:$D,MATCH("D06-DOC-EGC-001.GOVERNANCE.ESTADO",'01_Formulario_A06'!$A:$A,0))="","— (a preencher em 01_Formulario_A06)",INDEX('01_Formulario_A06'!$D:$D,MATCH("D06-DOC-EGC-001.GOVERNANCE.ESTADO",'01_Formulario_A06'!$A:$A,0))),"— (a preencher em 01_Formulario_A06)")</f>
        <v/>
      </c>
    </row>
    <row r="734">
      <c r="A734" s="13" t="inlineStr">
        <is>
          <t>D06-DOC-EGC-001.GOVERNANCE.EVIDENCIA</t>
        </is>
      </c>
      <c r="B734" s="2" t="inlineStr">
        <is>
          <t>evidencia</t>
        </is>
      </c>
      <c r="C734" s="14">
        <f>IFERROR(IF(INDEX('01_Formulario_A06'!$D:$D,MATCH("D06-DOC-EGC-001.GOVERNANCE.EVIDENCIA",'01_Formulario_A06'!$A:$A,0))="","— (a preencher em 01_Formulario_A06)",INDEX('01_Formulario_A06'!$D:$D,MATCH("D06-DOC-EGC-001.GOVERNANCE.EVIDENCIA",'01_Formulario_A06'!$A:$A,0))),"— (a preencher em 01_Formulario_A06)")</f>
        <v/>
      </c>
    </row>
    <row r="735">
      <c r="A735" s="13" t="inlineStr">
        <is>
          <t>D06-DOC-RMI-001.SCHEMA.CANONICAL_ID</t>
        </is>
      </c>
      <c r="B735" s="2" t="inlineStr">
        <is>
          <t>canonical_id</t>
        </is>
      </c>
      <c r="C735" s="14">
        <f>IFERROR(IF(INDEX('01_Formulario_A06'!$D:$D,MATCH("D06-DOC-RMI-001.SCHEMA.CANONICAL_ID",'01_Formulario_A06'!$A:$A,0))="","— (a preencher em 01_Formulario_A06)",INDEX('01_Formulario_A06'!$D:$D,MATCH("D06-DOC-RMI-001.SCHEMA.CANONICAL_ID",'01_Formulario_A06'!$A:$A,0))),"— (a preencher em 01_Formulario_A06)")</f>
        <v/>
      </c>
    </row>
    <row r="736">
      <c r="A736" s="13" t="inlineStr">
        <is>
          <t>D06-DOC-RMI-001.SCHEMA.OBJECT_TYPE</t>
        </is>
      </c>
      <c r="B736" s="2" t="inlineStr">
        <is>
          <t>object_type</t>
        </is>
      </c>
      <c r="C736" s="14">
        <f>IFERROR(IF(INDEX('01_Formulario_A06'!$D:$D,MATCH("D06-DOC-RMI-001.SCHEMA.OBJECT_TYPE",'01_Formulario_A06'!$A:$A,0))="","— (a preencher em 01_Formulario_A06)",INDEX('01_Formulario_A06'!$D:$D,MATCH("D06-DOC-RMI-001.SCHEMA.OBJECT_TYPE",'01_Formulario_A06'!$A:$A,0))),"— (a preencher em 01_Formulario_A06)")</f>
        <v/>
      </c>
    </row>
    <row r="737">
      <c r="A737" s="13" t="inlineStr">
        <is>
          <t>D06-DOC-RMI-001.SCHEMA.DOMAIN_ID</t>
        </is>
      </c>
      <c r="B737" s="2" t="inlineStr">
        <is>
          <t>domain_id</t>
        </is>
      </c>
      <c r="C737" s="14">
        <f>IFERROR(IF(INDEX('01_Formulario_A06'!$D:$D,MATCH("D06-DOC-RMI-001.SCHEMA.DOMAIN_ID",'01_Formulario_A06'!$A:$A,0))="","— (a preencher em 01_Formulario_A06)",INDEX('01_Formulario_A06'!$D:$D,MATCH("D06-DOC-RMI-001.SCHEMA.DOMAIN_ID",'01_Formulario_A06'!$A:$A,0))),"— (a preencher em 01_Formulario_A06)")</f>
        <v/>
      </c>
    </row>
    <row r="738">
      <c r="A738" s="13" t="inlineStr">
        <is>
          <t>D06-DOC-RMI-001.SCHEMA.SUBAREA_ID</t>
        </is>
      </c>
      <c r="B738" s="2" t="inlineStr">
        <is>
          <t>subarea_id</t>
        </is>
      </c>
      <c r="C738" s="14">
        <f>IFERROR(IF(INDEX('01_Formulario_A06'!$D:$D,MATCH("D06-DOC-RMI-001.SCHEMA.SUBAREA_ID",'01_Formulario_A06'!$A:$A,0))="","— (a preencher em 01_Formulario_A06)",INDEX('01_Formulario_A06'!$D:$D,MATCH("D06-DOC-RMI-001.SCHEMA.SUBAREA_ID",'01_Formulario_A06'!$A:$A,0))),"— (a preencher em 01_Formulario_A06)")</f>
        <v/>
      </c>
    </row>
    <row r="739">
      <c r="A739" s="13" t="inlineStr">
        <is>
          <t>D06-DOC-RMI-001.SCHEMA.PARENT_ID</t>
        </is>
      </c>
      <c r="B739" s="2" t="inlineStr">
        <is>
          <t>parent_id</t>
        </is>
      </c>
      <c r="C739" s="14">
        <f>IFERROR(IF(INDEX('01_Formulario_A06'!$D:$D,MATCH("D06-DOC-RMI-001.SCHEMA.PARENT_ID",'01_Formulario_A06'!$A:$A,0))="","— (a preencher em 01_Formulario_A06)",INDEX('01_Formulario_A06'!$D:$D,MATCH("D06-DOC-RMI-001.SCHEMA.PARENT_ID",'01_Formulario_A06'!$A:$A,0))),"— (a preencher em 01_Formulario_A06)")</f>
        <v/>
      </c>
    </row>
    <row r="740">
      <c r="A740" s="13" t="inlineStr">
        <is>
          <t>D06-DOC-RMI-001.SCHEMA.CANONICAL_NAME</t>
        </is>
      </c>
      <c r="B740" s="2" t="inlineStr">
        <is>
          <t>canonical_name</t>
        </is>
      </c>
      <c r="C740" s="14">
        <f>IFERROR(IF(INDEX('01_Formulario_A06'!$D:$D,MATCH("D06-DOC-RMI-001.SCHEMA.CANONICAL_NAME",'01_Formulario_A06'!$A:$A,0))="","— (a preencher em 01_Formulario_A06)",INDEX('01_Formulario_A06'!$D:$D,MATCH("D06-DOC-RMI-001.SCHEMA.CANONICAL_NAME",'01_Formulario_A06'!$A:$A,0))),"— (a preencher em 01_Formulario_A06)")</f>
        <v/>
      </c>
    </row>
    <row r="741">
      <c r="A741" s="13" t="inlineStr">
        <is>
          <t>D06-DOC-RMI-001.SCHEMA.ALIASES</t>
        </is>
      </c>
      <c r="B741" s="2" t="inlineStr">
        <is>
          <t>aliases</t>
        </is>
      </c>
      <c r="C741" s="14">
        <f>IFERROR(IF(INDEX('01_Formulario_A06'!$D:$D,MATCH("D06-DOC-RMI-001.SCHEMA.ALIASES",'01_Formulario_A06'!$A:$A,0))="","— (a preencher em 01_Formulario_A06)",INDEX('01_Formulario_A06'!$D:$D,MATCH("D06-DOC-RMI-001.SCHEMA.ALIASES",'01_Formulario_A06'!$A:$A,0))),"— (a preencher em 01_Formulario_A06)")</f>
        <v/>
      </c>
    </row>
    <row r="742">
      <c r="A742" s="13" t="inlineStr">
        <is>
          <t>D06-DOC-RMI-001.SCHEMA.VERSION</t>
        </is>
      </c>
      <c r="B742" s="2" t="inlineStr">
        <is>
          <t>version</t>
        </is>
      </c>
      <c r="C742" s="14">
        <f>IFERROR(IF(INDEX('01_Formulario_A06'!$D:$D,MATCH("D06-DOC-RMI-001.SCHEMA.VERSION",'01_Formulario_A06'!$A:$A,0))="","— (a preencher em 01_Formulario_A06)",INDEX('01_Formulario_A06'!$D:$D,MATCH("D06-DOC-RMI-001.SCHEMA.VERSION",'01_Formulario_A06'!$A:$A,0))),"— (a preencher em 01_Formulario_A06)")</f>
        <v/>
      </c>
    </row>
    <row r="743">
      <c r="A743" s="13" t="inlineStr">
        <is>
          <t>D06-DOC-RMI-001.SCHEMA.STATUS</t>
        </is>
      </c>
      <c r="B743" s="2" t="inlineStr">
        <is>
          <t>status</t>
        </is>
      </c>
      <c r="C743" s="14">
        <f>IFERROR(IF(INDEX('01_Formulario_A06'!$D:$D,MATCH("D06-DOC-RMI-001.SCHEMA.STATUS",'01_Formulario_A06'!$A:$A,0))="","— (a preencher em 01_Formulario_A06)",INDEX('01_Formulario_A06'!$D:$D,MATCH("D06-DOC-RMI-001.SCHEMA.STATUS",'01_Formulario_A06'!$A:$A,0))),"— (a preencher em 01_Formulario_A06)")</f>
        <v/>
      </c>
    </row>
    <row r="744">
      <c r="A744" s="13" t="inlineStr">
        <is>
          <t>D06-DOC-RMI-001.SCHEMA.OWNER</t>
        </is>
      </c>
      <c r="B744" s="2" t="inlineStr">
        <is>
          <t>owner</t>
        </is>
      </c>
      <c r="C744" s="14">
        <f>IFERROR(IF(INDEX('01_Formulario_A06'!$D:$D,MATCH("D06-DOC-RMI-001.SCHEMA.OWNER",'01_Formulario_A06'!$A:$A,0))="","— (a preencher em 01_Formulario_A06)",INDEX('01_Formulario_A06'!$D:$D,MATCH("D06-DOC-RMI-001.SCHEMA.OWNER",'01_Formulario_A06'!$A:$A,0))),"— (a preencher em 01_Formulario_A06)")</f>
        <v/>
      </c>
    </row>
    <row r="745">
      <c r="A745" s="13" t="inlineStr">
        <is>
          <t>D06-DOC-RMI-001.SCHEMA.SOURCE</t>
        </is>
      </c>
      <c r="B745" s="2" t="inlineStr">
        <is>
          <t>source</t>
        </is>
      </c>
      <c r="C745" s="14">
        <f>IFERROR(IF(INDEX('01_Formulario_A06'!$D:$D,MATCH("D06-DOC-RMI-001.SCHEMA.SOURCE",'01_Formulario_A06'!$A:$A,0))="","— (a preencher em 01_Formulario_A06)",INDEX('01_Formulario_A06'!$D:$D,MATCH("D06-DOC-RMI-001.SCHEMA.SOURCE",'01_Formulario_A06'!$A:$A,0))),"— (a preencher em 01_Formulario_A06)")</f>
        <v/>
      </c>
    </row>
    <row r="746">
      <c r="A746" s="13" t="inlineStr">
        <is>
          <t>D06-DOC-RMI-001.SCHEMA.EVIDENCE</t>
        </is>
      </c>
      <c r="B746" s="2" t="inlineStr">
        <is>
          <t>evidence</t>
        </is>
      </c>
      <c r="C746" s="14">
        <f>IFERROR(IF(INDEX('01_Formulario_A06'!$D:$D,MATCH("D06-DOC-RMI-001.SCHEMA.EVIDENCE",'01_Formulario_A06'!$A:$A,0))="","— (a preencher em 01_Formulario_A06)",INDEX('01_Formulario_A06'!$D:$D,MATCH("D06-DOC-RMI-001.SCHEMA.EVIDENCE",'01_Formulario_A06'!$A:$A,0))),"— (a preencher em 01_Formulario_A06)")</f>
        <v/>
      </c>
    </row>
    <row r="747">
      <c r="A747" s="13" t="inlineStr">
        <is>
          <t>D06-DOC-RMI-001.SCHEMA.REPOSITORY</t>
        </is>
      </c>
      <c r="B747" s="2" t="inlineStr">
        <is>
          <t>repository</t>
        </is>
      </c>
      <c r="C747" s="14">
        <f>IFERROR(IF(INDEX('01_Formulario_A06'!$D:$D,MATCH("D06-DOC-RMI-001.SCHEMA.REPOSITORY",'01_Formulario_A06'!$A:$A,0))="","— (a preencher em 01_Formulario_A06)",INDEX('01_Formulario_A06'!$D:$D,MATCH("D06-DOC-RMI-001.SCHEMA.REPOSITORY",'01_Formulario_A06'!$A:$A,0))),"— (a preencher em 01_Formulario_A06)")</f>
        <v/>
      </c>
    </row>
    <row r="748">
      <c r="A748" s="13" t="inlineStr">
        <is>
          <t>D06-DOC-RMI-001.SCHEMA.LOCATION</t>
        </is>
      </c>
      <c r="B748" s="2" t="inlineStr">
        <is>
          <t>location</t>
        </is>
      </c>
      <c r="C748" s="14">
        <f>IFERROR(IF(INDEX('01_Formulario_A06'!$D:$D,MATCH("D06-DOC-RMI-001.SCHEMA.LOCATION",'01_Formulario_A06'!$A:$A,0))="","— (a preencher em 01_Formulario_A06)",INDEX('01_Formulario_A06'!$D:$D,MATCH("D06-DOC-RMI-001.SCHEMA.LOCATION",'01_Formulario_A06'!$A:$A,0))),"— (a preencher em 01_Formulario_A06)")</f>
        <v/>
      </c>
    </row>
    <row r="749">
      <c r="A749" s="13" t="inlineStr">
        <is>
          <t>D06-DOC-RMI-001.SCHEMA.DEPENDS_ON</t>
        </is>
      </c>
      <c r="B749" s="2" t="inlineStr">
        <is>
          <t>depends_on</t>
        </is>
      </c>
      <c r="C749" s="14">
        <f>IFERROR(IF(INDEX('01_Formulario_A06'!$D:$D,MATCH("D06-DOC-RMI-001.SCHEMA.DEPENDS_ON",'01_Formulario_A06'!$A:$A,0))="","— (a preencher em 01_Formulario_A06)",INDEX('01_Formulario_A06'!$D:$D,MATCH("D06-DOC-RMI-001.SCHEMA.DEPENDS_ON",'01_Formulario_A06'!$A:$A,0))),"— (a preencher em 01_Formulario_A06)")</f>
        <v/>
      </c>
    </row>
    <row r="750">
      <c r="A750" s="13" t="inlineStr">
        <is>
          <t>D06-DOC-RMI-001.SCHEMA.BLOCKS</t>
        </is>
      </c>
      <c r="B750" s="2" t="inlineStr">
        <is>
          <t>blocks</t>
        </is>
      </c>
      <c r="C750" s="14">
        <f>IFERROR(IF(INDEX('01_Formulario_A06'!$D:$D,MATCH("D06-DOC-RMI-001.SCHEMA.BLOCKS",'01_Formulario_A06'!$A:$A,0))="","— (a preencher em 01_Formulario_A06)",INDEX('01_Formulario_A06'!$D:$D,MATCH("D06-DOC-RMI-001.SCHEMA.BLOCKS",'01_Formulario_A06'!$A:$A,0))),"— (a preencher em 01_Formulario_A06)")</f>
        <v/>
      </c>
    </row>
    <row r="751">
      <c r="A751" s="13" t="inlineStr">
        <is>
          <t>D06-DOC-RMI-001.SCHEMA.SUPERSEDES</t>
        </is>
      </c>
      <c r="B751" s="2" t="inlineStr">
        <is>
          <t>supersedes</t>
        </is>
      </c>
      <c r="C751" s="14">
        <f>IFERROR(IF(INDEX('01_Formulario_A06'!$D:$D,MATCH("D06-DOC-RMI-001.SCHEMA.SUPERSEDES",'01_Formulario_A06'!$A:$A,0))="","— (a preencher em 01_Formulario_A06)",INDEX('01_Formulario_A06'!$D:$D,MATCH("D06-DOC-RMI-001.SCHEMA.SUPERSEDES",'01_Formulario_A06'!$A:$A,0))),"— (a preencher em 01_Formulario_A06)")</f>
        <v/>
      </c>
    </row>
    <row r="752">
      <c r="A752" s="13" t="inlineStr">
        <is>
          <t>D06-DOC-RMI-001.SCHEMA.CREATED_AT</t>
        </is>
      </c>
      <c r="B752" s="2" t="inlineStr">
        <is>
          <t>created_at</t>
        </is>
      </c>
      <c r="C752" s="14">
        <f>IFERROR(IF(INDEX('01_Formulario_A06'!$D:$D,MATCH("D06-DOC-RMI-001.SCHEMA.CREATED_AT",'01_Formulario_A06'!$A:$A,0))="","— (a preencher em 01_Formulario_A06)",INDEX('01_Formulario_A06'!$D:$D,MATCH("D06-DOC-RMI-001.SCHEMA.CREATED_AT",'01_Formulario_A06'!$A:$A,0))),"— (a preencher em 01_Formulario_A06)")</f>
        <v/>
      </c>
    </row>
    <row r="753">
      <c r="A753" s="13" t="inlineStr">
        <is>
          <t>D06-DOC-RMI-001.SCHEMA.UPDATED_AT</t>
        </is>
      </c>
      <c r="B753" s="2" t="inlineStr">
        <is>
          <t>updated_at</t>
        </is>
      </c>
      <c r="C753" s="14">
        <f>IFERROR(IF(INDEX('01_Formulario_A06'!$D:$D,MATCH("D06-DOC-RMI-001.SCHEMA.UPDATED_AT",'01_Formulario_A06'!$A:$A,0))="","— (a preencher em 01_Formulario_A06)",INDEX('01_Formulario_A06'!$D:$D,MATCH("D06-DOC-RMI-001.SCHEMA.UPDATED_AT",'01_Formulario_A06'!$A:$A,0))),"— (a preencher em 01_Formulario_A06)")</f>
        <v/>
      </c>
    </row>
    <row r="754">
      <c r="A754" s="13" t="inlineStr">
        <is>
          <t>D09-DOC-PPE-001.QUESTION.PERGUNTA_DE_PESQUISA</t>
        </is>
      </c>
      <c r="B754" s="2" t="inlineStr">
        <is>
          <t>pergunta_de_pesquisa</t>
        </is>
      </c>
      <c r="C754" s="14">
        <f>IFERROR(IF(INDEX('01_Formulario_A06'!$D:$D,MATCH("D09-DOC-PPE-001.QUESTION.PERGUNTA_DE_PESQUISA",'01_Formulario_A06'!$A:$A,0))="","— (a preencher em 01_Formulario_A06)",INDEX('01_Formulario_A06'!$D:$D,MATCH("D09-DOC-PPE-001.QUESTION.PERGUNTA_DE_PESQUISA",'01_Formulario_A06'!$A:$A,0))),"— (a preencher em 01_Formulario_A06)")</f>
        <v/>
      </c>
    </row>
    <row r="755">
      <c r="A755" s="13" t="inlineStr">
        <is>
          <t>D09-DOC-PPE-001.HYPOTHESIS.HIPOTESE</t>
        </is>
      </c>
      <c r="B755" s="2" t="inlineStr">
        <is>
          <t>hipotese</t>
        </is>
      </c>
      <c r="C755" s="14">
        <f>IFERROR(IF(INDEX('01_Formulario_A06'!$D:$D,MATCH("D09-DOC-PPE-001.HYPOTHESIS.HIPOTESE",'01_Formulario_A06'!$A:$A,0))="","— (a preencher em 01_Formulario_A06)",INDEX('01_Formulario_A06'!$D:$D,MATCH("D09-DOC-PPE-001.HYPOTHESIS.HIPOTESE",'01_Formulario_A06'!$A:$A,0))),"— (a preencher em 01_Formulario_A06)")</f>
        <v/>
      </c>
    </row>
    <row r="756">
      <c r="A756" s="13" t="inlineStr">
        <is>
          <t>D09-DOC-PPE-001.HYPOTHESIS.PRESSUPOSTOS</t>
        </is>
      </c>
      <c r="B756" s="2" t="inlineStr">
        <is>
          <t>pressupostos</t>
        </is>
      </c>
      <c r="C756" s="14">
        <f>IFERROR(IF(INDEX('01_Formulario_A06'!$D:$D,MATCH("D09-DOC-PPE-001.HYPOTHESIS.PRESSUPOSTOS",'01_Formulario_A06'!$A:$A,0))="","— (a preencher em 01_Formulario_A06)",INDEX('01_Formulario_A06'!$D:$D,MATCH("D09-DOC-PPE-001.HYPOTHESIS.PRESSUPOSTOS",'01_Formulario_A06'!$A:$A,0))),"— (a preencher em 01_Formulario_A06)")</f>
        <v/>
      </c>
    </row>
    <row r="757">
      <c r="A757" s="13" t="inlineStr">
        <is>
          <t>D09-DOC-PPE-001.EVIDENCE_REVIEW.FONTES_EXISTENTES</t>
        </is>
      </c>
      <c r="B757" s="2" t="inlineStr">
        <is>
          <t>fontes_existentes</t>
        </is>
      </c>
      <c r="C757" s="14">
        <f>IFERROR(IF(INDEX('01_Formulario_A06'!$D:$D,MATCH("D09-DOC-PPE-001.EVIDENCE_REVIEW.FONTES_EXISTENTES",'01_Formulario_A06'!$A:$A,0))="","— (a preencher em 01_Formulario_A06)",INDEX('01_Formulario_A06'!$D:$D,MATCH("D09-DOC-PPE-001.EVIDENCE_REVIEW.FONTES_EXISTENTES",'01_Formulario_A06'!$A:$A,0))),"— (a preencher em 01_Formulario_A06)")</f>
        <v/>
      </c>
    </row>
    <row r="758">
      <c r="A758" s="13" t="inlineStr">
        <is>
          <t>D09-DOC-PPE-001.EVIDENCE_REVIEW.LACUNAS</t>
        </is>
      </c>
      <c r="B758" s="2" t="inlineStr">
        <is>
          <t>lacunas</t>
        </is>
      </c>
      <c r="C758" s="14">
        <f>IFERROR(IF(INDEX('01_Formulario_A06'!$D:$D,MATCH("D09-DOC-PPE-001.EVIDENCE_REVIEW.LACUNAS",'01_Formulario_A06'!$A:$A,0))="","— (a preencher em 01_Formulario_A06)",INDEX('01_Formulario_A06'!$D:$D,MATCH("D09-DOC-PPE-001.EVIDENCE_REVIEW.LACUNAS",'01_Formulario_A06'!$A:$A,0))),"— (a preencher em 01_Formulario_A06)")</f>
        <v/>
      </c>
    </row>
    <row r="759">
      <c r="A759" s="13" t="inlineStr">
        <is>
          <t>D09-DOC-PPE-001.METHOD.METODO</t>
        </is>
      </c>
      <c r="B759" s="2" t="inlineStr">
        <is>
          <t>metodo</t>
        </is>
      </c>
      <c r="C759" s="14">
        <f>IFERROR(IF(INDEX('01_Formulario_A06'!$D:$D,MATCH("D09-DOC-PPE-001.METHOD.METODO",'01_Formulario_A06'!$A:$A,0))="","— (a preencher em 01_Formulario_A06)",INDEX('01_Formulario_A06'!$D:$D,MATCH("D09-DOC-PPE-001.METHOD.METODO",'01_Formulario_A06'!$A:$A,0))),"— (a preencher em 01_Formulario_A06)")</f>
        <v/>
      </c>
    </row>
    <row r="760">
      <c r="A760" s="13" t="inlineStr">
        <is>
          <t>D09-DOC-PPE-001.METHOD.DESENHO</t>
        </is>
      </c>
      <c r="B760" s="2" t="inlineStr">
        <is>
          <t>desenho</t>
        </is>
      </c>
      <c r="C760" s="14">
        <f>IFERROR(IF(INDEX('01_Formulario_A06'!$D:$D,MATCH("D09-DOC-PPE-001.METHOD.DESENHO",'01_Formulario_A06'!$A:$A,0))="","— (a preencher em 01_Formulario_A06)",INDEX('01_Formulario_A06'!$D:$D,MATCH("D09-DOC-PPE-001.METHOD.DESENHO",'01_Formulario_A06'!$A:$A,0))),"— (a preencher em 01_Formulario_A06)")</f>
        <v/>
      </c>
    </row>
    <row r="761">
      <c r="A761" s="13" t="inlineStr">
        <is>
          <t>D09-DOC-PPE-001.POPULATION.PUBLICO</t>
        </is>
      </c>
      <c r="B761" s="2" t="inlineStr">
        <is>
          <t>publico</t>
        </is>
      </c>
      <c r="C761" s="14">
        <f>IFERROR(IF(INDEX('01_Formulario_A06'!$D:$D,MATCH("D09-DOC-PPE-001.POPULATION.PUBLICO",'01_Formulario_A06'!$A:$A,0))="","— (a preencher em 01_Formulario_A06)",INDEX('01_Formulario_A06'!$D:$D,MATCH("D09-DOC-PPE-001.POPULATION.PUBLICO",'01_Formulario_A06'!$A:$A,0))),"— (a preencher em 01_Formulario_A06)")</f>
        <v/>
      </c>
    </row>
    <row r="762">
      <c r="A762" s="13" t="inlineStr">
        <is>
          <t>D09-DOC-PPE-001.POPULATION.AMOSTRA</t>
        </is>
      </c>
      <c r="B762" s="2" t="inlineStr">
        <is>
          <t>amostra</t>
        </is>
      </c>
      <c r="C762" s="14">
        <f>IFERROR(IF(INDEX('01_Formulario_A06'!$D:$D,MATCH("D09-DOC-PPE-001.POPULATION.AMOSTRA",'01_Formulario_A06'!$A:$A,0))="","— (a preencher em 01_Formulario_A06)",INDEX('01_Formulario_A06'!$D:$D,MATCH("D09-DOC-PPE-001.POPULATION.AMOSTRA",'01_Formulario_A06'!$A:$A,0))),"— (a preencher em 01_Formulario_A06)")</f>
        <v/>
      </c>
    </row>
    <row r="763">
      <c r="A763" s="13" t="inlineStr">
        <is>
          <t>D09-DOC-PPE-001.VARIABLES.INDEPENDENTE</t>
        </is>
      </c>
      <c r="B763" s="2" t="inlineStr">
        <is>
          <t>independente</t>
        </is>
      </c>
      <c r="C763" s="14">
        <f>IFERROR(IF(INDEX('01_Formulario_A06'!$D:$D,MATCH("D09-DOC-PPE-001.VARIABLES.INDEPENDENTE",'01_Formulario_A06'!$A:$A,0))="","— (a preencher em 01_Formulario_A06)",INDEX('01_Formulario_A06'!$D:$D,MATCH("D09-DOC-PPE-001.VARIABLES.INDEPENDENTE",'01_Formulario_A06'!$A:$A,0))),"— (a preencher em 01_Formulario_A06)")</f>
        <v/>
      </c>
    </row>
    <row r="764">
      <c r="A764" s="13" t="inlineStr">
        <is>
          <t>D09-DOC-PPE-001.VARIABLES.DEPENDENTE</t>
        </is>
      </c>
      <c r="B764" s="2" t="inlineStr">
        <is>
          <t>dependente</t>
        </is>
      </c>
      <c r="C764" s="14">
        <f>IFERROR(IF(INDEX('01_Formulario_A06'!$D:$D,MATCH("D09-DOC-PPE-001.VARIABLES.DEPENDENTE",'01_Formulario_A06'!$A:$A,0))="","— (a preencher em 01_Formulario_A06)",INDEX('01_Formulario_A06'!$D:$D,MATCH("D09-DOC-PPE-001.VARIABLES.DEPENDENTE",'01_Formulario_A06'!$A:$A,0))),"— (a preencher em 01_Formulario_A06)")</f>
        <v/>
      </c>
    </row>
    <row r="765">
      <c r="A765" s="13" t="inlineStr">
        <is>
          <t>D09-DOC-PPE-001.VARIABLES.CONTROLE</t>
        </is>
      </c>
      <c r="B765" s="2" t="inlineStr">
        <is>
          <t>controle</t>
        </is>
      </c>
      <c r="C765" s="14">
        <f>IFERROR(IF(INDEX('01_Formulario_A06'!$D:$D,MATCH("D09-DOC-PPE-001.VARIABLES.CONTROLE",'01_Formulario_A06'!$A:$A,0))="","— (a preencher em 01_Formulario_A06)",INDEX('01_Formulario_A06'!$D:$D,MATCH("D09-DOC-PPE-001.VARIABLES.CONTROLE",'01_Formulario_A06'!$A:$A,0))),"— (a preencher em 01_Formulario_A06)")</f>
        <v/>
      </c>
    </row>
    <row r="766">
      <c r="A766" s="13" t="inlineStr">
        <is>
          <t>D09-DOC-PPE-001.PROTOCOL.PROCEDIMENTO</t>
        </is>
      </c>
      <c r="B766" s="2" t="inlineStr">
        <is>
          <t>procedimento</t>
        </is>
      </c>
      <c r="C766" s="14">
        <f>IFERROR(IF(INDEX('01_Formulario_A06'!$D:$D,MATCH("D09-DOC-PPE-001.PROTOCOL.PROCEDIMENTO",'01_Formulario_A06'!$A:$A,0))="","— (a preencher em 01_Formulario_A06)",INDEX('01_Formulario_A06'!$D:$D,MATCH("D09-DOC-PPE-001.PROTOCOL.PROCEDIMENTO",'01_Formulario_A06'!$A:$A,0))),"— (a preencher em 01_Formulario_A06)")</f>
        <v/>
      </c>
    </row>
    <row r="767">
      <c r="A767" s="13" t="inlineStr">
        <is>
          <t>D09-DOC-PPE-001.EXPERIMENT.INTERVENCAO</t>
        </is>
      </c>
      <c r="B767" s="2" t="inlineStr">
        <is>
          <t>intervencao</t>
        </is>
      </c>
      <c r="C767" s="14">
        <f>IFERROR(IF(INDEX('01_Formulario_A06'!$D:$D,MATCH("D09-DOC-PPE-001.EXPERIMENT.INTERVENCAO",'01_Formulario_A06'!$A:$A,0))="","— (a preencher em 01_Formulario_A06)",INDEX('01_Formulario_A06'!$D:$D,MATCH("D09-DOC-PPE-001.EXPERIMENT.INTERVENCAO",'01_Formulario_A06'!$A:$A,0))),"— (a preencher em 01_Formulario_A06)")</f>
        <v/>
      </c>
    </row>
    <row r="768">
      <c r="A768" s="13" t="inlineStr">
        <is>
          <t>D09-DOC-PPE-001.EXPERIMENT.COMPARACAO</t>
        </is>
      </c>
      <c r="B768" s="2" t="inlineStr">
        <is>
          <t>comparacao</t>
        </is>
      </c>
      <c r="C768" s="14">
        <f>IFERROR(IF(INDEX('01_Formulario_A06'!$D:$D,MATCH("D09-DOC-PPE-001.EXPERIMENT.COMPARACAO",'01_Formulario_A06'!$A:$A,0))="","— (a preencher em 01_Formulario_A06)",INDEX('01_Formulario_A06'!$D:$D,MATCH("D09-DOC-PPE-001.EXPERIMENT.COMPARACAO",'01_Formulario_A06'!$A:$A,0))),"— (a preencher em 01_Formulario_A06)")</f>
        <v/>
      </c>
    </row>
    <row r="769">
      <c r="A769" s="13" t="inlineStr">
        <is>
          <t>D09-DOC-PPE-001.MEASUREMENT.METRICAS</t>
        </is>
      </c>
      <c r="B769" s="2" t="inlineStr">
        <is>
          <t>metricas</t>
        </is>
      </c>
      <c r="C769" s="14">
        <f>IFERROR(IF(INDEX('01_Formulario_A06'!$D:$D,MATCH("D09-DOC-PPE-001.MEASUREMENT.METRICAS",'01_Formulario_A06'!$A:$A,0))="","— (a preencher em 01_Formulario_A06)",INDEX('01_Formulario_A06'!$D:$D,MATCH("D09-DOC-PPE-001.MEASUREMENT.METRICAS",'01_Formulario_A06'!$A:$A,0))),"— (a preencher em 01_Formulario_A06)")</f>
        <v/>
      </c>
    </row>
    <row r="770">
      <c r="A770" s="13" t="inlineStr">
        <is>
          <t>D09-DOC-PPE-001.MEASUREMENT.INSTRUMENTOS</t>
        </is>
      </c>
      <c r="B770" s="2" t="inlineStr">
        <is>
          <t>instrumentos</t>
        </is>
      </c>
      <c r="C770" s="14">
        <f>IFERROR(IF(INDEX('01_Formulario_A06'!$D:$D,MATCH("D09-DOC-PPE-001.MEASUREMENT.INSTRUMENTOS",'01_Formulario_A06'!$A:$A,0))="","— (a preencher em 01_Formulario_A06)",INDEX('01_Formulario_A06'!$D:$D,MATCH("D09-DOC-PPE-001.MEASUREMENT.INSTRUMENTOS",'01_Formulario_A06'!$A:$A,0))),"— (a preencher em 01_Formulario_A06)")</f>
        <v/>
      </c>
    </row>
    <row r="771">
      <c r="A771" s="13" t="inlineStr">
        <is>
          <t>D09-DOC-PPE-001.ANALYSIS.METODO_DE_ANALISE</t>
        </is>
      </c>
      <c r="B771" s="2" t="inlineStr">
        <is>
          <t>metodo_de_analise</t>
        </is>
      </c>
      <c r="C771" s="14">
        <f>IFERROR(IF(INDEX('01_Formulario_A06'!$D:$D,MATCH("D09-DOC-PPE-001.ANALYSIS.METODO_DE_ANALISE",'01_Formulario_A06'!$A:$A,0))="","— (a preencher em 01_Formulario_A06)",INDEX('01_Formulario_A06'!$D:$D,MATCH("D09-DOC-PPE-001.ANALYSIS.METODO_DE_ANALISE",'01_Formulario_A06'!$A:$A,0))),"— (a preencher em 01_Formulario_A06)")</f>
        <v/>
      </c>
    </row>
    <row r="772">
      <c r="A772" s="13" t="inlineStr">
        <is>
          <t>D09-DOC-PPE-001.CRITERIA.SUCESSO</t>
        </is>
      </c>
      <c r="B772" s="2" t="inlineStr">
        <is>
          <t>sucesso</t>
        </is>
      </c>
      <c r="C772" s="14">
        <f>IFERROR(IF(INDEX('01_Formulario_A06'!$D:$D,MATCH("D09-DOC-PPE-001.CRITERIA.SUCESSO",'01_Formulario_A06'!$A:$A,0))="","— (a preencher em 01_Formulario_A06)",INDEX('01_Formulario_A06'!$D:$D,MATCH("D09-DOC-PPE-001.CRITERIA.SUCESSO",'01_Formulario_A06'!$A:$A,0))),"— (a preencher em 01_Formulario_A06)")</f>
        <v/>
      </c>
    </row>
    <row r="773">
      <c r="A773" s="13" t="inlineStr">
        <is>
          <t>D09-DOC-PPE-001.CRITERIA.FALHA</t>
        </is>
      </c>
      <c r="B773" s="2" t="inlineStr">
        <is>
          <t>falha</t>
        </is>
      </c>
      <c r="C773" s="14">
        <f>IFERROR(IF(INDEX('01_Formulario_A06'!$D:$D,MATCH("D09-DOC-PPE-001.CRITERIA.FALHA",'01_Formulario_A06'!$A:$A,0))="","— (a preencher em 01_Formulario_A06)",INDEX('01_Formulario_A06'!$D:$D,MATCH("D09-DOC-PPE-001.CRITERIA.FALHA",'01_Formulario_A06'!$A:$A,0))),"— (a preencher em 01_Formulario_A06)")</f>
        <v/>
      </c>
    </row>
    <row r="774">
      <c r="A774" s="13" t="inlineStr">
        <is>
          <t>D09-DOC-PPE-001.CRITERIA.INCONCLUSIVO</t>
        </is>
      </c>
      <c r="B774" s="2" t="inlineStr">
        <is>
          <t>inconclusivo</t>
        </is>
      </c>
      <c r="C774" s="14">
        <f>IFERROR(IF(INDEX('01_Formulario_A06'!$D:$D,MATCH("D09-DOC-PPE-001.CRITERIA.INCONCLUSIVO",'01_Formulario_A06'!$A:$A,0))="","— (a preencher em 01_Formulario_A06)",INDEX('01_Formulario_A06'!$D:$D,MATCH("D09-DOC-PPE-001.CRITERIA.INCONCLUSIVO",'01_Formulario_A06'!$A:$A,0))),"— (a preencher em 01_Formulario_A06)")</f>
        <v/>
      </c>
    </row>
    <row r="775">
      <c r="A775" s="13" t="inlineStr">
        <is>
          <t>D09-DOC-PPE-001.RESULTS.RESULTADO</t>
        </is>
      </c>
      <c r="B775" s="2" t="inlineStr">
        <is>
          <t>resultado</t>
        </is>
      </c>
      <c r="C775" s="14">
        <f>IFERROR(IF(INDEX('01_Formulario_A06'!$D:$D,MATCH("D09-DOC-PPE-001.RESULTS.RESULTADO",'01_Formulario_A06'!$A:$A,0))="","— (a preencher em 01_Formulario_A06)",INDEX('01_Formulario_A06'!$D:$D,MATCH("D09-DOC-PPE-001.RESULTS.RESULTADO",'01_Formulario_A06'!$A:$A,0))),"— (a preencher em 01_Formulario_A06)")</f>
        <v/>
      </c>
    </row>
    <row r="776">
      <c r="A776" s="13" t="inlineStr">
        <is>
          <t>D09-DOC-PPE-001.RESULTS.LIMITACOES</t>
        </is>
      </c>
      <c r="B776" s="2" t="inlineStr">
        <is>
          <t>limitacoes</t>
        </is>
      </c>
      <c r="C776" s="14">
        <f>IFERROR(IF(INDEX('01_Formulario_A06'!$D:$D,MATCH("D09-DOC-PPE-001.RESULTS.LIMITACOES",'01_Formulario_A06'!$A:$A,0))="","— (a preencher em 01_Formulario_A06)",INDEX('01_Formulario_A06'!$D:$D,MATCH("D09-DOC-PPE-001.RESULTS.LIMITACOES",'01_Formulario_A06'!$A:$A,0))),"— (a preencher em 01_Formulario_A06)")</f>
        <v/>
      </c>
    </row>
    <row r="777">
      <c r="A777" s="13" t="inlineStr">
        <is>
          <t>D09-DOC-PPE-001.DECISION.DECISAO_DERIVADA</t>
        </is>
      </c>
      <c r="B777" s="2" t="inlineStr">
        <is>
          <t>decisao_derivada</t>
        </is>
      </c>
      <c r="C777" s="14">
        <f>IFERROR(IF(INDEX('01_Formulario_A06'!$D:$D,MATCH("D09-DOC-PPE-001.DECISION.DECISAO_DERIVADA",'01_Formulario_A06'!$A:$A,0))="","— (a preencher em 01_Formulario_A06)",INDEX('01_Formulario_A06'!$D:$D,MATCH("D09-DOC-PPE-001.DECISION.DECISAO_DERIVADA",'01_Formulario_A06'!$A:$A,0))),"— (a preencher em 01_Formulario_A06)")</f>
        <v/>
      </c>
    </row>
    <row r="778">
      <c r="A778" s="13" t="inlineStr">
        <is>
          <t>D09-DOC-DEB-001.SCHEMA.CLAIM_ID</t>
        </is>
      </c>
      <c r="B778" s="2" t="inlineStr">
        <is>
          <t>claim_id</t>
        </is>
      </c>
      <c r="C778" s="14">
        <f>IFERROR(IF(INDEX('01_Formulario_A06'!$D:$D,MATCH("D09-DOC-DEB-001.SCHEMA.CLAIM_ID",'01_Formulario_A06'!$A:$A,0))="","— (a preencher em 01_Formulario_A06)",INDEX('01_Formulario_A06'!$D:$D,MATCH("D09-DOC-DEB-001.SCHEMA.CLAIM_ID",'01_Formulario_A06'!$A:$A,0))),"— (a preencher em 01_Formulario_A06)")</f>
        <v/>
      </c>
    </row>
    <row r="779">
      <c r="A779" s="13" t="inlineStr">
        <is>
          <t>D09-DOC-DEB-001.SCHEMA.CLAIM</t>
        </is>
      </c>
      <c r="B779" s="2" t="inlineStr">
        <is>
          <t>claim</t>
        </is>
      </c>
      <c r="C779" s="14">
        <f>IFERROR(IF(INDEX('01_Formulario_A06'!$D:$D,MATCH("D09-DOC-DEB-001.SCHEMA.CLAIM",'01_Formulario_A06'!$A:$A,0))="","— (a preencher em 01_Formulario_A06)",INDEX('01_Formulario_A06'!$D:$D,MATCH("D09-DOC-DEB-001.SCHEMA.CLAIM",'01_Formulario_A06'!$A:$A,0))),"— (a preencher em 01_Formulario_A06)")</f>
        <v/>
      </c>
    </row>
    <row r="780">
      <c r="A780" s="13" t="inlineStr">
        <is>
          <t>D09-DOC-DEB-001.SCHEMA.DOMAIN</t>
        </is>
      </c>
      <c r="B780" s="2" t="inlineStr">
        <is>
          <t>domain</t>
        </is>
      </c>
      <c r="C780" s="14">
        <f>IFERROR(IF(INDEX('01_Formulario_A06'!$D:$D,MATCH("D09-DOC-DEB-001.SCHEMA.DOMAIN",'01_Formulario_A06'!$A:$A,0))="","— (a preencher em 01_Formulario_A06)",INDEX('01_Formulario_A06'!$D:$D,MATCH("D09-DOC-DEB-001.SCHEMA.DOMAIN",'01_Formulario_A06'!$A:$A,0))),"— (a preencher em 01_Formulario_A06)")</f>
        <v/>
      </c>
    </row>
    <row r="781">
      <c r="A781" s="13" t="inlineStr">
        <is>
          <t>D09-DOC-DEB-001.SCHEMA.EVIDENCE_CLASS</t>
        </is>
      </c>
      <c r="B781" s="2" t="inlineStr">
        <is>
          <t>evidence_class</t>
        </is>
      </c>
      <c r="C781" s="14">
        <f>IFERROR(IF(INDEX('01_Formulario_A06'!$D:$D,MATCH("D09-DOC-DEB-001.SCHEMA.EVIDENCE_CLASS",'01_Formulario_A06'!$A:$A,0))="","— (a preencher em 01_Formulario_A06)",INDEX('01_Formulario_A06'!$D:$D,MATCH("D09-DOC-DEB-001.SCHEMA.EVIDENCE_CLASS",'01_Formulario_A06'!$A:$A,0))),"— (a preencher em 01_Formulario_A06)")</f>
        <v/>
      </c>
    </row>
    <row r="782">
      <c r="A782" s="13" t="inlineStr">
        <is>
          <t>D09-DOC-DEB-001.SCHEMA.SOURCE_ID</t>
        </is>
      </c>
      <c r="B782" s="2" t="inlineStr">
        <is>
          <t>source_id</t>
        </is>
      </c>
      <c r="C782" s="14">
        <f>IFERROR(IF(INDEX('01_Formulario_A06'!$D:$D,MATCH("D09-DOC-DEB-001.SCHEMA.SOURCE_ID",'01_Formulario_A06'!$A:$A,0))="","— (a preencher em 01_Formulario_A06)",INDEX('01_Formulario_A06'!$D:$D,MATCH("D09-DOC-DEB-001.SCHEMA.SOURCE_ID",'01_Formulario_A06'!$A:$A,0))),"— (a preencher em 01_Formulario_A06)")</f>
        <v/>
      </c>
    </row>
    <row r="783">
      <c r="A783" s="13" t="inlineStr">
        <is>
          <t>D09-DOC-DEB-001.SCHEMA.SOURCE_TYPE</t>
        </is>
      </c>
      <c r="B783" s="2" t="inlineStr">
        <is>
          <t>source_type</t>
        </is>
      </c>
      <c r="C783" s="14">
        <f>IFERROR(IF(INDEX('01_Formulario_A06'!$D:$D,MATCH("D09-DOC-DEB-001.SCHEMA.SOURCE_TYPE",'01_Formulario_A06'!$A:$A,0))="","— (a preencher em 01_Formulario_A06)",INDEX('01_Formulario_A06'!$D:$D,MATCH("D09-DOC-DEB-001.SCHEMA.SOURCE_TYPE",'01_Formulario_A06'!$A:$A,0))),"— (a preencher em 01_Formulario_A06)")</f>
        <v/>
      </c>
    </row>
    <row r="784">
      <c r="A784" s="13" t="inlineStr">
        <is>
          <t>D09-DOC-DEB-001.SCHEMA.CITATION</t>
        </is>
      </c>
      <c r="B784" s="2" t="inlineStr">
        <is>
          <t>citation</t>
        </is>
      </c>
      <c r="C784" s="14">
        <f>IFERROR(IF(INDEX('01_Formulario_A06'!$D:$D,MATCH("D09-DOC-DEB-001.SCHEMA.CITATION",'01_Formulario_A06'!$A:$A,0))="","— (a preencher em 01_Formulario_A06)",INDEX('01_Formulario_A06'!$D:$D,MATCH("D09-DOC-DEB-001.SCHEMA.CITATION",'01_Formulario_A06'!$A:$A,0))),"— (a preencher em 01_Formulario_A06)")</f>
        <v/>
      </c>
    </row>
    <row r="785">
      <c r="A785" s="13" t="inlineStr">
        <is>
          <t>D09-DOC-DEB-001.SCHEMA.LOCATOR</t>
        </is>
      </c>
      <c r="B785" s="2" t="inlineStr">
        <is>
          <t>locator</t>
        </is>
      </c>
      <c r="C785" s="14">
        <f>IFERROR(IF(INDEX('01_Formulario_A06'!$D:$D,MATCH("D09-DOC-DEB-001.SCHEMA.LOCATOR",'01_Formulario_A06'!$A:$A,0))="","— (a preencher em 01_Formulario_A06)",INDEX('01_Formulario_A06'!$D:$D,MATCH("D09-DOC-DEB-001.SCHEMA.LOCATOR",'01_Formulario_A06'!$A:$A,0))),"— (a preencher em 01_Formulario_A06)")</f>
        <v/>
      </c>
    </row>
    <row r="786">
      <c r="A786" s="13" t="inlineStr">
        <is>
          <t>D09-DOC-DEB-001.SCHEMA.PUBLICATION_DATE</t>
        </is>
      </c>
      <c r="B786" s="2" t="inlineStr">
        <is>
          <t>publication_date</t>
        </is>
      </c>
      <c r="C786" s="14">
        <f>IFERROR(IF(INDEX('01_Formulario_A06'!$D:$D,MATCH("D09-DOC-DEB-001.SCHEMA.PUBLICATION_DATE",'01_Formulario_A06'!$A:$A,0))="","— (a preencher em 01_Formulario_A06)",INDEX('01_Formulario_A06'!$D:$D,MATCH("D09-DOC-DEB-001.SCHEMA.PUBLICATION_DATE",'01_Formulario_A06'!$A:$A,0))),"— (a preencher em 01_Formulario_A06)")</f>
        <v/>
      </c>
    </row>
    <row r="787">
      <c r="A787" s="13" t="inlineStr">
        <is>
          <t>D09-DOC-DEB-001.SCHEMA.POPULATION</t>
        </is>
      </c>
      <c r="B787" s="2" t="inlineStr">
        <is>
          <t>population</t>
        </is>
      </c>
      <c r="C787" s="14">
        <f>IFERROR(IF(INDEX('01_Formulario_A06'!$D:$D,MATCH("D09-DOC-DEB-001.SCHEMA.POPULATION",'01_Formulario_A06'!$A:$A,0))="","— (a preencher em 01_Formulario_A06)",INDEX('01_Formulario_A06'!$D:$D,MATCH("D09-DOC-DEB-001.SCHEMA.POPULATION",'01_Formulario_A06'!$A:$A,0))),"— (a preencher em 01_Formulario_A06)")</f>
        <v/>
      </c>
    </row>
    <row r="788">
      <c r="A788" s="13" t="inlineStr">
        <is>
          <t>D09-DOC-DEB-001.SCHEMA.FINDING</t>
        </is>
      </c>
      <c r="B788" s="2" t="inlineStr">
        <is>
          <t>finding</t>
        </is>
      </c>
      <c r="C788" s="14">
        <f>IFERROR(IF(INDEX('01_Formulario_A06'!$D:$D,MATCH("D09-DOC-DEB-001.SCHEMA.FINDING",'01_Formulario_A06'!$A:$A,0))="","— (a preencher em 01_Formulario_A06)",INDEX('01_Formulario_A06'!$D:$D,MATCH("D09-DOC-DEB-001.SCHEMA.FINDING",'01_Formulario_A06'!$A:$A,0))),"— (a preencher em 01_Formulario_A06)")</f>
        <v/>
      </c>
    </row>
    <row r="789">
      <c r="A789" s="13" t="inlineStr">
        <is>
          <t>D09-DOC-DEB-001.SCHEMA.LIMITATION</t>
        </is>
      </c>
      <c r="B789" s="2" t="inlineStr">
        <is>
          <t>limitation</t>
        </is>
      </c>
      <c r="C789" s="14">
        <f>IFERROR(IF(INDEX('01_Formulario_A06'!$D:$D,MATCH("D09-DOC-DEB-001.SCHEMA.LIMITATION",'01_Formulario_A06'!$A:$A,0))="","— (a preencher em 01_Formulario_A06)",INDEX('01_Formulario_A06'!$D:$D,MATCH("D09-DOC-DEB-001.SCHEMA.LIMITATION",'01_Formulario_A06'!$A:$A,0))),"— (a preencher em 01_Formulario_A06)")</f>
        <v/>
      </c>
    </row>
    <row r="790">
      <c r="A790" s="13" t="inlineStr">
        <is>
          <t>D09-DOC-DEB-001.SCHEMA.CONTRADICTORY_EVIDENCE</t>
        </is>
      </c>
      <c r="B790" s="2" t="inlineStr">
        <is>
          <t>contradictory_evidence</t>
        </is>
      </c>
      <c r="C790" s="14">
        <f>IFERROR(IF(INDEX('01_Formulario_A06'!$D:$D,MATCH("D09-DOC-DEB-001.SCHEMA.CONTRADICTORY_EVIDENCE",'01_Formulario_A06'!$A:$A,0))="","— (a preencher em 01_Formulario_A06)",INDEX('01_Formulario_A06'!$D:$D,MATCH("D09-DOC-DEB-001.SCHEMA.CONTRADICTORY_EVIDENCE",'01_Formulario_A06'!$A:$A,0))),"— (a preencher em 01_Formulario_A06)")</f>
        <v/>
      </c>
    </row>
    <row r="791">
      <c r="A791" s="13" t="inlineStr">
        <is>
          <t>D09-DOC-DEB-001.SCHEMA.SUPPORTED_DOCUMENTS</t>
        </is>
      </c>
      <c r="B791" s="2" t="inlineStr">
        <is>
          <t>supported_documents</t>
        </is>
      </c>
      <c r="C791" s="14">
        <f>IFERROR(IF(INDEX('01_Formulario_A06'!$D:$D,MATCH("D09-DOC-DEB-001.SCHEMA.SUPPORTED_DOCUMENTS",'01_Formulario_A06'!$A:$A,0))="","— (a preencher em 01_Formulario_A06)",INDEX('01_Formulario_A06'!$D:$D,MATCH("D09-DOC-DEB-001.SCHEMA.SUPPORTED_DOCUMENTS",'01_Formulario_A06'!$A:$A,0))),"— (a preencher em 01_Formulario_A06)")</f>
        <v/>
      </c>
    </row>
    <row r="792">
      <c r="A792" s="13" t="inlineStr">
        <is>
          <t>D09-DOC-DEB-001.SCHEMA.CONFIDENCE</t>
        </is>
      </c>
      <c r="B792" s="2" t="inlineStr">
        <is>
          <t>confidence</t>
        </is>
      </c>
      <c r="C792" s="14">
        <f>IFERROR(IF(INDEX('01_Formulario_A06'!$D:$D,MATCH("D09-DOC-DEB-001.SCHEMA.CONFIDENCE",'01_Formulario_A06'!$A:$A,0))="","— (a preencher em 01_Formulario_A06)",INDEX('01_Formulario_A06'!$D:$D,MATCH("D09-DOC-DEB-001.SCHEMA.CONFIDENCE",'01_Formulario_A06'!$A:$A,0))),"— (a preencher em 01_Formulario_A06)")</f>
        <v/>
      </c>
    </row>
    <row r="793">
      <c r="A793" s="13" t="inlineStr">
        <is>
          <t>D09-DOC-DEB-001.SCHEMA.STATUS</t>
        </is>
      </c>
      <c r="B793" s="2" t="inlineStr">
        <is>
          <t>status</t>
        </is>
      </c>
      <c r="C793" s="14">
        <f>IFERROR(IF(INDEX('01_Formulario_A06'!$D:$D,MATCH("D09-DOC-DEB-001.SCHEMA.STATUS",'01_Formulario_A06'!$A:$A,0))="","— (a preencher em 01_Formulario_A06)",INDEX('01_Formulario_A06'!$D:$D,MATCH("D09-DOC-DEB-001.SCHEMA.STATUS",'01_Formulario_A06'!$A:$A,0))),"— (a preencher em 01_Formulario_A06)")</f>
        <v/>
      </c>
    </row>
    <row r="794">
      <c r="A794" s="5" t="inlineStr">
        <is>
          <t>A07 — Corporativo e Suporte</t>
        </is>
      </c>
      <c r="B794" s="6" t="n"/>
      <c r="C794" s="7" t="n"/>
    </row>
    <row r="795">
      <c r="A795" s="13" t="inlineStr">
        <is>
          <t>D04-DOC-PPC-001.ORGANIZATION.ESTRUTURA</t>
        </is>
      </c>
      <c r="B795" s="2" t="inlineStr">
        <is>
          <t>estrutura</t>
        </is>
      </c>
      <c r="C795" s="14">
        <f>IFERROR(IF(INDEX('01_Formulario_A07'!$D:$D,MATCH("D04-DOC-PPC-001.ORGANIZATION.ESTRUTURA",'01_Formulario_A07'!$A:$A,0))="","— (a preencher em 01_Formulario_A07)",INDEX('01_Formulario_A07'!$D:$D,MATCH("D04-DOC-PPC-001.ORGANIZATION.ESTRUTURA",'01_Formulario_A07'!$A:$A,0))),"— (a preencher em 01_Formulario_A07)")</f>
        <v/>
      </c>
    </row>
    <row r="796">
      <c r="A796" s="13" t="inlineStr">
        <is>
          <t>D04-DOC-PPC-001.ORGANIZATION.EQUIPES</t>
        </is>
      </c>
      <c r="B796" s="2" t="inlineStr">
        <is>
          <t>equipes</t>
        </is>
      </c>
      <c r="C796" s="14">
        <f>IFERROR(IF(INDEX('01_Formulario_A07'!$D:$D,MATCH("D04-DOC-PPC-001.ORGANIZATION.EQUIPES",'01_Formulario_A07'!$A:$A,0))="","— (a preencher em 01_Formulario_A07)",INDEX('01_Formulario_A07'!$D:$D,MATCH("D04-DOC-PPC-001.ORGANIZATION.EQUIPES",'01_Formulario_A07'!$A:$A,0))),"— (a preencher em 01_Formulario_A07)")</f>
        <v/>
      </c>
    </row>
    <row r="797">
      <c r="A797" s="13" t="inlineStr">
        <is>
          <t>D04-DOC-PPC-001.ORGANIZATION.FUNCOES</t>
        </is>
      </c>
      <c r="B797" s="2" t="inlineStr">
        <is>
          <t>funcoes</t>
        </is>
      </c>
      <c r="C797" s="14">
        <f>IFERROR(IF(INDEX('01_Formulario_A07'!$D:$D,MATCH("D04-DOC-PPC-001.ORGANIZATION.FUNCOES",'01_Formulario_A07'!$A:$A,0))="","— (a preencher em 01_Formulario_A07)",INDEX('01_Formulario_A07'!$D:$D,MATCH("D04-DOC-PPC-001.ORGANIZATION.FUNCOES",'01_Formulario_A07'!$A:$A,0))),"— (a preencher em 01_Formulario_A07)")</f>
        <v/>
      </c>
    </row>
    <row r="798">
      <c r="A798" s="13" t="inlineStr">
        <is>
          <t>D04-DOC-PPC-001.ROLES.PAPEL</t>
        </is>
      </c>
      <c r="B798" s="2" t="inlineStr">
        <is>
          <t>papel</t>
        </is>
      </c>
      <c r="C798" s="14">
        <f>IFERROR(IF(INDEX('01_Formulario_A07'!$D:$D,MATCH("D04-DOC-PPC-001.ROLES.PAPEL",'01_Formulario_A07'!$A:$A,0))="","— (a preencher em 01_Formulario_A07)",INDEX('01_Formulario_A07'!$D:$D,MATCH("D04-DOC-PPC-001.ROLES.PAPEL",'01_Formulario_A07'!$A:$A,0))),"— (a preencher em 01_Formulario_A07)")</f>
        <v/>
      </c>
    </row>
    <row r="799">
      <c r="A799" s="13" t="inlineStr">
        <is>
          <t>D04-DOC-PPC-001.ROLES.RESPONSABILIDADES</t>
        </is>
      </c>
      <c r="B799" s="2" t="inlineStr">
        <is>
          <t>responsabilidades</t>
        </is>
      </c>
      <c r="C799" s="14">
        <f>IFERROR(IF(INDEX('01_Formulario_A07'!$D:$D,MATCH("D04-DOC-PPC-001.ROLES.RESPONSABILIDADES",'01_Formulario_A07'!$A:$A,0))="","— (a preencher em 01_Formulario_A07)",INDEX('01_Formulario_A07'!$D:$D,MATCH("D04-DOC-PPC-001.ROLES.RESPONSABILIDADES",'01_Formulario_A07'!$A:$A,0))),"— (a preencher em 01_Formulario_A07)")</f>
        <v/>
      </c>
    </row>
    <row r="800">
      <c r="A800" s="13" t="inlineStr">
        <is>
          <t>D04-DOC-PPC-001.ROLES.AUTORIDADE</t>
        </is>
      </c>
      <c r="B800" s="2" t="inlineStr">
        <is>
          <t>autoridade</t>
        </is>
      </c>
      <c r="C800" s="14">
        <f>IFERROR(IF(INDEX('01_Formulario_A07'!$D:$D,MATCH("D04-DOC-PPC-001.ROLES.AUTORIDADE",'01_Formulario_A07'!$A:$A,0))="","— (a preencher em 01_Formulario_A07)",INDEX('01_Formulario_A07'!$D:$D,MATCH("D04-DOC-PPC-001.ROLES.AUTORIDADE",'01_Formulario_A07'!$A:$A,0))),"— (a preencher em 01_Formulario_A07)")</f>
        <v/>
      </c>
    </row>
    <row r="801">
      <c r="A801" s="13" t="inlineStr">
        <is>
          <t>D04-DOC-PPC-001.RACI.ATIVIDADE</t>
        </is>
      </c>
      <c r="B801" s="2" t="inlineStr">
        <is>
          <t>atividade</t>
        </is>
      </c>
      <c r="C801" s="14">
        <f>IFERROR(IF(INDEX('01_Formulario_A07'!$D:$D,MATCH("D04-DOC-PPC-001.RACI.ATIVIDADE",'01_Formulario_A07'!$A:$A,0))="","— (a preencher em 01_Formulario_A07)",INDEX('01_Formulario_A07'!$D:$D,MATCH("D04-DOC-PPC-001.RACI.ATIVIDADE",'01_Formulario_A07'!$A:$A,0))),"— (a preencher em 01_Formulario_A07)")</f>
        <v/>
      </c>
    </row>
    <row r="802">
      <c r="A802" s="13" t="inlineStr">
        <is>
          <t>D04-DOC-PPC-001.RACI.RESPONSAVEL</t>
        </is>
      </c>
      <c r="B802" s="2" t="inlineStr">
        <is>
          <t>responsavel</t>
        </is>
      </c>
      <c r="C802" s="14">
        <f>IFERROR(IF(INDEX('01_Formulario_A07'!$D:$D,MATCH("D04-DOC-PPC-001.RACI.RESPONSAVEL",'01_Formulario_A07'!$A:$A,0))="","— (a preencher em 01_Formulario_A07)",INDEX('01_Formulario_A07'!$D:$D,MATCH("D04-DOC-PPC-001.RACI.RESPONSAVEL",'01_Formulario_A07'!$A:$A,0))),"— (a preencher em 01_Formulario_A07)")</f>
        <v/>
      </c>
    </row>
    <row r="803">
      <c r="A803" s="13" t="inlineStr">
        <is>
          <t>D04-DOC-PPC-001.RACI.APROVADOR</t>
        </is>
      </c>
      <c r="B803" s="2" t="inlineStr">
        <is>
          <t>aprovador</t>
        </is>
      </c>
      <c r="C803" s="14">
        <f>IFERROR(IF(INDEX('01_Formulario_A07'!$D:$D,MATCH("D04-DOC-PPC-001.RACI.APROVADOR",'01_Formulario_A07'!$A:$A,0))="","— (a preencher em 01_Formulario_A07)",INDEX('01_Formulario_A07'!$D:$D,MATCH("D04-DOC-PPC-001.RACI.APROVADOR",'01_Formulario_A07'!$A:$A,0))),"— (a preencher em 01_Formulario_A07)")</f>
        <v/>
      </c>
    </row>
    <row r="804">
      <c r="A804" s="13" t="inlineStr">
        <is>
          <t>D04-DOC-PPC-001.RACI.CONSULTADO</t>
        </is>
      </c>
      <c r="B804" s="2" t="inlineStr">
        <is>
          <t>consultado</t>
        </is>
      </c>
      <c r="C804" s="14">
        <f>IFERROR(IF(INDEX('01_Formulario_A07'!$D:$D,MATCH("D04-DOC-PPC-001.RACI.CONSULTADO",'01_Formulario_A07'!$A:$A,0))="","— (a preencher em 01_Formulario_A07)",INDEX('01_Formulario_A07'!$D:$D,MATCH("D04-DOC-PPC-001.RACI.CONSULTADO",'01_Formulario_A07'!$A:$A,0))),"— (a preencher em 01_Formulario_A07)")</f>
        <v/>
      </c>
    </row>
    <row r="805">
      <c r="A805" s="13" t="inlineStr">
        <is>
          <t>D04-DOC-PPC-001.RACI.INFORMADO</t>
        </is>
      </c>
      <c r="B805" s="2" t="inlineStr">
        <is>
          <t>informado</t>
        </is>
      </c>
      <c r="C805" s="14">
        <f>IFERROR(IF(INDEX('01_Formulario_A07'!$D:$D,MATCH("D04-DOC-PPC-001.RACI.INFORMADO",'01_Formulario_A07'!$A:$A,0))="","— (a preencher em 01_Formulario_A07)",INDEX('01_Formulario_A07'!$D:$D,MATCH("D04-DOC-PPC-001.RACI.INFORMADO",'01_Formulario_A07'!$A:$A,0))),"— (a preencher em 01_Formulario_A07)")</f>
        <v/>
      </c>
    </row>
    <row r="806">
      <c r="A806" s="13" t="inlineStr">
        <is>
          <t>D04-DOC-PPC-001.PEOPLE.PESSOA</t>
        </is>
      </c>
      <c r="B806" s="2" t="inlineStr">
        <is>
          <t>pessoa</t>
        </is>
      </c>
      <c r="C806" s="14">
        <f>IFERROR(IF(INDEX('01_Formulario_A07'!$D:$D,MATCH("D04-DOC-PPC-001.PEOPLE.PESSOA",'01_Formulario_A07'!$A:$A,0))="","— (a preencher em 01_Formulario_A07)",INDEX('01_Formulario_A07'!$D:$D,MATCH("D04-DOC-PPC-001.PEOPLE.PESSOA",'01_Formulario_A07'!$A:$A,0))),"— (a preencher em 01_Formulario_A07)")</f>
        <v/>
      </c>
    </row>
    <row r="807">
      <c r="A807" s="13" t="inlineStr">
        <is>
          <t>D04-DOC-PPC-001.PEOPLE.FUNCAO</t>
        </is>
      </c>
      <c r="B807" s="2" t="inlineStr">
        <is>
          <t>funcao</t>
        </is>
      </c>
      <c r="C807" s="14">
        <f>IFERROR(IF(INDEX('01_Formulario_A07'!$D:$D,MATCH("D04-DOC-PPC-001.PEOPLE.FUNCAO",'01_Formulario_A07'!$A:$A,0))="","— (a preencher em 01_Formulario_A07)",INDEX('01_Formulario_A07'!$D:$D,MATCH("D04-DOC-PPC-001.PEOPLE.FUNCAO",'01_Formulario_A07'!$A:$A,0))),"— (a preencher em 01_Formulario_A07)")</f>
        <v/>
      </c>
    </row>
    <row r="808">
      <c r="A808" s="13" t="inlineStr">
        <is>
          <t>D04-DOC-PPC-001.PEOPLE.DISPONIBILIDADE</t>
        </is>
      </c>
      <c r="B808" s="2" t="inlineStr">
        <is>
          <t>disponibilidade</t>
        </is>
      </c>
      <c r="C808" s="14">
        <f>IFERROR(IF(INDEX('01_Formulario_A07'!$D:$D,MATCH("D04-DOC-PPC-001.PEOPLE.DISPONIBILIDADE",'01_Formulario_A07'!$A:$A,0))="","— (a preencher em 01_Formulario_A07)",INDEX('01_Formulario_A07'!$D:$D,MATCH("D04-DOC-PPC-001.PEOPLE.DISPONIBILIDADE",'01_Formulario_A07'!$A:$A,0))),"— (a preencher em 01_Formulario_A07)")</f>
        <v/>
      </c>
    </row>
    <row r="809">
      <c r="A809" s="13" t="inlineStr">
        <is>
          <t>D04-DOC-PPC-001.COMPETENCIES.COMPETENCIA</t>
        </is>
      </c>
      <c r="B809" s="2" t="inlineStr">
        <is>
          <t>competencia</t>
        </is>
      </c>
      <c r="C809" s="14">
        <f>IFERROR(IF(INDEX('01_Formulario_A07'!$D:$D,MATCH("D04-DOC-PPC-001.COMPETENCIES.COMPETENCIA",'01_Formulario_A07'!$A:$A,0))="","— (a preencher em 01_Formulario_A07)",INDEX('01_Formulario_A07'!$D:$D,MATCH("D04-DOC-PPC-001.COMPETENCIES.COMPETENCIA",'01_Formulario_A07'!$A:$A,0))),"— (a preencher em 01_Formulario_A07)")</f>
        <v/>
      </c>
    </row>
    <row r="810">
      <c r="A810" s="13" t="inlineStr">
        <is>
          <t>D04-DOC-PPC-001.COMPETENCIES.NIVEL</t>
        </is>
      </c>
      <c r="B810" s="2" t="inlineStr">
        <is>
          <t>nivel</t>
        </is>
      </c>
      <c r="C810" s="14">
        <f>IFERROR(IF(INDEX('01_Formulario_A07'!$D:$D,MATCH("D04-DOC-PPC-001.COMPETENCIES.NIVEL",'01_Formulario_A07'!$A:$A,0))="","— (a preencher em 01_Formulario_A07)",INDEX('01_Formulario_A07'!$D:$D,MATCH("D04-DOC-PPC-001.COMPETENCIES.NIVEL",'01_Formulario_A07'!$A:$A,0))),"— (a preencher em 01_Formulario_A07)")</f>
        <v/>
      </c>
    </row>
    <row r="811">
      <c r="A811" s="13" t="inlineStr">
        <is>
          <t>D04-DOC-PPC-001.COMPETENCIES.NECESSIDADE</t>
        </is>
      </c>
      <c r="B811" s="2" t="inlineStr">
        <is>
          <t>necessidade</t>
        </is>
      </c>
      <c r="C811" s="14">
        <f>IFERROR(IF(INDEX('01_Formulario_A07'!$D:$D,MATCH("D04-DOC-PPC-001.COMPETENCIES.NECESSIDADE",'01_Formulario_A07'!$A:$A,0))="","— (a preencher em 01_Formulario_A07)",INDEX('01_Formulario_A07'!$D:$D,MATCH("D04-DOC-PPC-001.COMPETENCIES.NECESSIDADE",'01_Formulario_A07'!$A:$A,0))),"— (a preencher em 01_Formulario_A07)")</f>
        <v/>
      </c>
    </row>
    <row r="812">
      <c r="A812" s="13" t="inlineStr">
        <is>
          <t>D04-DOC-PPC-001.CAPACITY.HORAS_DISPONIVEIS</t>
        </is>
      </c>
      <c r="B812" s="2" t="inlineStr">
        <is>
          <t>horas_disponiveis</t>
        </is>
      </c>
      <c r="C812" s="14">
        <f>IFERROR(IF(INDEX('01_Formulario_A07'!$D:$D,MATCH("D04-DOC-PPC-001.CAPACITY.HORAS_DISPONIVEIS",'01_Formulario_A07'!$A:$A,0))="","— (a preencher em 01_Formulario_A07)",INDEX('01_Formulario_A07'!$D:$D,MATCH("D04-DOC-PPC-001.CAPACITY.HORAS_DISPONIVEIS",'01_Formulario_A07'!$A:$A,0))),"— (a preencher em 01_Formulario_A07)")</f>
        <v/>
      </c>
    </row>
    <row r="813">
      <c r="A813" s="13" t="inlineStr">
        <is>
          <t>D04-DOC-PPC-001.CAPACITY.CAPACIDADE_LIQUIDA</t>
        </is>
      </c>
      <c r="B813" s="2" t="inlineStr">
        <is>
          <t>capacidade_liquida</t>
        </is>
      </c>
      <c r="C813" s="14">
        <f>IFERROR(IF(INDEX('01_Formulario_A07'!$D:$D,MATCH("D04-DOC-PPC-001.CAPACITY.CAPACIDADE_LIQUIDA",'01_Formulario_A07'!$A:$A,0))="","— (a preencher em 01_Formulario_A07)",INDEX('01_Formulario_A07'!$D:$D,MATCH("D04-DOC-PPC-001.CAPACITY.CAPACIDADE_LIQUIDA",'01_Formulario_A07'!$A:$A,0))),"— (a preencher em 01_Formulario_A07)")</f>
        <v/>
      </c>
    </row>
    <row r="814">
      <c r="A814" s="13" t="inlineStr">
        <is>
          <t>D04-DOC-PPC-001.CAPACITY.RESTRICOES</t>
        </is>
      </c>
      <c r="B814" s="2" t="inlineStr">
        <is>
          <t>restricoes</t>
        </is>
      </c>
      <c r="C814" s="14">
        <f>IFERROR(IF(INDEX('01_Formulario_A07'!$D:$D,MATCH("D04-DOC-PPC-001.CAPACITY.RESTRICOES",'01_Formulario_A07'!$A:$A,0))="","— (a preencher em 01_Formulario_A07)",INDEX('01_Formulario_A07'!$D:$D,MATCH("D04-DOC-PPC-001.CAPACITY.RESTRICOES",'01_Formulario_A07'!$A:$A,0))),"— (a preencher em 01_Formulario_A07)")</f>
        <v/>
      </c>
    </row>
    <row r="815">
      <c r="A815" s="13" t="inlineStr">
        <is>
          <t>D04-DOC-PPC-001.WORKLOAD.DEMANDA</t>
        </is>
      </c>
      <c r="B815" s="2" t="inlineStr">
        <is>
          <t>demanda</t>
        </is>
      </c>
      <c r="C815" s="14">
        <f>IFERROR(IF(INDEX('01_Formulario_A07'!$D:$D,MATCH("D04-DOC-PPC-001.WORKLOAD.DEMANDA",'01_Formulario_A07'!$A:$A,0))="","— (a preencher em 01_Formulario_A07)",INDEX('01_Formulario_A07'!$D:$D,MATCH("D04-DOC-PPC-001.WORKLOAD.DEMANDA",'01_Formulario_A07'!$A:$A,0))),"— (a preencher em 01_Formulario_A07)")</f>
        <v/>
      </c>
    </row>
    <row r="816">
      <c r="A816" s="13" t="inlineStr">
        <is>
          <t>D04-DOC-PPC-001.WORKLOAD.CAPACIDADE</t>
        </is>
      </c>
      <c r="B816" s="2" t="inlineStr">
        <is>
          <t>capacidade</t>
        </is>
      </c>
      <c r="C816" s="14">
        <f>IFERROR(IF(INDEX('01_Formulario_A07'!$D:$D,MATCH("D04-DOC-PPC-001.WORKLOAD.CAPACIDADE",'01_Formulario_A07'!$A:$A,0))="","— (a preencher em 01_Formulario_A07)",INDEX('01_Formulario_A07'!$D:$D,MATCH("D04-DOC-PPC-001.WORKLOAD.CAPACIDADE",'01_Formulario_A07'!$A:$A,0))),"— (a preencher em 01_Formulario_A07)")</f>
        <v/>
      </c>
    </row>
    <row r="817">
      <c r="A817" s="13" t="inlineStr">
        <is>
          <t>D04-DOC-PPC-001.WORKLOAD.DEFICIT</t>
        </is>
      </c>
      <c r="B817" s="2" t="inlineStr">
        <is>
          <t>deficit</t>
        </is>
      </c>
      <c r="C817" s="14">
        <f>IFERROR(IF(INDEX('01_Formulario_A07'!$D:$D,MATCH("D04-DOC-PPC-001.WORKLOAD.DEFICIT",'01_Formulario_A07'!$A:$A,0))="","— (a preencher em 01_Formulario_A07)",INDEX('01_Formulario_A07'!$D:$D,MATCH("D04-DOC-PPC-001.WORKLOAD.DEFICIT",'01_Formulario_A07'!$A:$A,0))),"— (a preencher em 01_Formulario_A07)")</f>
        <v/>
      </c>
    </row>
    <row r="818">
      <c r="A818" s="13" t="inlineStr">
        <is>
          <t>D04-DOC-PPC-001.GAPS.LACUNA</t>
        </is>
      </c>
      <c r="B818" s="2" t="inlineStr">
        <is>
          <t>lacuna</t>
        </is>
      </c>
      <c r="C818" s="14">
        <f>IFERROR(IF(INDEX('01_Formulario_A07'!$D:$D,MATCH("D04-DOC-PPC-001.GAPS.LACUNA",'01_Formulario_A07'!$A:$A,0))="","— (a preencher em 01_Formulario_A07)",INDEX('01_Formulario_A07'!$D:$D,MATCH("D04-DOC-PPC-001.GAPS.LACUNA",'01_Formulario_A07'!$A:$A,0))),"— (a preencher em 01_Formulario_A07)")</f>
        <v/>
      </c>
    </row>
    <row r="819">
      <c r="A819" s="13" t="inlineStr">
        <is>
          <t>D04-DOC-PPC-001.GAPS.IMPACTO</t>
        </is>
      </c>
      <c r="B819" s="2" t="inlineStr">
        <is>
          <t>impacto</t>
        </is>
      </c>
      <c r="C819" s="14">
        <f>IFERROR(IF(INDEX('01_Formulario_A07'!$D:$D,MATCH("D04-DOC-PPC-001.GAPS.IMPACTO",'01_Formulario_A07'!$A:$A,0))="","— (a preencher em 01_Formulario_A07)",INDEX('01_Formulario_A07'!$D:$D,MATCH("D04-DOC-PPC-001.GAPS.IMPACTO",'01_Formulario_A07'!$A:$A,0))),"— (a preencher em 01_Formulario_A07)")</f>
        <v/>
      </c>
    </row>
    <row r="820">
      <c r="A820" s="13" t="inlineStr">
        <is>
          <t>D04-DOC-PPC-001.GAPS.PRIORIDADE</t>
        </is>
      </c>
      <c r="B820" s="2" t="inlineStr">
        <is>
          <t>prioridade</t>
        </is>
      </c>
      <c r="C820" s="14">
        <f>IFERROR(IF(INDEX('01_Formulario_A07'!$D:$D,MATCH("D04-DOC-PPC-001.GAPS.PRIORIDADE",'01_Formulario_A07'!$A:$A,0))="","— (a preencher em 01_Formulario_A07)",INDEX('01_Formulario_A07'!$D:$D,MATCH("D04-DOC-PPC-001.GAPS.PRIORIDADE",'01_Formulario_A07'!$A:$A,0))),"— (a preencher em 01_Formulario_A07)")</f>
        <v/>
      </c>
    </row>
    <row r="821">
      <c r="A821" s="13" t="inlineStr">
        <is>
          <t>D04-DOC-PPC-001.HIRING.NECESSIDADES_FUTURAS</t>
        </is>
      </c>
      <c r="B821" s="2" t="inlineStr">
        <is>
          <t>necessidades_futuras</t>
        </is>
      </c>
      <c r="C821" s="14">
        <f>IFERROR(IF(INDEX('01_Formulario_A07'!$D:$D,MATCH("D04-DOC-PPC-001.HIRING.NECESSIDADES_FUTURAS",'01_Formulario_A07'!$A:$A,0))="","— (a preencher em 01_Formulario_A07)",INDEX('01_Formulario_A07'!$D:$D,MATCH("D04-DOC-PPC-001.HIRING.NECESSIDADES_FUTURAS",'01_Formulario_A07'!$A:$A,0))),"— (a preencher em 01_Formulario_A07)")</f>
        <v/>
      </c>
    </row>
    <row r="822">
      <c r="A822" s="13" t="inlineStr">
        <is>
          <t>D04-DOC-PPC-001.HIRING.PERFIL</t>
        </is>
      </c>
      <c r="B822" s="2" t="inlineStr">
        <is>
          <t>perfil</t>
        </is>
      </c>
      <c r="C822" s="14">
        <f>IFERROR(IF(INDEX('01_Formulario_A07'!$D:$D,MATCH("D04-DOC-PPC-001.HIRING.PERFIL",'01_Formulario_A07'!$A:$A,0))="","— (a preencher em 01_Formulario_A07)",INDEX('01_Formulario_A07'!$D:$D,MATCH("D04-DOC-PPC-001.HIRING.PERFIL",'01_Formulario_A07'!$A:$A,0))),"— (a preencher em 01_Formulario_A07)")</f>
        <v/>
      </c>
    </row>
    <row r="823">
      <c r="A823" s="13" t="inlineStr">
        <is>
          <t>D04-DOC-PPC-001.ONBOARDING.ENTRADA</t>
        </is>
      </c>
      <c r="B823" s="2" t="inlineStr">
        <is>
          <t>entrada</t>
        </is>
      </c>
      <c r="C823" s="14">
        <f>IFERROR(IF(INDEX('01_Formulario_A07'!$D:$D,MATCH("D04-DOC-PPC-001.ONBOARDING.ENTRADA",'01_Formulario_A07'!$A:$A,0))="","— (a preencher em 01_Formulario_A07)",INDEX('01_Formulario_A07'!$D:$D,MATCH("D04-DOC-PPC-001.ONBOARDING.ENTRADA",'01_Formulario_A07'!$A:$A,0))),"— (a preencher em 01_Formulario_A07)")</f>
        <v/>
      </c>
    </row>
    <row r="824">
      <c r="A824" s="13" t="inlineStr">
        <is>
          <t>D04-DOC-PPC-001.ONBOARDING.TREINAMENTO</t>
        </is>
      </c>
      <c r="B824" s="2" t="inlineStr">
        <is>
          <t>treinamento</t>
        </is>
      </c>
      <c r="C824" s="14">
        <f>IFERROR(IF(INDEX('01_Formulario_A07'!$D:$D,MATCH("D04-DOC-PPC-001.ONBOARDING.TREINAMENTO",'01_Formulario_A07'!$A:$A,0))="","— (a preencher em 01_Formulario_A07)",INDEX('01_Formulario_A07'!$D:$D,MATCH("D04-DOC-PPC-001.ONBOARDING.TREINAMENTO",'01_Formulario_A07'!$A:$A,0))),"— (a preencher em 01_Formulario_A07)")</f>
        <v/>
      </c>
    </row>
    <row r="825">
      <c r="A825" s="13" t="inlineStr">
        <is>
          <t>D04-DOC-PPC-001.ONBOARDING.ACESSO</t>
        </is>
      </c>
      <c r="B825" s="2" t="inlineStr">
        <is>
          <t>acesso</t>
        </is>
      </c>
      <c r="C825" s="14">
        <f>IFERROR(IF(INDEX('01_Formulario_A07'!$D:$D,MATCH("D04-DOC-PPC-001.ONBOARDING.ACESSO",'01_Formulario_A07'!$A:$A,0))="","— (a preencher em 01_Formulario_A07)",INDEX('01_Formulario_A07'!$D:$D,MATCH("D04-DOC-PPC-001.ONBOARDING.ACESSO",'01_Formulario_A07'!$A:$A,0))),"— (a preencher em 01_Formulario_A07)")</f>
        <v/>
      </c>
    </row>
    <row r="826">
      <c r="A826" s="13" t="inlineStr">
        <is>
          <t>D04-DOC-PPC-001.DEVELOPMENT.FORMACAO</t>
        </is>
      </c>
      <c r="B826" s="2" t="inlineStr">
        <is>
          <t>formacao</t>
        </is>
      </c>
      <c r="C826" s="14">
        <f>IFERROR(IF(INDEX('01_Formulario_A07'!$D:$D,MATCH("D04-DOC-PPC-001.DEVELOPMENT.FORMACAO",'01_Formulario_A07'!$A:$A,0))="","— (a preencher em 01_Formulario_A07)",INDEX('01_Formulario_A07'!$D:$D,MATCH("D04-DOC-PPC-001.DEVELOPMENT.FORMACAO",'01_Formulario_A07'!$A:$A,0))),"— (a preencher em 01_Formulario_A07)")</f>
        <v/>
      </c>
    </row>
    <row r="827">
      <c r="A827" s="13" t="inlineStr">
        <is>
          <t>D04-DOC-PPC-001.DEVELOPMENT.CAPACITACAO</t>
        </is>
      </c>
      <c r="B827" s="2" t="inlineStr">
        <is>
          <t>capacitacao</t>
        </is>
      </c>
      <c r="C827" s="14">
        <f>IFERROR(IF(INDEX('01_Formulario_A07'!$D:$D,MATCH("D04-DOC-PPC-001.DEVELOPMENT.CAPACITACAO",'01_Formulario_A07'!$A:$A,0))="","— (a preencher em 01_Formulario_A07)",INDEX('01_Formulario_A07'!$D:$D,MATCH("D04-DOC-PPC-001.DEVELOPMENT.CAPACITACAO",'01_Formulario_A07'!$A:$A,0))),"— (a preencher em 01_Formulario_A07)")</f>
        <v/>
      </c>
    </row>
    <row r="828">
      <c r="A828" s="13" t="inlineStr">
        <is>
          <t>D04-DOC-PPC-001.CONTINUITY.DEPENDENCIA_DE_PESSOA</t>
        </is>
      </c>
      <c r="B828" s="2" t="inlineStr">
        <is>
          <t>dependencia_de_pessoa</t>
        </is>
      </c>
      <c r="C828" s="14">
        <f>IFERROR(IF(INDEX('01_Formulario_A07'!$D:$D,MATCH("D04-DOC-PPC-001.CONTINUITY.DEPENDENCIA_DE_PESSOA",'01_Formulario_A07'!$A:$A,0))="","— (a preencher em 01_Formulario_A07)",INDEX('01_Formulario_A07'!$D:$D,MATCH("D04-DOC-PPC-001.CONTINUITY.DEPENDENCIA_DE_PESSOA",'01_Formulario_A07'!$A:$A,0))),"— (a preencher em 01_Formulario_A07)")</f>
        <v/>
      </c>
    </row>
    <row r="829">
      <c r="A829" s="13" t="inlineStr">
        <is>
          <t>D04-DOC-PPC-001.CONTINUITY.SUBSTITUICAO</t>
        </is>
      </c>
      <c r="B829" s="2" t="inlineStr">
        <is>
          <t>substituicao</t>
        </is>
      </c>
      <c r="C829" s="14">
        <f>IFERROR(IF(INDEX('01_Formulario_A07'!$D:$D,MATCH("D04-DOC-PPC-001.CONTINUITY.SUBSTITUICAO",'01_Formulario_A07'!$A:$A,0))="","— (a preencher em 01_Formulario_A07)",INDEX('01_Formulario_A07'!$D:$D,MATCH("D04-DOC-PPC-001.CONTINUITY.SUBSTITUICAO",'01_Formulario_A07'!$A:$A,0))),"— (a preencher em 01_Formulario_A07)")</f>
        <v/>
      </c>
    </row>
    <row r="830">
      <c r="A830" s="13" t="inlineStr">
        <is>
          <t>D04-DOC-PPC-001.METRICS.UTILIZACAO</t>
        </is>
      </c>
      <c r="B830" s="2" t="inlineStr">
        <is>
          <t>utilizacao</t>
        </is>
      </c>
      <c r="C830" s="14">
        <f>IFERROR(IF(INDEX('01_Formulario_A07'!$D:$D,MATCH("D04-DOC-PPC-001.METRICS.UTILIZACAO",'01_Formulario_A07'!$A:$A,0))="","— (a preencher em 01_Formulario_A07)",INDEX('01_Formulario_A07'!$D:$D,MATCH("D04-DOC-PPC-001.METRICS.UTILIZACAO",'01_Formulario_A07'!$A:$A,0))),"— (a preencher em 01_Formulario_A07)")</f>
        <v/>
      </c>
    </row>
    <row r="831">
      <c r="A831" s="13" t="inlineStr">
        <is>
          <t>D04-DOC-PPC-001.METRICS.CAPACIDADE</t>
        </is>
      </c>
      <c r="B831" s="2" t="inlineStr">
        <is>
          <t>capacidade</t>
        </is>
      </c>
      <c r="C831" s="14">
        <f>IFERROR(IF(INDEX('01_Formulario_A07'!$D:$D,MATCH("D04-DOC-PPC-001.METRICS.CAPACIDADE",'01_Formulario_A07'!$A:$A,0))="","— (a preencher em 01_Formulario_A07)",INDEX('01_Formulario_A07'!$D:$D,MATCH("D04-DOC-PPC-001.METRICS.CAPACIDADE",'01_Formulario_A07'!$A:$A,0))),"— (a preencher em 01_Formulario_A07)")</f>
        <v/>
      </c>
    </row>
    <row r="832">
      <c r="A832" s="13" t="inlineStr">
        <is>
          <t>D04-DOC-PPC-001.METRICS.TURNOVER</t>
        </is>
      </c>
      <c r="B832" s="2" t="inlineStr">
        <is>
          <t>turnover</t>
        </is>
      </c>
      <c r="C832" s="14">
        <f>IFERROR(IF(INDEX('01_Formulario_A07'!$D:$D,MATCH("D04-DOC-PPC-001.METRICS.TURNOVER",'01_Formulario_A07'!$A:$A,0))="","— (a preencher em 01_Formulario_A07)",INDEX('01_Formulario_A07'!$D:$D,MATCH("D04-DOC-PPC-001.METRICS.TURNOVER",'01_Formulario_A07'!$A:$A,0))),"— (a preencher em 01_Formulario_A07)")</f>
        <v/>
      </c>
    </row>
    <row r="833">
      <c r="A833" s="13" t="inlineStr">
        <is>
          <t>D04-DOC-PPC-001.METRICS.GAPS</t>
        </is>
      </c>
      <c r="B833" s="2" t="inlineStr">
        <is>
          <t>gaps</t>
        </is>
      </c>
      <c r="C833" s="14">
        <f>IFERROR(IF(INDEX('01_Formulario_A07'!$D:$D,MATCH("D04-DOC-PPC-001.METRICS.GAPS",'01_Formulario_A07'!$A:$A,0))="","— (a preencher em 01_Formulario_A07)",INDEX('01_Formulario_A07'!$D:$D,MATCH("D04-DOC-PPC-001.METRICS.GAPS",'01_Formulario_A07'!$A:$A,0))),"— (a preencher em 01_Formulario_A07)")</f>
        <v/>
      </c>
    </row>
    <row r="834">
      <c r="A834" s="5" t="inlineStr">
        <is>
          <t>A08 — Conteúdo, Comunicação e Growth</t>
        </is>
      </c>
      <c r="B834" s="6" t="n"/>
      <c r="C834" s="7" t="n"/>
    </row>
    <row r="835">
      <c r="A835" s="13" t="inlineStr">
        <is>
          <t>D16-DOC-PEM-001.OBJECTIVES.OBJETIVOS</t>
        </is>
      </c>
      <c r="B835" s="2" t="inlineStr">
        <is>
          <t>objetivos</t>
        </is>
      </c>
      <c r="C835" s="14">
        <f>IFERROR(IF(INDEX('01_Formulario_A08'!$D:$D,MATCH("D16-DOC-PEM-001.OBJECTIVES.OBJETIVOS",'01_Formulario_A08'!$A:$A,0))="","— (a preencher em 01_Formulario_A08)",INDEX('01_Formulario_A08'!$D:$D,MATCH("D16-DOC-PEM-001.OBJECTIVES.OBJETIVOS",'01_Formulario_A08'!$A:$A,0))),"— (a preencher em 01_Formulario_A08)")</f>
        <v/>
      </c>
    </row>
    <row r="836">
      <c r="A836" s="13" t="inlineStr">
        <is>
          <t>D16-DOC-PEM-001.AUDIENCE.PUBLICOS</t>
        </is>
      </c>
      <c r="B836" s="2" t="inlineStr">
        <is>
          <t>publicos</t>
        </is>
      </c>
      <c r="C836" s="14">
        <f>IFERROR(IF(INDEX('01_Formulario_A08'!$D:$D,MATCH("D16-DOC-PEM-001.AUDIENCE.PUBLICOS",'01_Formulario_A08'!$A:$A,0))="","— (a preencher em 01_Formulario_A08)",INDEX('01_Formulario_A08'!$D:$D,MATCH("D16-DOC-PEM-001.AUDIENCE.PUBLICOS",'01_Formulario_A08'!$A:$A,0))),"— (a preencher em 01_Formulario_A08)")</f>
        <v/>
      </c>
    </row>
    <row r="837">
      <c r="A837" s="13" t="inlineStr">
        <is>
          <t>D16-DOC-PEM-001.CHANNELS.CANAL</t>
        </is>
      </c>
      <c r="B837" s="2" t="inlineStr">
        <is>
          <t>canal</t>
        </is>
      </c>
      <c r="C837" s="14">
        <f>IFERROR(IF(INDEX('01_Formulario_A08'!$D:$D,MATCH("D16-DOC-PEM-001.CHANNELS.CANAL",'01_Formulario_A08'!$A:$A,0))="","— (a preencher em 01_Formulario_A08)",INDEX('01_Formulario_A08'!$D:$D,MATCH("D16-DOC-PEM-001.CHANNELS.CANAL",'01_Formulario_A08'!$A:$A,0))),"— (a preencher em 01_Formulario_A08)")</f>
        <v/>
      </c>
    </row>
    <row r="838">
      <c r="A838" s="13" t="inlineStr">
        <is>
          <t>D16-DOC-PEM-001.CHANNELS.FUNCAO</t>
        </is>
      </c>
      <c r="B838" s="2" t="inlineStr">
        <is>
          <t>funcao</t>
        </is>
      </c>
      <c r="C838" s="14">
        <f>IFERROR(IF(INDEX('01_Formulario_A08'!$D:$D,MATCH("D16-DOC-PEM-001.CHANNELS.FUNCAO",'01_Formulario_A08'!$A:$A,0))="","— (a preencher em 01_Formulario_A08)",INDEX('01_Formulario_A08'!$D:$D,MATCH("D16-DOC-PEM-001.CHANNELS.FUNCAO",'01_Formulario_A08'!$A:$A,0))),"— (a preencher em 01_Formulario_A08)")</f>
        <v/>
      </c>
    </row>
    <row r="839">
      <c r="A839" s="13" t="inlineStr">
        <is>
          <t>D16-DOC-PEM-001.CONTENT_PILLARS.PILAR</t>
        </is>
      </c>
      <c r="B839" s="2" t="inlineStr">
        <is>
          <t>pilar</t>
        </is>
      </c>
      <c r="C839" s="14">
        <f>IFERROR(IF(INDEX('01_Formulario_A08'!$D:$D,MATCH("D16-DOC-PEM-001.CONTENT_PILLARS.PILAR",'01_Formulario_A08'!$A:$A,0))="","— (a preencher em 01_Formulario_A08)",INDEX('01_Formulario_A08'!$D:$D,MATCH("D16-DOC-PEM-001.CONTENT_PILLARS.PILAR",'01_Formulario_A08'!$A:$A,0))),"— (a preencher em 01_Formulario_A08)")</f>
        <v/>
      </c>
    </row>
    <row r="840">
      <c r="A840" s="13" t="inlineStr">
        <is>
          <t>D16-DOC-PEM-001.CONTENT_PILLARS.TESE</t>
        </is>
      </c>
      <c r="B840" s="2" t="inlineStr">
        <is>
          <t>tese</t>
        </is>
      </c>
      <c r="C840" s="14">
        <f>IFERROR(IF(INDEX('01_Formulario_A08'!$D:$D,MATCH("D16-DOC-PEM-001.CONTENT_PILLARS.TESE",'01_Formulario_A08'!$A:$A,0))="","— (a preencher em 01_Formulario_A08)",INDEX('01_Formulario_A08'!$D:$D,MATCH("D16-DOC-PEM-001.CONTENT_PILLARS.TESE",'01_Formulario_A08'!$A:$A,0))),"— (a preencher em 01_Formulario_A08)")</f>
        <v/>
      </c>
    </row>
    <row r="841">
      <c r="A841" s="13" t="inlineStr">
        <is>
          <t>D16-DOC-PEM-001.FORMATS.ARTIGO</t>
        </is>
      </c>
      <c r="B841" s="2" t="inlineStr">
        <is>
          <t>artigo</t>
        </is>
      </c>
      <c r="C841" s="14">
        <f>IFERROR(IF(INDEX('01_Formulario_A08'!$D:$D,MATCH("D16-DOC-PEM-001.FORMATS.ARTIGO",'01_Formulario_A08'!$A:$A,0))="","— (a preencher em 01_Formulario_A08)",INDEX('01_Formulario_A08'!$D:$D,MATCH("D16-DOC-PEM-001.FORMATS.ARTIGO",'01_Formulario_A08'!$A:$A,0))),"— (a preencher em 01_Formulario_A08)")</f>
        <v/>
      </c>
    </row>
    <row r="842">
      <c r="A842" s="13" t="inlineStr">
        <is>
          <t>D16-DOC-PEM-001.FORMATS.VIDEO</t>
        </is>
      </c>
      <c r="B842" s="2" t="inlineStr">
        <is>
          <t>video</t>
        </is>
      </c>
      <c r="C842" s="14">
        <f>IFERROR(IF(INDEX('01_Formulario_A08'!$D:$D,MATCH("D16-DOC-PEM-001.FORMATS.VIDEO",'01_Formulario_A08'!$A:$A,0))="","— (a preencher em 01_Formulario_A08)",INDEX('01_Formulario_A08'!$D:$D,MATCH("D16-DOC-PEM-001.FORMATS.VIDEO",'01_Formulario_A08'!$A:$A,0))),"— (a preencher em 01_Formulario_A08)")</f>
        <v/>
      </c>
    </row>
    <row r="843">
      <c r="A843" s="13" t="inlineStr">
        <is>
          <t>D16-DOC-PEM-001.FORMATS.CARROSSEL</t>
        </is>
      </c>
      <c r="B843" s="2" t="inlineStr">
        <is>
          <t>carrossel</t>
        </is>
      </c>
      <c r="C843" s="14">
        <f>IFERROR(IF(INDEX('01_Formulario_A08'!$D:$D,MATCH("D16-DOC-PEM-001.FORMATS.CARROSSEL",'01_Formulario_A08'!$A:$A,0))="","— (a preencher em 01_Formulario_A08)",INDEX('01_Formulario_A08'!$D:$D,MATCH("D16-DOC-PEM-001.FORMATS.CARROSSEL",'01_Formulario_A08'!$A:$A,0))),"— (a preencher em 01_Formulario_A08)")</f>
        <v/>
      </c>
    </row>
    <row r="844">
      <c r="A844" s="13" t="inlineStr">
        <is>
          <t>D16-DOC-PEM-001.FORMATS.STORY</t>
        </is>
      </c>
      <c r="B844" s="2" t="inlineStr">
        <is>
          <t>story</t>
        </is>
      </c>
      <c r="C844" s="14">
        <f>IFERROR(IF(INDEX('01_Formulario_A08'!$D:$D,MATCH("D16-DOC-PEM-001.FORMATS.STORY",'01_Formulario_A08'!$A:$A,0))="","— (a preencher em 01_Formulario_A08)",INDEX('01_Formulario_A08'!$D:$D,MATCH("D16-DOC-PEM-001.FORMATS.STORY",'01_Formulario_A08'!$A:$A,0))),"— (a preencher em 01_Formulario_A08)")</f>
        <v/>
      </c>
    </row>
    <row r="845">
      <c r="A845" s="13" t="inlineStr">
        <is>
          <t>D16-DOC-PEM-001.FORMATS.NEWSLETTER</t>
        </is>
      </c>
      <c r="B845" s="2" t="inlineStr">
        <is>
          <t>newsletter</t>
        </is>
      </c>
      <c r="C845" s="14">
        <f>IFERROR(IF(INDEX('01_Formulario_A08'!$D:$D,MATCH("D16-DOC-PEM-001.FORMATS.NEWSLETTER",'01_Formulario_A08'!$A:$A,0))="","— (a preencher em 01_Formulario_A08)",INDEX('01_Formulario_A08'!$D:$D,MATCH("D16-DOC-PEM-001.FORMATS.NEWSLETTER",'01_Formulario_A08'!$A:$A,0))),"— (a preencher em 01_Formulario_A08)")</f>
        <v/>
      </c>
    </row>
    <row r="846">
      <c r="A846" s="13" t="inlineStr">
        <is>
          <t>D16-DOC-PEM-001.EDITORIAL_CALENDAR.DATA</t>
        </is>
      </c>
      <c r="B846" s="2" t="inlineStr">
        <is>
          <t>data</t>
        </is>
      </c>
      <c r="C846" s="14">
        <f>IFERROR(IF(INDEX('01_Formulario_A08'!$D:$D,MATCH("D16-DOC-PEM-001.EDITORIAL_CALENDAR.DATA",'01_Formulario_A08'!$A:$A,0))="","— (a preencher em 01_Formulario_A08)",INDEX('01_Formulario_A08'!$D:$D,MATCH("D16-DOC-PEM-001.EDITORIAL_CALENDAR.DATA",'01_Formulario_A08'!$A:$A,0))),"— (a preencher em 01_Formulario_A08)")</f>
        <v/>
      </c>
    </row>
    <row r="847">
      <c r="A847" s="13" t="inlineStr">
        <is>
          <t>D16-DOC-PEM-001.EDITORIAL_CALENDAR.TEMA</t>
        </is>
      </c>
      <c r="B847" s="2" t="inlineStr">
        <is>
          <t>tema</t>
        </is>
      </c>
      <c r="C847" s="14">
        <f>IFERROR(IF(INDEX('01_Formulario_A08'!$D:$D,MATCH("D16-DOC-PEM-001.EDITORIAL_CALENDAR.TEMA",'01_Formulario_A08'!$A:$A,0))="","— (a preencher em 01_Formulario_A08)",INDEX('01_Formulario_A08'!$D:$D,MATCH("D16-DOC-PEM-001.EDITORIAL_CALENDAR.TEMA",'01_Formulario_A08'!$A:$A,0))),"— (a preencher em 01_Formulario_A08)")</f>
        <v/>
      </c>
    </row>
    <row r="848">
      <c r="A848" s="13" t="inlineStr">
        <is>
          <t>D16-DOC-PEM-001.EDITORIAL_CALENDAR.CANAL</t>
        </is>
      </c>
      <c r="B848" s="2" t="inlineStr">
        <is>
          <t>canal</t>
        </is>
      </c>
      <c r="C848" s="14">
        <f>IFERROR(IF(INDEX('01_Formulario_A08'!$D:$D,MATCH("D16-DOC-PEM-001.EDITORIAL_CALENDAR.CANAL",'01_Formulario_A08'!$A:$A,0))="","— (a preencher em 01_Formulario_A08)",INDEX('01_Formulario_A08'!$D:$D,MATCH("D16-DOC-PEM-001.EDITORIAL_CALENDAR.CANAL",'01_Formulario_A08'!$A:$A,0))),"— (a preencher em 01_Formulario_A08)")</f>
        <v/>
      </c>
    </row>
    <row r="849">
      <c r="A849" s="13" t="inlineStr">
        <is>
          <t>D16-DOC-PEM-001.PRODUCTION.PESQUISA</t>
        </is>
      </c>
      <c r="B849" s="2" t="inlineStr">
        <is>
          <t>pesquisa</t>
        </is>
      </c>
      <c r="C849" s="14">
        <f>IFERROR(IF(INDEX('01_Formulario_A08'!$D:$D,MATCH("D16-DOC-PEM-001.PRODUCTION.PESQUISA",'01_Formulario_A08'!$A:$A,0))="","— (a preencher em 01_Formulario_A08)",INDEX('01_Formulario_A08'!$D:$D,MATCH("D16-DOC-PEM-001.PRODUCTION.PESQUISA",'01_Formulario_A08'!$A:$A,0))),"— (a preencher em 01_Formulario_A08)")</f>
        <v/>
      </c>
    </row>
    <row r="850">
      <c r="A850" s="13" t="inlineStr">
        <is>
          <t>D16-DOC-PEM-001.PRODUCTION.TEXTO</t>
        </is>
      </c>
      <c r="B850" s="2" t="inlineStr">
        <is>
          <t>texto</t>
        </is>
      </c>
      <c r="C850" s="14">
        <f>IFERROR(IF(INDEX('01_Formulario_A08'!$D:$D,MATCH("D16-DOC-PEM-001.PRODUCTION.TEXTO",'01_Formulario_A08'!$A:$A,0))="","— (a preencher em 01_Formulario_A08)",INDEX('01_Formulario_A08'!$D:$D,MATCH("D16-DOC-PEM-001.PRODUCTION.TEXTO",'01_Formulario_A08'!$A:$A,0))),"— (a preencher em 01_Formulario_A08)")</f>
        <v/>
      </c>
    </row>
    <row r="851">
      <c r="A851" s="13" t="inlineStr">
        <is>
          <t>D16-DOC-PEM-001.PRODUCTION.VISUAL</t>
        </is>
      </c>
      <c r="B851" s="2" t="inlineStr">
        <is>
          <t>visual</t>
        </is>
      </c>
      <c r="C851" s="14">
        <f>IFERROR(IF(INDEX('01_Formulario_A08'!$D:$D,MATCH("D16-DOC-PEM-001.PRODUCTION.VISUAL",'01_Formulario_A08'!$A:$A,0))="","— (a preencher em 01_Formulario_A08)",INDEX('01_Formulario_A08'!$D:$D,MATCH("D16-DOC-PEM-001.PRODUCTION.VISUAL",'01_Formulario_A08'!$A:$A,0))),"— (a preencher em 01_Formulario_A08)")</f>
        <v/>
      </c>
    </row>
    <row r="852">
      <c r="A852" s="13" t="inlineStr">
        <is>
          <t>D16-DOC-PEM-001.PRODUCTION.REVISAO</t>
        </is>
      </c>
      <c r="B852" s="2" t="inlineStr">
        <is>
          <t>revisao</t>
        </is>
      </c>
      <c r="C852" s="14">
        <f>IFERROR(IF(INDEX('01_Formulario_A08'!$D:$D,MATCH("D16-DOC-PEM-001.PRODUCTION.REVISAO",'01_Formulario_A08'!$A:$A,0))="","— (a preencher em 01_Formulario_A08)",INDEX('01_Formulario_A08'!$D:$D,MATCH("D16-DOC-PEM-001.PRODUCTION.REVISAO",'01_Formulario_A08'!$A:$A,0))),"— (a preencher em 01_Formulario_A08)")</f>
        <v/>
      </c>
    </row>
    <row r="853">
      <c r="A853" s="13" t="inlineStr">
        <is>
          <t>D16-DOC-PEM-001.REPURPOSING.FONTE</t>
        </is>
      </c>
      <c r="B853" s="2" t="inlineStr">
        <is>
          <t>fonte</t>
        </is>
      </c>
      <c r="C853" s="14">
        <f>IFERROR(IF(INDEX('01_Formulario_A08'!$D:$D,MATCH("D16-DOC-PEM-001.REPURPOSING.FONTE",'01_Formulario_A08'!$A:$A,0))="","— (a preencher em 01_Formulario_A08)",INDEX('01_Formulario_A08'!$D:$D,MATCH("D16-DOC-PEM-001.REPURPOSING.FONTE",'01_Formulario_A08'!$A:$A,0))),"— (a preencher em 01_Formulario_A08)")</f>
        <v/>
      </c>
    </row>
    <row r="854">
      <c r="A854" s="13" t="inlineStr">
        <is>
          <t>D16-DOC-PEM-001.REPURPOSING.DERIVADOS</t>
        </is>
      </c>
      <c r="B854" s="2" t="inlineStr">
        <is>
          <t>derivados</t>
        </is>
      </c>
      <c r="C854" s="14">
        <f>IFERROR(IF(INDEX('01_Formulario_A08'!$D:$D,MATCH("D16-DOC-PEM-001.REPURPOSING.DERIVADOS",'01_Formulario_A08'!$A:$A,0))="","— (a preencher em 01_Formulario_A08)",INDEX('01_Formulario_A08'!$D:$D,MATCH("D16-DOC-PEM-001.REPURPOSING.DERIVADOS",'01_Formulario_A08'!$A:$A,0))),"— (a preencher em 01_Formulario_A08)")</f>
        <v/>
      </c>
    </row>
    <row r="855">
      <c r="A855" s="13" t="inlineStr">
        <is>
          <t>D16-DOC-PEM-001.DISTRIBUTION.ORGANICO</t>
        </is>
      </c>
      <c r="B855" s="2" t="inlineStr">
        <is>
          <t>organico</t>
        </is>
      </c>
      <c r="C855" s="14">
        <f>IFERROR(IF(INDEX('01_Formulario_A08'!$D:$D,MATCH("D16-DOC-PEM-001.DISTRIBUTION.ORGANICO",'01_Formulario_A08'!$A:$A,0))="","— (a preencher em 01_Formulario_A08)",INDEX('01_Formulario_A08'!$D:$D,MATCH("D16-DOC-PEM-001.DISTRIBUTION.ORGANICO",'01_Formulario_A08'!$A:$A,0))),"— (a preencher em 01_Formulario_A08)")</f>
        <v/>
      </c>
    </row>
    <row r="856">
      <c r="A856" s="13" t="inlineStr">
        <is>
          <t>D16-DOC-PEM-001.DISTRIBUTION.COMUNIDADE</t>
        </is>
      </c>
      <c r="B856" s="2" t="inlineStr">
        <is>
          <t>comunidade</t>
        </is>
      </c>
      <c r="C856" s="14">
        <f>IFERROR(IF(INDEX('01_Formulario_A08'!$D:$D,MATCH("D16-DOC-PEM-001.DISTRIBUTION.COMUNIDADE",'01_Formulario_A08'!$A:$A,0))="","— (a preencher em 01_Formulario_A08)",INDEX('01_Formulario_A08'!$D:$D,MATCH("D16-DOC-PEM-001.DISTRIBUTION.COMUNIDADE",'01_Formulario_A08'!$A:$A,0))),"— (a preencher em 01_Formulario_A08)")</f>
        <v/>
      </c>
    </row>
    <row r="857">
      <c r="A857" s="13" t="inlineStr">
        <is>
          <t>D16-DOC-PEM-001.DISTRIBUTION.PARCERIA</t>
        </is>
      </c>
      <c r="B857" s="2" t="inlineStr">
        <is>
          <t>parceria</t>
        </is>
      </c>
      <c r="C857" s="14">
        <f>IFERROR(IF(INDEX('01_Formulario_A08'!$D:$D,MATCH("D16-DOC-PEM-001.DISTRIBUTION.PARCERIA",'01_Formulario_A08'!$A:$A,0))="","— (a preencher em 01_Formulario_A08)",INDEX('01_Formulario_A08'!$D:$D,MATCH("D16-DOC-PEM-001.DISTRIBUTION.PARCERIA",'01_Formulario_A08'!$A:$A,0))),"— (a preencher em 01_Formulario_A08)")</f>
        <v/>
      </c>
    </row>
    <row r="858">
      <c r="A858" s="13" t="inlineStr">
        <is>
          <t>D16-DOC-PEM-001.CTA.CTA</t>
        </is>
      </c>
      <c r="B858" s="2" t="inlineStr">
        <is>
          <t>cta</t>
        </is>
      </c>
      <c r="C858" s="14">
        <f>IFERROR(IF(INDEX('01_Formulario_A08'!$D:$D,MATCH("D16-DOC-PEM-001.CTA.CTA",'01_Formulario_A08'!$A:$A,0))="","— (a preencher em 01_Formulario_A08)",INDEX('01_Formulario_A08'!$D:$D,MATCH("D16-DOC-PEM-001.CTA.CTA",'01_Formulario_A08'!$A:$A,0))),"— (a preencher em 01_Formulario_A08)")</f>
        <v/>
      </c>
    </row>
    <row r="859">
      <c r="A859" s="13" t="inlineStr">
        <is>
          <t>D16-DOC-PEM-001.CTA.DESTINO</t>
        </is>
      </c>
      <c r="B859" s="2" t="inlineStr">
        <is>
          <t>destino</t>
        </is>
      </c>
      <c r="C859" s="14">
        <f>IFERROR(IF(INDEX('01_Formulario_A08'!$D:$D,MATCH("D16-DOC-PEM-001.CTA.DESTINO",'01_Formulario_A08'!$A:$A,0))="","— (a preencher em 01_Formulario_A08)",INDEX('01_Formulario_A08'!$D:$D,MATCH("D16-DOC-PEM-001.CTA.DESTINO",'01_Formulario_A08'!$A:$A,0))),"— (a preencher em 01_Formulario_A08)")</f>
        <v/>
      </c>
    </row>
    <row r="860">
      <c r="A860" s="13" t="inlineStr">
        <is>
          <t>D16-DOC-PEM-001.COMMUNITY.RESPOSTA</t>
        </is>
      </c>
      <c r="B860" s="2" t="inlineStr">
        <is>
          <t>resposta</t>
        </is>
      </c>
      <c r="C860" s="14">
        <f>IFERROR(IF(INDEX('01_Formulario_A08'!$D:$D,MATCH("D16-DOC-PEM-001.COMMUNITY.RESPOSTA",'01_Formulario_A08'!$A:$A,0))="","— (a preencher em 01_Formulario_A08)",INDEX('01_Formulario_A08'!$D:$D,MATCH("D16-DOC-PEM-001.COMMUNITY.RESPOSTA",'01_Formulario_A08'!$A:$A,0))),"— (a preencher em 01_Formulario_A08)")</f>
        <v/>
      </c>
    </row>
    <row r="861">
      <c r="A861" s="13" t="inlineStr">
        <is>
          <t>D16-DOC-PEM-001.COMMUNITY.MODERACAO</t>
        </is>
      </c>
      <c r="B861" s="2" t="inlineStr">
        <is>
          <t>moderacao</t>
        </is>
      </c>
      <c r="C861" s="14">
        <f>IFERROR(IF(INDEX('01_Formulario_A08'!$D:$D,MATCH("D16-DOC-PEM-001.COMMUNITY.MODERACAO",'01_Formulario_A08'!$A:$A,0))="","— (a preencher em 01_Formulario_A08)",INDEX('01_Formulario_A08'!$D:$D,MATCH("D16-DOC-PEM-001.COMMUNITY.MODERACAO",'01_Formulario_A08'!$A:$A,0))),"— (a preencher em 01_Formulario_A08)")</f>
        <v/>
      </c>
    </row>
    <row r="862">
      <c r="A862" s="13" t="inlineStr">
        <is>
          <t>D16-DOC-PEM-001.MEASUREMENT.ALCANCE</t>
        </is>
      </c>
      <c r="B862" s="2" t="inlineStr">
        <is>
          <t>alcance</t>
        </is>
      </c>
      <c r="C862" s="14">
        <f>IFERROR(IF(INDEX('01_Formulario_A08'!$D:$D,MATCH("D16-DOC-PEM-001.MEASUREMENT.ALCANCE",'01_Formulario_A08'!$A:$A,0))="","— (a preencher em 01_Formulario_A08)",INDEX('01_Formulario_A08'!$D:$D,MATCH("D16-DOC-PEM-001.MEASUREMENT.ALCANCE",'01_Formulario_A08'!$A:$A,0))),"— (a preencher em 01_Formulario_A08)")</f>
        <v/>
      </c>
    </row>
    <row r="863">
      <c r="A863" s="13" t="inlineStr">
        <is>
          <t>D16-DOC-PEM-001.MEASUREMENT.ENGAJAMENTO</t>
        </is>
      </c>
      <c r="B863" s="2" t="inlineStr">
        <is>
          <t>engajamento</t>
        </is>
      </c>
      <c r="C863" s="14">
        <f>IFERROR(IF(INDEX('01_Formulario_A08'!$D:$D,MATCH("D16-DOC-PEM-001.MEASUREMENT.ENGAJAMENTO",'01_Formulario_A08'!$A:$A,0))="","— (a preencher em 01_Formulario_A08)",INDEX('01_Formulario_A08'!$D:$D,MATCH("D16-DOC-PEM-001.MEASUREMENT.ENGAJAMENTO",'01_Formulario_A08'!$A:$A,0))),"— (a preencher em 01_Formulario_A08)")</f>
        <v/>
      </c>
    </row>
    <row r="864">
      <c r="A864" s="13" t="inlineStr">
        <is>
          <t>D16-DOC-PEM-001.MEASUREMENT.CLIQUE</t>
        </is>
      </c>
      <c r="B864" s="2" t="inlineStr">
        <is>
          <t>clique</t>
        </is>
      </c>
      <c r="C864" s="14">
        <f>IFERROR(IF(INDEX('01_Formulario_A08'!$D:$D,MATCH("D16-DOC-PEM-001.MEASUREMENT.CLIQUE",'01_Formulario_A08'!$A:$A,0))="","— (a preencher em 01_Formulario_A08)",INDEX('01_Formulario_A08'!$D:$D,MATCH("D16-DOC-PEM-001.MEASUREMENT.CLIQUE",'01_Formulario_A08'!$A:$A,0))),"— (a preencher em 01_Formulario_A08)")</f>
        <v/>
      </c>
    </row>
    <row r="865">
      <c r="A865" s="13" t="inlineStr">
        <is>
          <t>D16-DOC-PEM-001.MEASUREMENT.CONVERSAO</t>
        </is>
      </c>
      <c r="B865" s="2" t="inlineStr">
        <is>
          <t>conversao</t>
        </is>
      </c>
      <c r="C865" s="14">
        <f>IFERROR(IF(INDEX('01_Formulario_A08'!$D:$D,MATCH("D16-DOC-PEM-001.MEASUREMENT.CONVERSAO",'01_Formulario_A08'!$A:$A,0))="","— (a preencher em 01_Formulario_A08)",INDEX('01_Formulario_A08'!$D:$D,MATCH("D16-DOC-PEM-001.MEASUREMENT.CONVERSAO",'01_Formulario_A08'!$A:$A,0))),"— (a preencher em 01_Formulario_A08)")</f>
        <v/>
      </c>
    </row>
    <row r="866">
      <c r="A866" s="13" t="inlineStr">
        <is>
          <t>D16-DOC-PEM-001.GOVERNANCE.OWNER</t>
        </is>
      </c>
      <c r="B866" s="2" t="inlineStr">
        <is>
          <t>owner</t>
        </is>
      </c>
      <c r="C866" s="14">
        <f>IFERROR(IF(INDEX('01_Formulario_A08'!$D:$D,MATCH("D16-DOC-PEM-001.GOVERNANCE.OWNER",'01_Formulario_A08'!$A:$A,0))="","— (a preencher em 01_Formulario_A08)",INDEX('01_Formulario_A08'!$D:$D,MATCH("D16-DOC-PEM-001.GOVERNANCE.OWNER",'01_Formulario_A08'!$A:$A,0))),"— (a preencher em 01_Formulario_A08)")</f>
        <v/>
      </c>
    </row>
    <row r="867">
      <c r="A867" s="13" t="inlineStr">
        <is>
          <t>D16-DOC-PEM-001.GOVERNANCE.APROVACAO</t>
        </is>
      </c>
      <c r="B867" s="2" t="inlineStr">
        <is>
          <t>aprovacao</t>
        </is>
      </c>
      <c r="C867" s="14">
        <f>IFERROR(IF(INDEX('01_Formulario_A08'!$D:$D,MATCH("D16-DOC-PEM-001.GOVERNANCE.APROVACAO",'01_Formulario_A08'!$A:$A,0))="","— (a preencher em 01_Formulario_A08)",INDEX('01_Formulario_A08'!$D:$D,MATCH("D16-DOC-PEM-001.GOVERNANCE.APROVACAO",'01_Formulario_A08'!$A:$A,0))),"— (a preencher em 01_Formulario_A08)")</f>
        <v/>
      </c>
    </row>
    <row r="868">
      <c r="A868" s="13" t="inlineStr">
        <is>
          <t>D16-DOC-PEM-001.BRAND_COMPLIANCE.VOZ</t>
        </is>
      </c>
      <c r="B868" s="2" t="inlineStr">
        <is>
          <t>voz</t>
        </is>
      </c>
      <c r="C868" s="14">
        <f>IFERROR(IF(INDEX('01_Formulario_A08'!$D:$D,MATCH("D16-DOC-PEM-001.BRAND_COMPLIANCE.VOZ",'01_Formulario_A08'!$A:$A,0))="","— (a preencher em 01_Formulario_A08)",INDEX('01_Formulario_A08'!$D:$D,MATCH("D16-DOC-PEM-001.BRAND_COMPLIANCE.VOZ",'01_Formulario_A08'!$A:$A,0))),"— (a preencher em 01_Formulario_A08)")</f>
        <v/>
      </c>
    </row>
    <row r="869">
      <c r="A869" s="13" t="inlineStr">
        <is>
          <t>D16-DOC-PEM-001.BRAND_COMPLIANCE.VISUAL</t>
        </is>
      </c>
      <c r="B869" s="2" t="inlineStr">
        <is>
          <t>visual</t>
        </is>
      </c>
      <c r="C869" s="14">
        <f>IFERROR(IF(INDEX('01_Formulario_A08'!$D:$D,MATCH("D16-DOC-PEM-001.BRAND_COMPLIANCE.VISUAL",'01_Formulario_A08'!$A:$A,0))="","— (a preencher em 01_Formulario_A08)",INDEX('01_Formulario_A08'!$D:$D,MATCH("D16-DOC-PEM-001.BRAND_COMPLIANCE.VISUAL",'01_Formulario_A08'!$A:$A,0))),"— (a preencher em 01_Formulario_A08)")</f>
        <v/>
      </c>
    </row>
    <row r="870">
      <c r="A870" s="13" t="inlineStr">
        <is>
          <t>D16-DOC-PEM-001.BRAND_COMPLIANCE.CLAIMS</t>
        </is>
      </c>
      <c r="B870" s="2" t="inlineStr">
        <is>
          <t>claims</t>
        </is>
      </c>
      <c r="C870" s="14">
        <f>IFERROR(IF(INDEX('01_Formulario_A08'!$D:$D,MATCH("D16-DOC-PEM-001.BRAND_COMPLIANCE.CLAIMS",'01_Formulario_A08'!$A:$A,0))="","— (a preencher em 01_Formulario_A08)",INDEX('01_Formulario_A08'!$D:$D,MATCH("D16-DOC-PEM-001.BRAND_COMPLIANCE.CLAIMS",'01_Formulario_A08'!$A:$A,0))),"— (a preencher em 01_Formulario_A08)")</f>
        <v/>
      </c>
    </row>
    <row r="871">
      <c r="A871" s="5" t="inlineStr">
        <is>
          <t>A09 — Execução e Planejamento do Trabalho</t>
        </is>
      </c>
      <c r="B871" s="6" t="n"/>
      <c r="C871" s="7" t="n"/>
    </row>
    <row r="872">
      <c r="A872" s="13" t="inlineStr">
        <is>
          <t>D07-DOC-PEX-001.OBJECTIVES.OBJETIVO</t>
        </is>
      </c>
      <c r="B872" s="2" t="inlineStr">
        <is>
          <t>objetivo</t>
        </is>
      </c>
      <c r="C872" s="14">
        <f>IFERROR(IF(INDEX('01_Formulario_A09'!$D:$D,MATCH("D07-DOC-PEX-001.OBJECTIVES.OBJETIVO",'01_Formulario_A09'!$A:$A,0))="","— (a preencher em 01_Formulario_A09)",INDEX('01_Formulario_A09'!$D:$D,MATCH("D07-DOC-PEX-001.OBJECTIVES.OBJETIVO",'01_Formulario_A09'!$A:$A,0))),"— (a preencher em 01_Formulario_A09)")</f>
        <v/>
      </c>
    </row>
    <row r="873">
      <c r="A873" s="13" t="inlineStr">
        <is>
          <t>D07-DOC-PEX-001.OBJECTIVES.RESULTADO</t>
        </is>
      </c>
      <c r="B873" s="2" t="inlineStr">
        <is>
          <t>resultado</t>
        </is>
      </c>
      <c r="C873" s="14">
        <f>IFERROR(IF(INDEX('01_Formulario_A09'!$D:$D,MATCH("D07-DOC-PEX-001.OBJECTIVES.RESULTADO",'01_Formulario_A09'!$A:$A,0))="","— (a preencher em 01_Formulario_A09)",INDEX('01_Formulario_A09'!$D:$D,MATCH("D07-DOC-PEX-001.OBJECTIVES.RESULTADO",'01_Formulario_A09'!$A:$A,0))),"— (a preencher em 01_Formulario_A09)")</f>
        <v/>
      </c>
    </row>
    <row r="874">
      <c r="A874" s="13" t="inlineStr">
        <is>
          <t>D07-DOC-PEX-001.DELIVERABLES.ENTREGAVEL</t>
        </is>
      </c>
      <c r="B874" s="2" t="inlineStr">
        <is>
          <t>entregavel</t>
        </is>
      </c>
      <c r="C874" s="14">
        <f>IFERROR(IF(INDEX('01_Formulario_A09'!$D:$D,MATCH("D07-DOC-PEX-001.DELIVERABLES.ENTREGAVEL",'01_Formulario_A09'!$A:$A,0))="","— (a preencher em 01_Formulario_A09)",INDEX('01_Formulario_A09'!$D:$D,MATCH("D07-DOC-PEX-001.DELIVERABLES.ENTREGAVEL",'01_Formulario_A09'!$A:$A,0))),"— (a preencher em 01_Formulario_A09)")</f>
        <v/>
      </c>
    </row>
    <row r="875">
      <c r="A875" s="13" t="inlineStr">
        <is>
          <t>D07-DOC-PEX-001.DELIVERABLES.DOD</t>
        </is>
      </c>
      <c r="B875" s="2" t="inlineStr">
        <is>
          <t>dod</t>
        </is>
      </c>
      <c r="C875" s="14">
        <f>IFERROR(IF(INDEX('01_Formulario_A09'!$D:$D,MATCH("D07-DOC-PEX-001.DELIVERABLES.DOD",'01_Formulario_A09'!$A:$A,0))="","— (a preencher em 01_Formulario_A09)",INDEX('01_Formulario_A09'!$D:$D,MATCH("D07-DOC-PEX-001.DELIVERABLES.DOD",'01_Formulario_A09'!$A:$A,0))),"— (a preencher em 01_Formulario_A09)")</f>
        <v/>
      </c>
    </row>
    <row r="876">
      <c r="A876" s="13" t="inlineStr">
        <is>
          <t>D07-DOC-PEX-001.DELIVERABLES.EVIDENCIA</t>
        </is>
      </c>
      <c r="B876" s="2" t="inlineStr">
        <is>
          <t>evidencia</t>
        </is>
      </c>
      <c r="C876" s="14">
        <f>IFERROR(IF(INDEX('01_Formulario_A09'!$D:$D,MATCH("D07-DOC-PEX-001.DELIVERABLES.EVIDENCIA",'01_Formulario_A09'!$A:$A,0))="","— (a preencher em 01_Formulario_A09)",INDEX('01_Formulario_A09'!$D:$D,MATCH("D07-DOC-PEX-001.DELIVERABLES.EVIDENCIA",'01_Formulario_A09'!$A:$A,0))),"— (a preencher em 01_Formulario_A09)")</f>
        <v/>
      </c>
    </row>
    <row r="877">
      <c r="A877" s="13" t="inlineStr">
        <is>
          <t>D07-DOC-PEX-001.PORTFOLIO.PROJETO</t>
        </is>
      </c>
      <c r="B877" s="2" t="inlineStr">
        <is>
          <t>projeto</t>
        </is>
      </c>
      <c r="C877" s="14">
        <f>IFERROR(IF(INDEX('01_Formulario_A09'!$D:$D,MATCH("D07-DOC-PEX-001.PORTFOLIO.PROJETO",'01_Formulario_A09'!$A:$A,0))="","— (a preencher em 01_Formulario_A09)",INDEX('01_Formulario_A09'!$D:$D,MATCH("D07-DOC-PEX-001.PORTFOLIO.PROJETO",'01_Formulario_A09'!$A:$A,0))),"— (a preencher em 01_Formulario_A09)")</f>
        <v/>
      </c>
    </row>
    <row r="878">
      <c r="A878" s="13" t="inlineStr">
        <is>
          <t>D07-DOC-PEX-001.PORTFOLIO.PRIORIDADE</t>
        </is>
      </c>
      <c r="B878" s="2" t="inlineStr">
        <is>
          <t>prioridade</t>
        </is>
      </c>
      <c r="C878" s="14">
        <f>IFERROR(IF(INDEX('01_Formulario_A09'!$D:$D,MATCH("D07-DOC-PEX-001.PORTFOLIO.PRIORIDADE",'01_Formulario_A09'!$A:$A,0))="","— (a preencher em 01_Formulario_A09)",INDEX('01_Formulario_A09'!$D:$D,MATCH("D07-DOC-PEX-001.PORTFOLIO.PRIORIDADE",'01_Formulario_A09'!$A:$A,0))),"— (a preencher em 01_Formulario_A09)")</f>
        <v/>
      </c>
    </row>
    <row r="879">
      <c r="A879" s="13" t="inlineStr">
        <is>
          <t>D07-DOC-PEX-001.PORTFOLIO.ESTADO</t>
        </is>
      </c>
      <c r="B879" s="2" t="inlineStr">
        <is>
          <t>estado</t>
        </is>
      </c>
      <c r="C879" s="14">
        <f>IFERROR(IF(INDEX('01_Formulario_A09'!$D:$D,MATCH("D07-DOC-PEX-001.PORTFOLIO.ESTADO",'01_Formulario_A09'!$A:$A,0))="","— (a preencher em 01_Formulario_A09)",INDEX('01_Formulario_A09'!$D:$D,MATCH("D07-DOC-PEX-001.PORTFOLIO.ESTADO",'01_Formulario_A09'!$A:$A,0))),"— (a preencher em 01_Formulario_A09)")</f>
        <v/>
      </c>
    </row>
    <row r="880">
      <c r="A880" s="13" t="inlineStr">
        <is>
          <t>D07-DOC-PEX-001.DEPENDENCIES.UPSTREAM</t>
        </is>
      </c>
      <c r="B880" s="2" t="inlineStr">
        <is>
          <t>upstream</t>
        </is>
      </c>
      <c r="C880" s="14">
        <f>IFERROR(IF(INDEX('01_Formulario_A09'!$D:$D,MATCH("D07-DOC-PEX-001.DEPENDENCIES.UPSTREAM",'01_Formulario_A09'!$A:$A,0))="","— (a preencher em 01_Formulario_A09)",INDEX('01_Formulario_A09'!$D:$D,MATCH("D07-DOC-PEX-001.DEPENDENCIES.UPSTREAM",'01_Formulario_A09'!$A:$A,0))),"— (a preencher em 01_Formulario_A09)")</f>
        <v/>
      </c>
    </row>
    <row r="881">
      <c r="A881" s="13" t="inlineStr">
        <is>
          <t>D07-DOC-PEX-001.DEPENDENCIES.DOWNSTREAM</t>
        </is>
      </c>
      <c r="B881" s="2" t="inlineStr">
        <is>
          <t>downstream</t>
        </is>
      </c>
      <c r="C881" s="14">
        <f>IFERROR(IF(INDEX('01_Formulario_A09'!$D:$D,MATCH("D07-DOC-PEX-001.DEPENDENCIES.DOWNSTREAM",'01_Formulario_A09'!$A:$A,0))="","— (a preencher em 01_Formulario_A09)",INDEX('01_Formulario_A09'!$D:$D,MATCH("D07-DOC-PEX-001.DEPENDENCIES.DOWNSTREAM",'01_Formulario_A09'!$A:$A,0))),"— (a preencher em 01_Formulario_A09)")</f>
        <v/>
      </c>
    </row>
    <row r="882">
      <c r="A882" s="13" t="inlineStr">
        <is>
          <t>D07-DOC-PEX-001.CAPACITY.CAPACIDADE_BRUTA</t>
        </is>
      </c>
      <c r="B882" s="2" t="inlineStr">
        <is>
          <t>capacidade_bruta</t>
        </is>
      </c>
      <c r="C882" s="14">
        <f>IFERROR(IF(INDEX('01_Formulario_A09'!$D:$D,MATCH("D07-DOC-PEX-001.CAPACITY.CAPACIDADE_BRUTA",'01_Formulario_A09'!$A:$A,0))="","— (a preencher em 01_Formulario_A09)",INDEX('01_Formulario_A09'!$D:$D,MATCH("D07-DOC-PEX-001.CAPACITY.CAPACIDADE_BRUTA",'01_Formulario_A09'!$A:$A,0))),"— (a preencher em 01_Formulario_A09)")</f>
        <v/>
      </c>
    </row>
    <row r="883">
      <c r="A883" s="13" t="inlineStr">
        <is>
          <t>D07-DOC-PEX-001.CAPACITY.FIXA</t>
        </is>
      </c>
      <c r="B883" s="2" t="inlineStr">
        <is>
          <t>fixa</t>
        </is>
      </c>
      <c r="C883" s="14">
        <f>IFERROR(IF(INDEX('01_Formulario_A09'!$D:$D,MATCH("D07-DOC-PEX-001.CAPACITY.FIXA",'01_Formulario_A09'!$A:$A,0))="","— (a preencher em 01_Formulario_A09)",INDEX('01_Formulario_A09'!$D:$D,MATCH("D07-DOC-PEX-001.CAPACITY.FIXA",'01_Formulario_A09'!$A:$A,0))),"— (a preencher em 01_Formulario_A09)")</f>
        <v/>
      </c>
    </row>
    <row r="884">
      <c r="A884" s="13" t="inlineStr">
        <is>
          <t>D07-DOC-PEX-001.CAPACITY.LIQUIDA</t>
        </is>
      </c>
      <c r="B884" s="2" t="inlineStr">
        <is>
          <t>liquida</t>
        </is>
      </c>
      <c r="C884" s="14">
        <f>IFERROR(IF(INDEX('01_Formulario_A09'!$D:$D,MATCH("D07-DOC-PEX-001.CAPACITY.LIQUIDA",'01_Formulario_A09'!$A:$A,0))="","— (a preencher em 01_Formulario_A09)",INDEX('01_Formulario_A09'!$D:$D,MATCH("D07-DOC-PEX-001.CAPACITY.LIQUIDA",'01_Formulario_A09'!$A:$A,0))),"— (a preencher em 01_Formulario_A09)")</f>
        <v/>
      </c>
    </row>
    <row r="885">
      <c r="A885" s="13" t="inlineStr">
        <is>
          <t>D07-DOC-PEX-001.WIP.LIMITE</t>
        </is>
      </c>
      <c r="B885" s="2" t="inlineStr">
        <is>
          <t>limite</t>
        </is>
      </c>
      <c r="C885" s="14">
        <f>IFERROR(IF(INDEX('01_Formulario_A09'!$D:$D,MATCH("D07-DOC-PEX-001.WIP.LIMITE",'01_Formulario_A09'!$A:$A,0))="","— (a preencher em 01_Formulario_A09)",INDEX('01_Formulario_A09'!$D:$D,MATCH("D07-DOC-PEX-001.WIP.LIMITE",'01_Formulario_A09'!$A:$A,0))),"— (a preencher em 01_Formulario_A09)")</f>
        <v/>
      </c>
    </row>
    <row r="886">
      <c r="A886" s="13" t="inlineStr">
        <is>
          <t>D07-DOC-PEX-001.WIP.TRABALHO_ATIVO</t>
        </is>
      </c>
      <c r="B886" s="2" t="inlineStr">
        <is>
          <t>trabalho_ativo</t>
        </is>
      </c>
      <c r="C886" s="14">
        <f>IFERROR(IF(INDEX('01_Formulario_A09'!$D:$D,MATCH("D07-DOC-PEX-001.WIP.TRABALHO_ATIVO",'01_Formulario_A09'!$A:$A,0))="","— (a preencher em 01_Formulario_A09)",INDEX('01_Formulario_A09'!$D:$D,MATCH("D07-DOC-PEX-001.WIP.TRABALHO_ATIVO",'01_Formulario_A09'!$A:$A,0))),"— (a preencher em 01_Formulario_A09)")</f>
        <v/>
      </c>
    </row>
    <row r="887">
      <c r="A887" s="13" t="inlineStr">
        <is>
          <t>D07-DOC-PEX-001.BACKLOG.ITEM</t>
        </is>
      </c>
      <c r="B887" s="2" t="inlineStr">
        <is>
          <t>item</t>
        </is>
      </c>
      <c r="C887" s="14">
        <f>IFERROR(IF(INDEX('01_Formulario_A09'!$D:$D,MATCH("D07-DOC-PEX-001.BACKLOG.ITEM",'01_Formulario_A09'!$A:$A,0))="","— (a preencher em 01_Formulario_A09)",INDEX('01_Formulario_A09'!$D:$D,MATCH("D07-DOC-PEX-001.BACKLOG.ITEM",'01_Formulario_A09'!$A:$A,0))),"— (a preencher em 01_Formulario_A09)")</f>
        <v/>
      </c>
    </row>
    <row r="888">
      <c r="A888" s="13" t="inlineStr">
        <is>
          <t>D07-DOC-PEX-001.BACKLOG.PRIORIDADE</t>
        </is>
      </c>
      <c r="B888" s="2" t="inlineStr">
        <is>
          <t>prioridade</t>
        </is>
      </c>
      <c r="C888" s="14">
        <f>IFERROR(IF(INDEX('01_Formulario_A09'!$D:$D,MATCH("D07-DOC-PEX-001.BACKLOG.PRIORIDADE",'01_Formulario_A09'!$A:$A,0))="","— (a preencher em 01_Formulario_A09)",INDEX('01_Formulario_A09'!$D:$D,MATCH("D07-DOC-PEX-001.BACKLOG.PRIORIDADE",'01_Formulario_A09'!$A:$A,0))),"— (a preencher em 01_Formulario_A09)")</f>
        <v/>
      </c>
    </row>
    <row r="889">
      <c r="A889" s="13" t="inlineStr">
        <is>
          <t>D07-DOC-PEX-001.BACKLOG.ELEGIBILIDADE</t>
        </is>
      </c>
      <c r="B889" s="2" t="inlineStr">
        <is>
          <t>elegibilidade</t>
        </is>
      </c>
      <c r="C889" s="14">
        <f>IFERROR(IF(INDEX('01_Formulario_A09'!$D:$D,MATCH("D07-DOC-PEX-001.BACKLOG.ELEGIBILIDADE",'01_Formulario_A09'!$A:$A,0))="","— (a preencher em 01_Formulario_A09)",INDEX('01_Formulario_A09'!$D:$D,MATCH("D07-DOC-PEX-001.BACKLOG.ELEGIBILIDADE",'01_Formulario_A09'!$A:$A,0))),"— (a preencher em 01_Formulario_A09)")</f>
        <v/>
      </c>
    </row>
    <row r="890">
      <c r="A890" s="13" t="inlineStr">
        <is>
          <t>D07-DOC-PEX-001.SCHEDULE.CICLO</t>
        </is>
      </c>
      <c r="B890" s="2" t="inlineStr">
        <is>
          <t>ciclo</t>
        </is>
      </c>
      <c r="C890" s="14">
        <f>IFERROR(IF(INDEX('01_Formulario_A09'!$D:$D,MATCH("D07-DOC-PEX-001.SCHEDULE.CICLO",'01_Formulario_A09'!$A:$A,0))="","— (a preencher em 01_Formulario_A09)",INDEX('01_Formulario_A09'!$D:$D,MATCH("D07-DOC-PEX-001.SCHEDULE.CICLO",'01_Formulario_A09'!$A:$A,0))),"— (a preencher em 01_Formulario_A09)")</f>
        <v/>
      </c>
    </row>
    <row r="891">
      <c r="A891" s="13" t="inlineStr">
        <is>
          <t>D07-DOC-PEX-001.SCHEDULE.DATA</t>
        </is>
      </c>
      <c r="B891" s="2" t="inlineStr">
        <is>
          <t>data</t>
        </is>
      </c>
      <c r="C891" s="14">
        <f>IFERROR(IF(INDEX('01_Formulario_A09'!$D:$D,MATCH("D07-DOC-PEX-001.SCHEDULE.DATA",'01_Formulario_A09'!$A:$A,0))="","— (a preencher em 01_Formulario_A09)",INDEX('01_Formulario_A09'!$D:$D,MATCH("D07-DOC-PEX-001.SCHEDULE.DATA",'01_Formulario_A09'!$A:$A,0))),"— (a preencher em 01_Formulario_A09)")</f>
        <v/>
      </c>
    </row>
    <row r="892">
      <c r="A892" s="13" t="inlineStr">
        <is>
          <t>D07-DOC-PEX-001.SCHEDULE.MARCO</t>
        </is>
      </c>
      <c r="B892" s="2" t="inlineStr">
        <is>
          <t>marco</t>
        </is>
      </c>
      <c r="C892" s="14">
        <f>IFERROR(IF(INDEX('01_Formulario_A09'!$D:$D,MATCH("D07-DOC-PEX-001.SCHEDULE.MARCO",'01_Formulario_A09'!$A:$A,0))="","— (a preencher em 01_Formulario_A09)",INDEX('01_Formulario_A09'!$D:$D,MATCH("D07-DOC-PEX-001.SCHEDULE.MARCO",'01_Formulario_A09'!$A:$A,0))),"— (a preencher em 01_Formulario_A09)")</f>
        <v/>
      </c>
    </row>
    <row r="893">
      <c r="A893" s="13" t="inlineStr">
        <is>
          <t>D07-DOC-PEX-001.GATES.GATE</t>
        </is>
      </c>
      <c r="B893" s="2" t="inlineStr">
        <is>
          <t>gate</t>
        </is>
      </c>
      <c r="C893" s="14">
        <f>IFERROR(IF(INDEX('01_Formulario_A09'!$D:$D,MATCH("D07-DOC-PEX-001.GATES.GATE",'01_Formulario_A09'!$A:$A,0))="","— (a preencher em 01_Formulario_A09)",INDEX('01_Formulario_A09'!$D:$D,MATCH("D07-DOC-PEX-001.GATES.GATE",'01_Formulario_A09'!$A:$A,0))),"— (a preencher em 01_Formulario_A09)")</f>
        <v/>
      </c>
    </row>
    <row r="894">
      <c r="A894" s="13" t="inlineStr">
        <is>
          <t>D07-DOC-PEX-001.GATES.CRITERIO</t>
        </is>
      </c>
      <c r="B894" s="2" t="inlineStr">
        <is>
          <t>criterio</t>
        </is>
      </c>
      <c r="C894" s="14">
        <f>IFERROR(IF(INDEX('01_Formulario_A09'!$D:$D,MATCH("D07-DOC-PEX-001.GATES.CRITERIO",'01_Formulario_A09'!$A:$A,0))="","— (a preencher em 01_Formulario_A09)",INDEX('01_Formulario_A09'!$D:$D,MATCH("D07-DOC-PEX-001.GATES.CRITERIO",'01_Formulario_A09'!$A:$A,0))),"— (a preencher em 01_Formulario_A09)")</f>
        <v/>
      </c>
    </row>
    <row r="895">
      <c r="A895" s="13" t="inlineStr">
        <is>
          <t>D07-DOC-PEX-001.GATES.EVIDENCIA</t>
        </is>
      </c>
      <c r="B895" s="2" t="inlineStr">
        <is>
          <t>evidencia</t>
        </is>
      </c>
      <c r="C895" s="14">
        <f>IFERROR(IF(INDEX('01_Formulario_A09'!$D:$D,MATCH("D07-DOC-PEX-001.GATES.EVIDENCIA",'01_Formulario_A09'!$A:$A,0))="","— (a preencher em 01_Formulario_A09)",INDEX('01_Formulario_A09'!$D:$D,MATCH("D07-DOC-PEX-001.GATES.EVIDENCIA",'01_Formulario_A09'!$A:$A,0))),"— (a preencher em 01_Formulario_A09)")</f>
        <v/>
      </c>
    </row>
    <row r="896">
      <c r="A896" s="13" t="inlineStr">
        <is>
          <t>D07-DOC-PEX-001.RISKS.BLOQUEIO</t>
        </is>
      </c>
      <c r="B896" s="2" t="inlineStr">
        <is>
          <t>bloqueio</t>
        </is>
      </c>
      <c r="C896" s="14">
        <f>IFERROR(IF(INDEX('01_Formulario_A09'!$D:$D,MATCH("D07-DOC-PEX-001.RISKS.BLOQUEIO",'01_Formulario_A09'!$A:$A,0))="","— (a preencher em 01_Formulario_A09)",INDEX('01_Formulario_A09'!$D:$D,MATCH("D07-DOC-PEX-001.RISKS.BLOQUEIO",'01_Formulario_A09'!$A:$A,0))),"— (a preencher em 01_Formulario_A09)")</f>
        <v/>
      </c>
    </row>
    <row r="897">
      <c r="A897" s="13" t="inlineStr">
        <is>
          <t>D07-DOC-PEX-001.RISKS.IMPACTO</t>
        </is>
      </c>
      <c r="B897" s="2" t="inlineStr">
        <is>
          <t>impacto</t>
        </is>
      </c>
      <c r="C897" s="14">
        <f>IFERROR(IF(INDEX('01_Formulario_A09'!$D:$D,MATCH("D07-DOC-PEX-001.RISKS.IMPACTO",'01_Formulario_A09'!$A:$A,0))="","— (a preencher em 01_Formulario_A09)",INDEX('01_Formulario_A09'!$D:$D,MATCH("D07-DOC-PEX-001.RISKS.IMPACTO",'01_Formulario_A09'!$A:$A,0))),"— (a preencher em 01_Formulario_A09)")</f>
        <v/>
      </c>
    </row>
    <row r="898">
      <c r="A898" s="13" t="inlineStr">
        <is>
          <t>D07-DOC-PEX-001.RISKS.RESPOSTA</t>
        </is>
      </c>
      <c r="B898" s="2" t="inlineStr">
        <is>
          <t>resposta</t>
        </is>
      </c>
      <c r="C898" s="14">
        <f>IFERROR(IF(INDEX('01_Formulario_A09'!$D:$D,MATCH("D07-DOC-PEX-001.RISKS.RESPOSTA",'01_Formulario_A09'!$A:$A,0))="","— (a preencher em 01_Formulario_A09)",INDEX('01_Formulario_A09'!$D:$D,MATCH("D07-DOC-PEX-001.RISKS.RESPOSTA",'01_Formulario_A09'!$A:$A,0))),"— (a preencher em 01_Formulario_A09)")</f>
        <v/>
      </c>
    </row>
    <row r="899">
      <c r="A899" s="13" t="inlineStr">
        <is>
          <t>D07-DOC-PEX-001.VERIFICATION.CRITERIO_DE_ACEITE</t>
        </is>
      </c>
      <c r="B899" s="2" t="inlineStr">
        <is>
          <t>criterio_de_aceite</t>
        </is>
      </c>
      <c r="C899" s="14">
        <f>IFERROR(IF(INDEX('01_Formulario_A09'!$D:$D,MATCH("D07-DOC-PEX-001.VERIFICATION.CRITERIO_DE_ACEITE",'01_Formulario_A09'!$A:$A,0))="","— (a preencher em 01_Formulario_A09)",INDEX('01_Formulario_A09'!$D:$D,MATCH("D07-DOC-PEX-001.VERIFICATION.CRITERIO_DE_ACEITE",'01_Formulario_A09'!$A:$A,0))),"— (a preencher em 01_Formulario_A09)")</f>
        <v/>
      </c>
    </row>
    <row r="900">
      <c r="A900" s="13" t="inlineStr">
        <is>
          <t>D07-DOC-PEX-001.VERIFICATION.EVIDENCIA</t>
        </is>
      </c>
      <c r="B900" s="2" t="inlineStr">
        <is>
          <t>evidencia</t>
        </is>
      </c>
      <c r="C900" s="14">
        <f>IFERROR(IF(INDEX('01_Formulario_A09'!$D:$D,MATCH("D07-DOC-PEX-001.VERIFICATION.EVIDENCIA",'01_Formulario_A09'!$A:$A,0))="","— (a preencher em 01_Formulario_A09)",INDEX('01_Formulario_A09'!$D:$D,MATCH("D07-DOC-PEX-001.VERIFICATION.EVIDENCIA",'01_Formulario_A09'!$A:$A,0))),"— (a preencher em 01_Formulario_A09)")</f>
        <v/>
      </c>
    </row>
    <row r="901">
      <c r="A901" s="13" t="inlineStr">
        <is>
          <t>D07-DOC-PEX-001.PROGRESS.PLANEJADO</t>
        </is>
      </c>
      <c r="B901" s="2" t="inlineStr">
        <is>
          <t>planejado</t>
        </is>
      </c>
      <c r="C901" s="14">
        <f>IFERROR(IF(INDEX('01_Formulario_A09'!$D:$D,MATCH("D07-DOC-PEX-001.PROGRESS.PLANEJADO",'01_Formulario_A09'!$A:$A,0))="","— (a preencher em 01_Formulario_A09)",INDEX('01_Formulario_A09'!$D:$D,MATCH("D07-DOC-PEX-001.PROGRESS.PLANEJADO",'01_Formulario_A09'!$A:$A,0))),"— (a preencher em 01_Formulario_A09)")</f>
        <v/>
      </c>
    </row>
    <row r="902">
      <c r="A902" s="13" t="inlineStr">
        <is>
          <t>D07-DOC-PEX-001.PROGRESS.REALIZADO</t>
        </is>
      </c>
      <c r="B902" s="2" t="inlineStr">
        <is>
          <t>realizado</t>
        </is>
      </c>
      <c r="C902" s="14">
        <f>IFERROR(IF(INDEX('01_Formulario_A09'!$D:$D,MATCH("D07-DOC-PEX-001.PROGRESS.REALIZADO",'01_Formulario_A09'!$A:$A,0))="","— (a preencher em 01_Formulario_A09)",INDEX('01_Formulario_A09'!$D:$D,MATCH("D07-DOC-PEX-001.PROGRESS.REALIZADO",'01_Formulario_A09'!$A:$A,0))),"— (a preencher em 01_Formulario_A09)")</f>
        <v/>
      </c>
    </row>
    <row r="903">
      <c r="A903" s="13" t="inlineStr">
        <is>
          <t>D07-DOC-PEX-001.PROGRESS.RESTANTE</t>
        </is>
      </c>
      <c r="B903" s="2" t="inlineStr">
        <is>
          <t>restante</t>
        </is>
      </c>
      <c r="C903" s="14">
        <f>IFERROR(IF(INDEX('01_Formulario_A09'!$D:$D,MATCH("D07-DOC-PEX-001.PROGRESS.RESTANTE",'01_Formulario_A09'!$A:$A,0))="","— (a preencher em 01_Formulario_A09)",INDEX('01_Formulario_A09'!$D:$D,MATCH("D07-DOC-PEX-001.PROGRESS.RESTANTE",'01_Formulario_A09'!$A:$A,0))),"— (a preencher em 01_Formulario_A09)")</f>
        <v/>
      </c>
    </row>
    <row r="904">
      <c r="A904" s="13" t="inlineStr">
        <is>
          <t>D07-DOC-PIM-001.IMPLEMENTATION_STRATEGY.ABORDAGEM</t>
        </is>
      </c>
      <c r="B904" s="2" t="inlineStr">
        <is>
          <t>abordagem</t>
        </is>
      </c>
      <c r="C904" s="14">
        <f>IFERROR(IF(INDEX('01_Formulario_A09'!$D:$D,MATCH("D07-DOC-PIM-001.IMPLEMENTATION_STRATEGY.ABORDAGEM",'01_Formulario_A09'!$A:$A,0))="","— (a preencher em 01_Formulario_A09)",INDEX('01_Formulario_A09'!$D:$D,MATCH("D07-DOC-PIM-001.IMPLEMENTATION_STRATEGY.ABORDAGEM",'01_Formulario_A09'!$A:$A,0))),"— (a preencher em 01_Formulario_A09)")</f>
        <v/>
      </c>
    </row>
    <row r="905">
      <c r="A905" s="13" t="inlineStr">
        <is>
          <t>D07-DOC-PIM-001.IMPLEMENTATION_STRATEGY.ONDAS</t>
        </is>
      </c>
      <c r="B905" s="2" t="inlineStr">
        <is>
          <t>ondas</t>
        </is>
      </c>
      <c r="C905" s="14">
        <f>IFERROR(IF(INDEX('01_Formulario_A09'!$D:$D,MATCH("D07-DOC-PIM-001.IMPLEMENTATION_STRATEGY.ONDAS",'01_Formulario_A09'!$A:$A,0))="","— (a preencher em 01_Formulario_A09)",INDEX('01_Formulario_A09'!$D:$D,MATCH("D07-DOC-PIM-001.IMPLEMENTATION_STRATEGY.ONDAS",'01_Formulario_A09'!$A:$A,0))),"— (a preencher em 01_Formulario_A09)")</f>
        <v/>
      </c>
    </row>
    <row r="906">
      <c r="A906" s="13" t="inlineStr">
        <is>
          <t>D07-DOC-PIM-001.MILESTONES.MARCO</t>
        </is>
      </c>
      <c r="B906" s="2" t="inlineStr">
        <is>
          <t>marco</t>
        </is>
      </c>
      <c r="C906" s="14">
        <f>IFERROR(IF(INDEX('01_Formulario_A09'!$D:$D,MATCH("D07-DOC-PIM-001.MILESTONES.MARCO",'01_Formulario_A09'!$A:$A,0))="","— (a preencher em 01_Formulario_A09)",INDEX('01_Formulario_A09'!$D:$D,MATCH("D07-DOC-PIM-001.MILESTONES.MARCO",'01_Formulario_A09'!$A:$A,0))),"— (a preencher em 01_Formulario_A09)")</f>
        <v/>
      </c>
    </row>
    <row r="907">
      <c r="A907" s="13" t="inlineStr">
        <is>
          <t>D07-DOC-PIM-001.MILESTONES.RESULTADO</t>
        </is>
      </c>
      <c r="B907" s="2" t="inlineStr">
        <is>
          <t>resultado</t>
        </is>
      </c>
      <c r="C907" s="14">
        <f>IFERROR(IF(INDEX('01_Formulario_A09'!$D:$D,MATCH("D07-DOC-PIM-001.MILESTONES.RESULTADO",'01_Formulario_A09'!$A:$A,0))="","— (a preencher em 01_Formulario_A09)",INDEX('01_Formulario_A09'!$D:$D,MATCH("D07-DOC-PIM-001.MILESTONES.RESULTADO",'01_Formulario_A09'!$A:$A,0))),"— (a preencher em 01_Formulario_A09)")</f>
        <v/>
      </c>
    </row>
    <row r="908">
      <c r="A908" s="13" t="inlineStr">
        <is>
          <t>D07-DOC-PIM-001.MILESTONES.CRITERIO</t>
        </is>
      </c>
      <c r="B908" s="2" t="inlineStr">
        <is>
          <t>criterio</t>
        </is>
      </c>
      <c r="C908" s="14">
        <f>IFERROR(IF(INDEX('01_Formulario_A09'!$D:$D,MATCH("D07-DOC-PIM-001.MILESTONES.CRITERIO",'01_Formulario_A09'!$A:$A,0))="","— (a preencher em 01_Formulario_A09)",INDEX('01_Formulario_A09'!$D:$D,MATCH("D07-DOC-PIM-001.MILESTONES.CRITERIO",'01_Formulario_A09'!$A:$A,0))),"— (a preencher em 01_Formulario_A09)")</f>
        <v/>
      </c>
    </row>
    <row r="909">
      <c r="A909" s="13" t="inlineStr">
        <is>
          <t>D07-DOC-PIM-001.WORK_PACKAGES.PACOTE</t>
        </is>
      </c>
      <c r="B909" s="2" t="inlineStr">
        <is>
          <t>pacote</t>
        </is>
      </c>
      <c r="C909" s="14">
        <f>IFERROR(IF(INDEX('01_Formulario_A09'!$D:$D,MATCH("D07-DOC-PIM-001.WORK_PACKAGES.PACOTE",'01_Formulario_A09'!$A:$A,0))="","— (a preencher em 01_Formulario_A09)",INDEX('01_Formulario_A09'!$D:$D,MATCH("D07-DOC-PIM-001.WORK_PACKAGES.PACOTE",'01_Formulario_A09'!$A:$A,0))),"— (a preencher em 01_Formulario_A09)")</f>
        <v/>
      </c>
    </row>
    <row r="910">
      <c r="A910" s="13" t="inlineStr">
        <is>
          <t>D07-DOC-PIM-001.WORK_PACKAGES.ENTREGAVEL</t>
        </is>
      </c>
      <c r="B910" s="2" t="inlineStr">
        <is>
          <t>entregavel</t>
        </is>
      </c>
      <c r="C910" s="14">
        <f>IFERROR(IF(INDEX('01_Formulario_A09'!$D:$D,MATCH("D07-DOC-PIM-001.WORK_PACKAGES.ENTREGAVEL",'01_Formulario_A09'!$A:$A,0))="","— (a preencher em 01_Formulario_A09)",INDEX('01_Formulario_A09'!$D:$D,MATCH("D07-DOC-PIM-001.WORK_PACKAGES.ENTREGAVEL",'01_Formulario_A09'!$A:$A,0))),"— (a preencher em 01_Formulario_A09)")</f>
        <v/>
      </c>
    </row>
    <row r="911">
      <c r="A911" s="13" t="inlineStr">
        <is>
          <t>D07-DOC-PIM-001.DEPENDENCIES.DEPENDENCIA</t>
        </is>
      </c>
      <c r="B911" s="2" t="inlineStr">
        <is>
          <t>dependencia</t>
        </is>
      </c>
      <c r="C911" s="14">
        <f>IFERROR(IF(INDEX('01_Formulario_A09'!$D:$D,MATCH("D07-DOC-PIM-001.DEPENDENCIES.DEPENDENCIA",'01_Formulario_A09'!$A:$A,0))="","— (a preencher em 01_Formulario_A09)",INDEX('01_Formulario_A09'!$D:$D,MATCH("D07-DOC-PIM-001.DEPENDENCIES.DEPENDENCIA",'01_Formulario_A09'!$A:$A,0))),"— (a preencher em 01_Formulario_A09)")</f>
        <v/>
      </c>
    </row>
    <row r="912">
      <c r="A912" s="13" t="inlineStr">
        <is>
          <t>D07-DOC-PIM-001.DEPENDENCIES.PRECONDICAO</t>
        </is>
      </c>
      <c r="B912" s="2" t="inlineStr">
        <is>
          <t>precondicao</t>
        </is>
      </c>
      <c r="C912" s="14">
        <f>IFERROR(IF(INDEX('01_Formulario_A09'!$D:$D,MATCH("D07-DOC-PIM-001.DEPENDENCIES.PRECONDICAO",'01_Formulario_A09'!$A:$A,0))="","— (a preencher em 01_Formulario_A09)",INDEX('01_Formulario_A09'!$D:$D,MATCH("D07-DOC-PIM-001.DEPENDENCIES.PRECONDICAO",'01_Formulario_A09'!$A:$A,0))),"— (a preencher em 01_Formulario_A09)")</f>
        <v/>
      </c>
    </row>
    <row r="913">
      <c r="A913" s="13" t="inlineStr">
        <is>
          <t>D07-DOC-PIM-001.RESOURCES.PESSOA</t>
        </is>
      </c>
      <c r="B913" s="2" t="inlineStr">
        <is>
          <t>pessoa</t>
        </is>
      </c>
      <c r="C913" s="14">
        <f>IFERROR(IF(INDEX('01_Formulario_A09'!$D:$D,MATCH("D07-DOC-PIM-001.RESOURCES.PESSOA",'01_Formulario_A09'!$A:$A,0))="","— (a preencher em 01_Formulario_A09)",INDEX('01_Formulario_A09'!$D:$D,MATCH("D07-DOC-PIM-001.RESOURCES.PESSOA",'01_Formulario_A09'!$A:$A,0))),"— (a preencher em 01_Formulario_A09)")</f>
        <v/>
      </c>
    </row>
    <row r="914">
      <c r="A914" s="13" t="inlineStr">
        <is>
          <t>D07-DOC-PIM-001.RESOURCES.SISTEMA</t>
        </is>
      </c>
      <c r="B914" s="2" t="inlineStr">
        <is>
          <t>sistema</t>
        </is>
      </c>
      <c r="C914" s="14">
        <f>IFERROR(IF(INDEX('01_Formulario_A09'!$D:$D,MATCH("D07-DOC-PIM-001.RESOURCES.SISTEMA",'01_Formulario_A09'!$A:$A,0))="","— (a preencher em 01_Formulario_A09)",INDEX('01_Formulario_A09'!$D:$D,MATCH("D07-DOC-PIM-001.RESOURCES.SISTEMA",'01_Formulario_A09'!$A:$A,0))),"— (a preencher em 01_Formulario_A09)")</f>
        <v/>
      </c>
    </row>
    <row r="915">
      <c r="A915" s="13" t="inlineStr">
        <is>
          <t>D07-DOC-PIM-001.RESOURCES.RECURSO</t>
        </is>
      </c>
      <c r="B915" s="2" t="inlineStr">
        <is>
          <t>recurso</t>
        </is>
      </c>
      <c r="C915" s="14">
        <f>IFERROR(IF(INDEX('01_Formulario_A09'!$D:$D,MATCH("D07-DOC-PIM-001.RESOURCES.RECURSO",'01_Formulario_A09'!$A:$A,0))="","— (a preencher em 01_Formulario_A09)",INDEX('01_Formulario_A09'!$D:$D,MATCH("D07-DOC-PIM-001.RESOURCES.RECURSO",'01_Formulario_A09'!$A:$A,0))),"— (a preencher em 01_Formulario_A09)")</f>
        <v/>
      </c>
    </row>
    <row r="916">
      <c r="A916" s="13" t="inlineStr">
        <is>
          <t>D07-DOC-PIM-001.SCHEDULE.INICIO</t>
        </is>
      </c>
      <c r="B916" s="2" t="inlineStr">
        <is>
          <t>inicio</t>
        </is>
      </c>
      <c r="C916" s="14">
        <f>IFERROR(IF(INDEX('01_Formulario_A09'!$D:$D,MATCH("D07-DOC-PIM-001.SCHEDULE.INICIO",'01_Formulario_A09'!$A:$A,0))="","— (a preencher em 01_Formulario_A09)",INDEX('01_Formulario_A09'!$D:$D,MATCH("D07-DOC-PIM-001.SCHEDULE.INICIO",'01_Formulario_A09'!$A:$A,0))),"— (a preencher em 01_Formulario_A09)")</f>
        <v/>
      </c>
    </row>
    <row r="917">
      <c r="A917" s="13" t="inlineStr">
        <is>
          <t>D07-DOC-PIM-001.SCHEDULE.FIM</t>
        </is>
      </c>
      <c r="B917" s="2" t="inlineStr">
        <is>
          <t>fim</t>
        </is>
      </c>
      <c r="C917" s="14">
        <f>IFERROR(IF(INDEX('01_Formulario_A09'!$D:$D,MATCH("D07-DOC-PIM-001.SCHEDULE.FIM",'01_Formulario_A09'!$A:$A,0))="","— (a preencher em 01_Formulario_A09)",INDEX('01_Formulario_A09'!$D:$D,MATCH("D07-DOC-PIM-001.SCHEDULE.FIM",'01_Formulario_A09'!$A:$A,0))),"— (a preencher em 01_Formulario_A09)")</f>
        <v/>
      </c>
    </row>
    <row r="918">
      <c r="A918" s="13" t="inlineStr">
        <is>
          <t>D07-DOC-PIM-001.SCHEDULE.CICLO</t>
        </is>
      </c>
      <c r="B918" s="2" t="inlineStr">
        <is>
          <t>ciclo</t>
        </is>
      </c>
      <c r="C918" s="14">
        <f>IFERROR(IF(INDEX('01_Formulario_A09'!$D:$D,MATCH("D07-DOC-PIM-001.SCHEDULE.CICLO",'01_Formulario_A09'!$A:$A,0))="","— (a preencher em 01_Formulario_A09)",INDEX('01_Formulario_A09'!$D:$D,MATCH("D07-DOC-PIM-001.SCHEDULE.CICLO",'01_Formulario_A09'!$A:$A,0))),"— (a preencher em 01_Formulario_A09)")</f>
        <v/>
      </c>
    </row>
    <row r="919">
      <c r="A919" s="13" t="inlineStr">
        <is>
          <t>D07-DOC-PIM-001.GATES.GATE</t>
        </is>
      </c>
      <c r="B919" s="2" t="inlineStr">
        <is>
          <t>gate</t>
        </is>
      </c>
      <c r="C919" s="14">
        <f>IFERROR(IF(INDEX('01_Formulario_A09'!$D:$D,MATCH("D07-DOC-PIM-001.GATES.GATE",'01_Formulario_A09'!$A:$A,0))="","— (a preencher em 01_Formulario_A09)",INDEX('01_Formulario_A09'!$D:$D,MATCH("D07-DOC-PIM-001.GATES.GATE",'01_Formulario_A09'!$A:$A,0))),"— (a preencher em 01_Formulario_A09)")</f>
        <v/>
      </c>
    </row>
    <row r="920">
      <c r="A920" s="13" t="inlineStr">
        <is>
          <t>D07-DOC-PIM-001.GATES.ENTRADA</t>
        </is>
      </c>
      <c r="B920" s="2" t="inlineStr">
        <is>
          <t>entrada</t>
        </is>
      </c>
      <c r="C920" s="14">
        <f>IFERROR(IF(INDEX('01_Formulario_A09'!$D:$D,MATCH("D07-DOC-PIM-001.GATES.ENTRADA",'01_Formulario_A09'!$A:$A,0))="","— (a preencher em 01_Formulario_A09)",INDEX('01_Formulario_A09'!$D:$D,MATCH("D07-DOC-PIM-001.GATES.ENTRADA",'01_Formulario_A09'!$A:$A,0))),"— (a preencher em 01_Formulario_A09)")</f>
        <v/>
      </c>
    </row>
    <row r="921">
      <c r="A921" s="13" t="inlineStr">
        <is>
          <t>D07-DOC-PIM-001.GATES.SAIDA</t>
        </is>
      </c>
      <c r="B921" s="2" t="inlineStr">
        <is>
          <t>saida</t>
        </is>
      </c>
      <c r="C921" s="14">
        <f>IFERROR(IF(INDEX('01_Formulario_A09'!$D:$D,MATCH("D07-DOC-PIM-001.GATES.SAIDA",'01_Formulario_A09'!$A:$A,0))="","— (a preencher em 01_Formulario_A09)",INDEX('01_Formulario_A09'!$D:$D,MATCH("D07-DOC-PIM-001.GATES.SAIDA",'01_Formulario_A09'!$A:$A,0))),"— (a preencher em 01_Formulario_A09)")</f>
        <v/>
      </c>
    </row>
    <row r="922">
      <c r="A922" s="13" t="inlineStr">
        <is>
          <t>D07-DOC-PIM-001.ROLLOUT.PILOTO</t>
        </is>
      </c>
      <c r="B922" s="2" t="inlineStr">
        <is>
          <t>piloto</t>
        </is>
      </c>
      <c r="C922" s="14">
        <f>IFERROR(IF(INDEX('01_Formulario_A09'!$D:$D,MATCH("D07-DOC-PIM-001.ROLLOUT.PILOTO",'01_Formulario_A09'!$A:$A,0))="","— (a preencher em 01_Formulario_A09)",INDEX('01_Formulario_A09'!$D:$D,MATCH("D07-DOC-PIM-001.ROLLOUT.PILOTO",'01_Formulario_A09'!$A:$A,0))),"— (a preencher em 01_Formulario_A09)")</f>
        <v/>
      </c>
    </row>
    <row r="923">
      <c r="A923" s="13" t="inlineStr">
        <is>
          <t>D07-DOC-PIM-001.ROLLOUT.EXPANSAO</t>
        </is>
      </c>
      <c r="B923" s="2" t="inlineStr">
        <is>
          <t>expansao</t>
        </is>
      </c>
      <c r="C923" s="14">
        <f>IFERROR(IF(INDEX('01_Formulario_A09'!$D:$D,MATCH("D07-DOC-PIM-001.ROLLOUT.EXPANSAO",'01_Formulario_A09'!$A:$A,0))="","— (a preencher em 01_Formulario_A09)",INDEX('01_Formulario_A09'!$D:$D,MATCH("D07-DOC-PIM-001.ROLLOUT.EXPANSAO",'01_Formulario_A09'!$A:$A,0))),"— (a preencher em 01_Formulario_A09)")</f>
        <v/>
      </c>
    </row>
    <row r="924">
      <c r="A924" s="13" t="inlineStr">
        <is>
          <t>D07-DOC-PIM-001.HANDOFF.ORIGEM</t>
        </is>
      </c>
      <c r="B924" s="2" t="inlineStr">
        <is>
          <t>origem</t>
        </is>
      </c>
      <c r="C924" s="14">
        <f>IFERROR(IF(INDEX('01_Formulario_A09'!$D:$D,MATCH("D07-DOC-PIM-001.HANDOFF.ORIGEM",'01_Formulario_A09'!$A:$A,0))="","— (a preencher em 01_Formulario_A09)",INDEX('01_Formulario_A09'!$D:$D,MATCH("D07-DOC-PIM-001.HANDOFF.ORIGEM",'01_Formulario_A09'!$A:$A,0))),"— (a preencher em 01_Formulario_A09)")</f>
        <v/>
      </c>
    </row>
    <row r="925">
      <c r="A925" s="13" t="inlineStr">
        <is>
          <t>D07-DOC-PIM-001.HANDOFF.DESTINO</t>
        </is>
      </c>
      <c r="B925" s="2" t="inlineStr">
        <is>
          <t>destino</t>
        </is>
      </c>
      <c r="C925" s="14">
        <f>IFERROR(IF(INDEX('01_Formulario_A09'!$D:$D,MATCH("D07-DOC-PIM-001.HANDOFF.DESTINO",'01_Formulario_A09'!$A:$A,0))="","— (a preencher em 01_Formulario_A09)",INDEX('01_Formulario_A09'!$D:$D,MATCH("D07-DOC-PIM-001.HANDOFF.DESTINO",'01_Formulario_A09'!$A:$A,0))),"— (a preencher em 01_Formulario_A09)")</f>
        <v/>
      </c>
    </row>
    <row r="926">
      <c r="A926" s="13" t="inlineStr">
        <is>
          <t>D07-DOC-PIM-001.HANDOFF.CONTRATO</t>
        </is>
      </c>
      <c r="B926" s="2" t="inlineStr">
        <is>
          <t>contrato</t>
        </is>
      </c>
      <c r="C926" s="14">
        <f>IFERROR(IF(INDEX('01_Formulario_A09'!$D:$D,MATCH("D07-DOC-PIM-001.HANDOFF.CONTRATO",'01_Formulario_A09'!$A:$A,0))="","— (a preencher em 01_Formulario_A09)",INDEX('01_Formulario_A09'!$D:$D,MATCH("D07-DOC-PIM-001.HANDOFF.CONTRATO",'01_Formulario_A09'!$A:$A,0))),"— (a preencher em 01_Formulario_A09)")</f>
        <v/>
      </c>
    </row>
    <row r="927">
      <c r="A927" s="13" t="inlineStr">
        <is>
          <t>D07-DOC-PIM-001.VERIFICATION.TESTE</t>
        </is>
      </c>
      <c r="B927" s="2" t="inlineStr">
        <is>
          <t>teste</t>
        </is>
      </c>
      <c r="C927" s="14">
        <f>IFERROR(IF(INDEX('01_Formulario_A09'!$D:$D,MATCH("D07-DOC-PIM-001.VERIFICATION.TESTE",'01_Formulario_A09'!$A:$A,0))="","— (a preencher em 01_Formulario_A09)",INDEX('01_Formulario_A09'!$D:$D,MATCH("D07-DOC-PIM-001.VERIFICATION.TESTE",'01_Formulario_A09'!$A:$A,0))),"— (a preencher em 01_Formulario_A09)")</f>
        <v/>
      </c>
    </row>
    <row r="928">
      <c r="A928" s="13" t="inlineStr">
        <is>
          <t>D07-DOC-PIM-001.VERIFICATION.EVIDENCIA</t>
        </is>
      </c>
      <c r="B928" s="2" t="inlineStr">
        <is>
          <t>evidencia</t>
        </is>
      </c>
      <c r="C928" s="14">
        <f>IFERROR(IF(INDEX('01_Formulario_A09'!$D:$D,MATCH("D07-DOC-PIM-001.VERIFICATION.EVIDENCIA",'01_Formulario_A09'!$A:$A,0))="","— (a preencher em 01_Formulario_A09)",INDEX('01_Formulario_A09'!$D:$D,MATCH("D07-DOC-PIM-001.VERIFICATION.EVIDENCIA",'01_Formulario_A09'!$A:$A,0))),"— (a preencher em 01_Formulario_A09)")</f>
        <v/>
      </c>
    </row>
    <row r="929">
      <c r="A929" s="13" t="inlineStr">
        <is>
          <t>D07-DOC-PIM-001.ROLLBACK.CONDICAO</t>
        </is>
      </c>
      <c r="B929" s="2" t="inlineStr">
        <is>
          <t>condicao</t>
        </is>
      </c>
      <c r="C929" s="14">
        <f>IFERROR(IF(INDEX('01_Formulario_A09'!$D:$D,MATCH("D07-DOC-PIM-001.ROLLBACK.CONDICAO",'01_Formulario_A09'!$A:$A,0))="","— (a preencher em 01_Formulario_A09)",INDEX('01_Formulario_A09'!$D:$D,MATCH("D07-DOC-PIM-001.ROLLBACK.CONDICAO",'01_Formulario_A09'!$A:$A,0))),"— (a preencher em 01_Formulario_A09)")</f>
        <v/>
      </c>
    </row>
    <row r="930">
      <c r="A930" s="13" t="inlineStr">
        <is>
          <t>D07-DOC-PIM-001.ROLLBACK.PROCEDIMENTO</t>
        </is>
      </c>
      <c r="B930" s="2" t="inlineStr">
        <is>
          <t>procedimento</t>
        </is>
      </c>
      <c r="C930" s="14">
        <f>IFERROR(IF(INDEX('01_Formulario_A09'!$D:$D,MATCH("D07-DOC-PIM-001.ROLLBACK.PROCEDIMENTO",'01_Formulario_A09'!$A:$A,0))="","— (a preencher em 01_Formulario_A09)",INDEX('01_Formulario_A09'!$D:$D,MATCH("D07-DOC-PIM-001.ROLLBACK.PROCEDIMENTO",'01_Formulario_A09'!$A:$A,0))),"— (a preencher em 01_Formulario_A09)")</f>
        <v/>
      </c>
    </row>
    <row r="931">
      <c r="A931" s="5" t="inlineStr">
        <is>
          <t>A10 — Documentação e Governança do Conhecimento</t>
        </is>
      </c>
      <c r="B931" s="6" t="n"/>
      <c r="C931" s="7" t="n"/>
    </row>
    <row r="932">
      <c r="A932" s="13" t="inlineStr">
        <is>
          <t>D21-DOC-PWB-001.WORKBOOK_CATALOG.WORKBOOK_ID</t>
        </is>
      </c>
      <c r="B932" s="2" t="inlineStr">
        <is>
          <t>workbook_id</t>
        </is>
      </c>
      <c r="C932" s="14">
        <f>IFERROR(IF(INDEX('01_Formulario_A10'!$D:$D,MATCH("D21-DOC-PWB-001.WORKBOOK_CATALOG.WORKBOOK_ID",'01_Formulario_A10'!$A:$A,0))="","— (a preencher em 01_Formulario_A10)",INDEX('01_Formulario_A10'!$D:$D,MATCH("D21-DOC-PWB-001.WORKBOOK_CATALOG.WORKBOOK_ID",'01_Formulario_A10'!$A:$A,0))),"— (a preencher em 01_Formulario_A10)")</f>
        <v/>
      </c>
    </row>
    <row r="933">
      <c r="A933" s="13" t="inlineStr">
        <is>
          <t>D21-DOC-PWB-001.WORKBOOK_CATALOG.NOME</t>
        </is>
      </c>
      <c r="B933" s="2" t="inlineStr">
        <is>
          <t>nome</t>
        </is>
      </c>
      <c r="C933" s="14">
        <f>IFERROR(IF(INDEX('01_Formulario_A10'!$D:$D,MATCH("D21-DOC-PWB-001.WORKBOOK_CATALOG.NOME",'01_Formulario_A10'!$A:$A,0))="","— (a preencher em 01_Formulario_A10)",INDEX('01_Formulario_A10'!$D:$D,MATCH("D21-DOC-PWB-001.WORKBOOK_CATALOG.NOME",'01_Formulario_A10'!$A:$A,0))),"— (a preencher em 01_Formulario_A10)")</f>
        <v/>
      </c>
    </row>
    <row r="934">
      <c r="A934" s="13" t="inlineStr">
        <is>
          <t>D21-DOC-PWB-001.PURPOSE.OBJETIVO</t>
        </is>
      </c>
      <c r="B934" s="2" t="inlineStr">
        <is>
          <t>objetivo</t>
        </is>
      </c>
      <c r="C934" s="14">
        <f>IFERROR(IF(INDEX('01_Formulario_A10'!$D:$D,MATCH("D21-DOC-PWB-001.PURPOSE.OBJETIVO",'01_Formulario_A10'!$A:$A,0))="","— (a preencher em 01_Formulario_A10)",INDEX('01_Formulario_A10'!$D:$D,MATCH("D21-DOC-PWB-001.PURPOSE.OBJETIVO",'01_Formulario_A10'!$A:$A,0))),"— (a preencher em 01_Formulario_A10)")</f>
        <v/>
      </c>
    </row>
    <row r="935">
      <c r="A935" s="13" t="inlineStr">
        <is>
          <t>D21-DOC-PWB-001.PURPOSE.USUARIO</t>
        </is>
      </c>
      <c r="B935" s="2" t="inlineStr">
        <is>
          <t>usuario</t>
        </is>
      </c>
      <c r="C935" s="14">
        <f>IFERROR(IF(INDEX('01_Formulario_A10'!$D:$D,MATCH("D21-DOC-PWB-001.PURPOSE.USUARIO",'01_Formulario_A10'!$A:$A,0))="","— (a preencher em 01_Formulario_A10)",INDEX('01_Formulario_A10'!$D:$D,MATCH("D21-DOC-PWB-001.PURPOSE.USUARIO",'01_Formulario_A10'!$A:$A,0))),"— (a preencher em 01_Formulario_A10)")</f>
        <v/>
      </c>
    </row>
    <row r="936">
      <c r="A936" s="13" t="inlineStr">
        <is>
          <t>D21-DOC-PWB-001.SOURCE_DATA.FONTE</t>
        </is>
      </c>
      <c r="B936" s="2" t="inlineStr">
        <is>
          <t>fonte</t>
        </is>
      </c>
      <c r="C936" s="14">
        <f>IFERROR(IF(INDEX('01_Formulario_A10'!$D:$D,MATCH("D21-DOC-PWB-001.SOURCE_DATA.FONTE",'01_Formulario_A10'!$A:$A,0))="","— (a preencher em 01_Formulario_A10)",INDEX('01_Formulario_A10'!$D:$D,MATCH("D21-DOC-PWB-001.SOURCE_DATA.FONTE",'01_Formulario_A10'!$A:$A,0))),"— (a preencher em 01_Formulario_A10)")</f>
        <v/>
      </c>
    </row>
    <row r="937">
      <c r="A937" s="13" t="inlineStr">
        <is>
          <t>D21-DOC-PWB-001.SOURCE_DATA.ATUALIZACAO</t>
        </is>
      </c>
      <c r="B937" s="2" t="inlineStr">
        <is>
          <t>atualizacao</t>
        </is>
      </c>
      <c r="C937" s="14">
        <f>IFERROR(IF(INDEX('01_Formulario_A10'!$D:$D,MATCH("D21-DOC-PWB-001.SOURCE_DATA.ATUALIZACAO",'01_Formulario_A10'!$A:$A,0))="","— (a preencher em 01_Formulario_A10)",INDEX('01_Formulario_A10'!$D:$D,MATCH("D21-DOC-PWB-001.SOURCE_DATA.ATUALIZACAO",'01_Formulario_A10'!$A:$A,0))),"— (a preencher em 01_Formulario_A10)")</f>
        <v/>
      </c>
    </row>
    <row r="938">
      <c r="A938" s="13" t="inlineStr">
        <is>
          <t>D21-DOC-PWB-001.SHEETS.ABA</t>
        </is>
      </c>
      <c r="B938" s="2" t="inlineStr">
        <is>
          <t>aba</t>
        </is>
      </c>
      <c r="C938" s="14">
        <f>IFERROR(IF(INDEX('01_Formulario_A10'!$D:$D,MATCH("D21-DOC-PWB-001.SHEETS.ABA",'01_Formulario_A10'!$A:$A,0))="","— (a preencher em 01_Formulario_A10)",INDEX('01_Formulario_A10'!$D:$D,MATCH("D21-DOC-PWB-001.SHEETS.ABA",'01_Formulario_A10'!$A:$A,0))),"— (a preencher em 01_Formulario_A10)")</f>
        <v/>
      </c>
    </row>
    <row r="939">
      <c r="A939" s="13" t="inlineStr">
        <is>
          <t>D21-DOC-PWB-001.SHEETS.FINALIDADE</t>
        </is>
      </c>
      <c r="B939" s="2" t="inlineStr">
        <is>
          <t>finalidade</t>
        </is>
      </c>
      <c r="C939" s="14">
        <f>IFERROR(IF(INDEX('01_Formulario_A10'!$D:$D,MATCH("D21-DOC-PWB-001.SHEETS.FINALIDADE",'01_Formulario_A10'!$A:$A,0))="","— (a preencher em 01_Formulario_A10)",INDEX('01_Formulario_A10'!$D:$D,MATCH("D21-DOC-PWB-001.SHEETS.FINALIDADE",'01_Formulario_A10'!$A:$A,0))),"— (a preencher em 01_Formulario_A10)")</f>
        <v/>
      </c>
    </row>
    <row r="940">
      <c r="A940" s="13" t="inlineStr">
        <is>
          <t>D21-DOC-PWB-001.FIELDS.CAMPO</t>
        </is>
      </c>
      <c r="B940" s="2" t="inlineStr">
        <is>
          <t>campo</t>
        </is>
      </c>
      <c r="C940" s="14">
        <f>IFERROR(IF(INDEX('01_Formulario_A10'!$D:$D,MATCH("D21-DOC-PWB-001.FIELDS.CAMPO",'01_Formulario_A10'!$A:$A,0))="","— (a preencher em 01_Formulario_A10)",INDEX('01_Formulario_A10'!$D:$D,MATCH("D21-DOC-PWB-001.FIELDS.CAMPO",'01_Formulario_A10'!$A:$A,0))),"— (a preencher em 01_Formulario_A10)")</f>
        <v/>
      </c>
    </row>
    <row r="941">
      <c r="A941" s="13" t="inlineStr">
        <is>
          <t>D21-DOC-PWB-001.FIELDS.DEFINICAO</t>
        </is>
      </c>
      <c r="B941" s="2" t="inlineStr">
        <is>
          <t>definicao</t>
        </is>
      </c>
      <c r="C941" s="14">
        <f>IFERROR(IF(INDEX('01_Formulario_A10'!$D:$D,MATCH("D21-DOC-PWB-001.FIELDS.DEFINICAO",'01_Formulario_A10'!$A:$A,0))="","— (a preencher em 01_Formulario_A10)",INDEX('01_Formulario_A10'!$D:$D,MATCH("D21-DOC-PWB-001.FIELDS.DEFINICAO",'01_Formulario_A10'!$A:$A,0))),"— (a preencher em 01_Formulario_A10)")</f>
        <v/>
      </c>
    </row>
    <row r="942">
      <c r="A942" s="13" t="inlineStr">
        <is>
          <t>D21-DOC-PWB-001.FORMULAS.FORMULA</t>
        </is>
      </c>
      <c r="B942" s="2" t="inlineStr">
        <is>
          <t>formula</t>
        </is>
      </c>
      <c r="C942" s="14">
        <f>IFERROR(IF(INDEX('01_Formulario_A10'!$D:$D,MATCH("D21-DOC-PWB-001.FORMULAS.FORMULA",'01_Formulario_A10'!$A:$A,0))="","— (a preencher em 01_Formulario_A10)",INDEX('01_Formulario_A10'!$D:$D,MATCH("D21-DOC-PWB-001.FORMULAS.FORMULA",'01_Formulario_A10'!$A:$A,0))),"— (a preencher em 01_Formulario_A10)")</f>
        <v/>
      </c>
    </row>
    <row r="943">
      <c r="A943" s="13" t="inlineStr">
        <is>
          <t>D21-DOC-PWB-001.FORMULAS.LOGICA</t>
        </is>
      </c>
      <c r="B943" s="2" t="inlineStr">
        <is>
          <t>logica</t>
        </is>
      </c>
      <c r="C943" s="14">
        <f>IFERROR(IF(INDEX('01_Formulario_A10'!$D:$D,MATCH("D21-DOC-PWB-001.FORMULAS.LOGICA",'01_Formulario_A10'!$A:$A,0))="","— (a preencher em 01_Formulario_A10)",INDEX('01_Formulario_A10'!$D:$D,MATCH("D21-DOC-PWB-001.FORMULAS.LOGICA",'01_Formulario_A10'!$A:$A,0))),"— (a preencher em 01_Formulario_A10)")</f>
        <v/>
      </c>
    </row>
    <row r="944">
      <c r="A944" s="13" t="inlineStr">
        <is>
          <t>D21-DOC-PWB-001.INPUTS.ENTRADA</t>
        </is>
      </c>
      <c r="B944" s="2" t="inlineStr">
        <is>
          <t>entrada</t>
        </is>
      </c>
      <c r="C944" s="14">
        <f>IFERROR(IF(INDEX('01_Formulario_A10'!$D:$D,MATCH("D21-DOC-PWB-001.INPUTS.ENTRADA",'01_Formulario_A10'!$A:$A,0))="","— (a preencher em 01_Formulario_A10)",INDEX('01_Formulario_A10'!$D:$D,MATCH("D21-DOC-PWB-001.INPUTS.ENTRADA",'01_Formulario_A10'!$A:$A,0))),"— (a preencher em 01_Formulario_A10)")</f>
        <v/>
      </c>
    </row>
    <row r="945">
      <c r="A945" s="13" t="inlineStr">
        <is>
          <t>D21-DOC-PWB-001.INPUTS.TIPO</t>
        </is>
      </c>
      <c r="B945" s="2" t="inlineStr">
        <is>
          <t>tipo</t>
        </is>
      </c>
      <c r="C945" s="14">
        <f>IFERROR(IF(INDEX('01_Formulario_A10'!$D:$D,MATCH("D21-DOC-PWB-001.INPUTS.TIPO",'01_Formulario_A10'!$A:$A,0))="","— (a preencher em 01_Formulario_A10)",INDEX('01_Formulario_A10'!$D:$D,MATCH("D21-DOC-PWB-001.INPUTS.TIPO",'01_Formulario_A10'!$A:$A,0))),"— (a preencher em 01_Formulario_A10)")</f>
        <v/>
      </c>
    </row>
    <row r="946">
      <c r="A946" s="13" t="inlineStr">
        <is>
          <t>D21-DOC-PWB-001.OUTPUTS.RELATORIO</t>
        </is>
      </c>
      <c r="B946" s="2" t="inlineStr">
        <is>
          <t>relatorio</t>
        </is>
      </c>
      <c r="C946" s="14">
        <f>IFERROR(IF(INDEX('01_Formulario_A10'!$D:$D,MATCH("D21-DOC-PWB-001.OUTPUTS.RELATORIO",'01_Formulario_A10'!$A:$A,0))="","— (a preencher em 01_Formulario_A10)",INDEX('01_Formulario_A10'!$D:$D,MATCH("D21-DOC-PWB-001.OUTPUTS.RELATORIO",'01_Formulario_A10'!$A:$A,0))),"— (a preencher em 01_Formulario_A10)")</f>
        <v/>
      </c>
    </row>
    <row r="947">
      <c r="A947" s="13" t="inlineStr">
        <is>
          <t>D21-DOC-PWB-001.OUTPUTS.INDICADOR</t>
        </is>
      </c>
      <c r="B947" s="2" t="inlineStr">
        <is>
          <t>indicador</t>
        </is>
      </c>
      <c r="C947" s="14">
        <f>IFERROR(IF(INDEX('01_Formulario_A10'!$D:$D,MATCH("D21-DOC-PWB-001.OUTPUTS.INDICADOR",'01_Formulario_A10'!$A:$A,0))="","— (a preencher em 01_Formulario_A10)",INDEX('01_Formulario_A10'!$D:$D,MATCH("D21-DOC-PWB-001.OUTPUTS.INDICADOR",'01_Formulario_A10'!$A:$A,0))),"— (a preencher em 01_Formulario_A10)")</f>
        <v/>
      </c>
    </row>
    <row r="948">
      <c r="A948" s="13" t="inlineStr">
        <is>
          <t>D21-DOC-PWB-001.VALIDATION.REGRA</t>
        </is>
      </c>
      <c r="B948" s="2" t="inlineStr">
        <is>
          <t>regra</t>
        </is>
      </c>
      <c r="C948" s="14">
        <f>IFERROR(IF(INDEX('01_Formulario_A10'!$D:$D,MATCH("D21-DOC-PWB-001.VALIDATION.REGRA",'01_Formulario_A10'!$A:$A,0))="","— (a preencher em 01_Formulario_A10)",INDEX('01_Formulario_A10'!$D:$D,MATCH("D21-DOC-PWB-001.VALIDATION.REGRA",'01_Formulario_A10'!$A:$A,0))),"— (a preencher em 01_Formulario_A10)")</f>
        <v/>
      </c>
    </row>
    <row r="949">
      <c r="A949" s="13" t="inlineStr">
        <is>
          <t>D21-DOC-PWB-001.VALIDATION.ERRO</t>
        </is>
      </c>
      <c r="B949" s="2" t="inlineStr">
        <is>
          <t>erro</t>
        </is>
      </c>
      <c r="C949" s="14">
        <f>IFERROR(IF(INDEX('01_Formulario_A10'!$D:$D,MATCH("D21-DOC-PWB-001.VALIDATION.ERRO",'01_Formulario_A10'!$A:$A,0))="","— (a preencher em 01_Formulario_A10)",INDEX('01_Formulario_A10'!$D:$D,MATCH("D21-DOC-PWB-001.VALIDATION.ERRO",'01_Formulario_A10'!$A:$A,0))),"— (a preencher em 01_Formulario_A10)")</f>
        <v/>
      </c>
    </row>
    <row r="950">
      <c r="A950" s="13" t="inlineStr">
        <is>
          <t>D21-DOC-PWB-001.VISUALIZATION.GRAFICO</t>
        </is>
      </c>
      <c r="B950" s="2" t="inlineStr">
        <is>
          <t>grafico</t>
        </is>
      </c>
      <c r="C950" s="14">
        <f>IFERROR(IF(INDEX('01_Formulario_A10'!$D:$D,MATCH("D21-DOC-PWB-001.VISUALIZATION.GRAFICO",'01_Formulario_A10'!$A:$A,0))="","— (a preencher em 01_Formulario_A10)",INDEX('01_Formulario_A10'!$D:$D,MATCH("D21-DOC-PWB-001.VISUALIZATION.GRAFICO",'01_Formulario_A10'!$A:$A,0))),"— (a preencher em 01_Formulario_A10)")</f>
        <v/>
      </c>
    </row>
    <row r="951">
      <c r="A951" s="13" t="inlineStr">
        <is>
          <t>D21-DOC-PWB-001.VISUALIZATION.TABELA</t>
        </is>
      </c>
      <c r="B951" s="2" t="inlineStr">
        <is>
          <t>tabela</t>
        </is>
      </c>
      <c r="C951" s="14">
        <f>IFERROR(IF(INDEX('01_Formulario_A10'!$D:$D,MATCH("D21-DOC-PWB-001.VISUALIZATION.TABELA",'01_Formulario_A10'!$A:$A,0))="","— (a preencher em 01_Formulario_A10)",INDEX('01_Formulario_A10'!$D:$D,MATCH("D21-DOC-PWB-001.VISUALIZATION.TABELA",'01_Formulario_A10'!$A:$A,0))),"— (a preencher em 01_Formulario_A10)")</f>
        <v/>
      </c>
    </row>
    <row r="952">
      <c r="A952" s="13" t="inlineStr">
        <is>
          <t>D21-DOC-PWB-001.PRINTING.FORMATO</t>
        </is>
      </c>
      <c r="B952" s="2" t="inlineStr">
        <is>
          <t>formato</t>
        </is>
      </c>
      <c r="C952" s="14">
        <f>IFERROR(IF(INDEX('01_Formulario_A10'!$D:$D,MATCH("D21-DOC-PWB-001.PRINTING.FORMATO",'01_Formulario_A10'!$A:$A,0))="","— (a preencher em 01_Formulario_A10)",INDEX('01_Formulario_A10'!$D:$D,MATCH("D21-DOC-PWB-001.PRINTING.FORMATO",'01_Formulario_A10'!$A:$A,0))),"— (a preencher em 01_Formulario_A10)")</f>
        <v/>
      </c>
    </row>
    <row r="953">
      <c r="A953" s="13" t="inlineStr">
        <is>
          <t>D21-DOC-PWB-001.PRINTING.AREA_SEGURA</t>
        </is>
      </c>
      <c r="B953" s="2" t="inlineStr">
        <is>
          <t>area_segura</t>
        </is>
      </c>
      <c r="C953" s="14">
        <f>IFERROR(IF(INDEX('01_Formulario_A10'!$D:$D,MATCH("D21-DOC-PWB-001.PRINTING.AREA_SEGURA",'01_Formulario_A10'!$A:$A,0))="","— (a preencher em 01_Formulario_A10)",INDEX('01_Formulario_A10'!$D:$D,MATCH("D21-DOC-PWB-001.PRINTING.AREA_SEGURA",'01_Formulario_A10'!$A:$A,0))),"— (a preencher em 01_Formulario_A10)")</f>
        <v/>
      </c>
    </row>
    <row r="954">
      <c r="A954" s="13" t="inlineStr">
        <is>
          <t>D21-DOC-PWB-001.AUTOMATION.TRIGGER</t>
        </is>
      </c>
      <c r="B954" s="2" t="inlineStr">
        <is>
          <t>trigger</t>
        </is>
      </c>
      <c r="C954" s="14">
        <f>IFERROR(IF(INDEX('01_Formulario_A10'!$D:$D,MATCH("D21-DOC-PWB-001.AUTOMATION.TRIGGER",'01_Formulario_A10'!$A:$A,0))="","— (a preencher em 01_Formulario_A10)",INDEX('01_Formulario_A10'!$D:$D,MATCH("D21-DOC-PWB-001.AUTOMATION.TRIGGER",'01_Formulario_A10'!$A:$A,0))),"— (a preencher em 01_Formulario_A10)")</f>
        <v/>
      </c>
    </row>
    <row r="955">
      <c r="A955" s="13" t="inlineStr">
        <is>
          <t>D21-DOC-PWB-001.AUTOMATION.PROCESSO</t>
        </is>
      </c>
      <c r="B955" s="2" t="inlineStr">
        <is>
          <t>processo</t>
        </is>
      </c>
      <c r="C955" s="14">
        <f>IFERROR(IF(INDEX('01_Formulario_A10'!$D:$D,MATCH("D21-DOC-PWB-001.AUTOMATION.PROCESSO",'01_Formulario_A10'!$A:$A,0))="","— (a preencher em 01_Formulario_A10)",INDEX('01_Formulario_A10'!$D:$D,MATCH("D21-DOC-PWB-001.AUTOMATION.PROCESSO",'01_Formulario_A10'!$A:$A,0))),"— (a preencher em 01_Formulario_A10)")</f>
        <v/>
      </c>
    </row>
    <row r="956">
      <c r="A956" s="13" t="inlineStr">
        <is>
          <t>D21-DOC-PWB-001.OWNERSHIP.OWNER</t>
        </is>
      </c>
      <c r="B956" s="2" t="inlineStr">
        <is>
          <t>owner</t>
        </is>
      </c>
      <c r="C956" s="14">
        <f>IFERROR(IF(INDEX('01_Formulario_A10'!$D:$D,MATCH("D21-DOC-PWB-001.OWNERSHIP.OWNER",'01_Formulario_A10'!$A:$A,0))="","— (a preencher em 01_Formulario_A10)",INDEX('01_Formulario_A10'!$D:$D,MATCH("D21-DOC-PWB-001.OWNERSHIP.OWNER",'01_Formulario_A10'!$A:$A,0))),"— (a preencher em 01_Formulario_A10)")</f>
        <v/>
      </c>
    </row>
    <row r="957">
      <c r="A957" s="13" t="inlineStr">
        <is>
          <t>D21-DOC-PWB-001.OWNERSHIP.APROVADOR</t>
        </is>
      </c>
      <c r="B957" s="2" t="inlineStr">
        <is>
          <t>aprovador</t>
        </is>
      </c>
      <c r="C957" s="14">
        <f>IFERROR(IF(INDEX('01_Formulario_A10'!$D:$D,MATCH("D21-DOC-PWB-001.OWNERSHIP.APROVADOR",'01_Formulario_A10'!$A:$A,0))="","— (a preencher em 01_Formulario_A10)",INDEX('01_Formulario_A10'!$D:$D,MATCH("D21-DOC-PWB-001.OWNERSHIP.APROVADOR",'01_Formulario_A10'!$A:$A,0))),"— (a preencher em 01_Formulario_A10)")</f>
        <v/>
      </c>
    </row>
    <row r="958">
      <c r="A958" s="13" t="inlineStr">
        <is>
          <t>D21-DOC-PWB-001.VERSIONING.VERSAO</t>
        </is>
      </c>
      <c r="B958" s="2" t="inlineStr">
        <is>
          <t>versao</t>
        </is>
      </c>
      <c r="C958" s="14">
        <f>IFERROR(IF(INDEX('01_Formulario_A10'!$D:$D,MATCH("D21-DOC-PWB-001.VERSIONING.VERSAO",'01_Formulario_A10'!$A:$A,0))="","— (a preencher em 01_Formulario_A10)",INDEX('01_Formulario_A10'!$D:$D,MATCH("D21-DOC-PWB-001.VERSIONING.VERSAO",'01_Formulario_A10'!$A:$A,0))),"— (a preencher em 01_Formulario_A10)")</f>
        <v/>
      </c>
    </row>
    <row r="959">
      <c r="A959" s="13" t="inlineStr">
        <is>
          <t>D21-DOC-PWB-001.VERSIONING.ALTERACAO</t>
        </is>
      </c>
      <c r="B959" s="2" t="inlineStr">
        <is>
          <t>alteracao</t>
        </is>
      </c>
      <c r="C959" s="14">
        <f>IFERROR(IF(INDEX('01_Formulario_A10'!$D:$D,MATCH("D21-DOC-PWB-001.VERSIONING.ALTERACAO",'01_Formulario_A10'!$A:$A,0))="","— (a preencher em 01_Formulario_A10)",INDEX('01_Formulario_A10'!$D:$D,MATCH("D21-DOC-PWB-001.VERSIONING.ALTERACAO",'01_Formulario_A10'!$A:$A,0))),"— (a preencher em 01_Formulario_A10)")</f>
        <v/>
      </c>
    </row>
    <row r="960">
      <c r="A960" s="13" t="inlineStr">
        <is>
          <t>D21-DOC-PWB-001.EVIDENCE.FONTE</t>
        </is>
      </c>
      <c r="B960" s="2" t="inlineStr">
        <is>
          <t>fonte</t>
        </is>
      </c>
      <c r="C960" s="14">
        <f>IFERROR(IF(INDEX('01_Formulario_A10'!$D:$D,MATCH("D21-DOC-PWB-001.EVIDENCE.FONTE",'01_Formulario_A10'!$A:$A,0))="","— (a preencher em 01_Formulario_A10)",INDEX('01_Formulario_A10'!$D:$D,MATCH("D21-DOC-PWB-001.EVIDENCE.FONTE",'01_Formulario_A10'!$A:$A,0))),"— (a preencher em 01_Formulario_A10)")</f>
        <v/>
      </c>
    </row>
    <row r="961">
      <c r="A961" s="13" t="inlineStr">
        <is>
          <t>D21-DOC-PWB-001.EVIDENCE.RASTREABILIDADE</t>
        </is>
      </c>
      <c r="B961" s="2" t="inlineStr">
        <is>
          <t>rastreabilidade</t>
        </is>
      </c>
      <c r="C961" s="14">
        <f>IFERROR(IF(INDEX('01_Formulario_A10'!$D:$D,MATCH("D21-DOC-PWB-001.EVIDENCE.RASTREABILIDADE",'01_Formulario_A10'!$A:$A,0))="","— (a preencher em 01_Formulario_A10)",INDEX('01_Formulario_A10'!$D:$D,MATCH("D21-DOC-PWB-001.EVIDENCE.RASTREABILIDADE",'01_Formulario_A10'!$A:$A,0))),"— (a preencher em 01_Formulario_A10)")</f>
        <v/>
      </c>
    </row>
    <row r="962">
      <c r="A962" s="13" t="inlineStr">
        <is>
          <t>D22-DOC-DRL-001.SCHEMA.DECISION_ID</t>
        </is>
      </c>
      <c r="B962" s="2" t="inlineStr">
        <is>
          <t>decision_id</t>
        </is>
      </c>
      <c r="C962" s="14">
        <f>IFERROR(IF(INDEX('01_Formulario_A10'!$D:$D,MATCH("D22-DOC-DRL-001.SCHEMA.DECISION_ID",'01_Formulario_A10'!$A:$A,0))="","— (a preencher em 01_Formulario_A10)",INDEX('01_Formulario_A10'!$D:$D,MATCH("D22-DOC-DRL-001.SCHEMA.DECISION_ID",'01_Formulario_A10'!$A:$A,0))),"— (a preencher em 01_Formulario_A10)")</f>
        <v/>
      </c>
    </row>
    <row r="963">
      <c r="A963" s="13" t="inlineStr">
        <is>
          <t>D22-DOC-DRL-001.SCHEMA.TITLE</t>
        </is>
      </c>
      <c r="B963" s="2" t="inlineStr">
        <is>
          <t>title</t>
        </is>
      </c>
      <c r="C963" s="14">
        <f>IFERROR(IF(INDEX('01_Formulario_A10'!$D:$D,MATCH("D22-DOC-DRL-001.SCHEMA.TITLE",'01_Formulario_A10'!$A:$A,0))="","— (a preencher em 01_Formulario_A10)",INDEX('01_Formulario_A10'!$D:$D,MATCH("D22-DOC-DRL-001.SCHEMA.TITLE",'01_Formulario_A10'!$A:$A,0))),"— (a preencher em 01_Formulario_A10)")</f>
        <v/>
      </c>
    </row>
    <row r="964">
      <c r="A964" s="13" t="inlineStr">
        <is>
          <t>D22-DOC-DRL-001.SCHEMA.DOMAIN</t>
        </is>
      </c>
      <c r="B964" s="2" t="inlineStr">
        <is>
          <t>domain</t>
        </is>
      </c>
      <c r="C964" s="14">
        <f>IFERROR(IF(INDEX('01_Formulario_A10'!$D:$D,MATCH("D22-DOC-DRL-001.SCHEMA.DOMAIN",'01_Formulario_A10'!$A:$A,0))="","— (a preencher em 01_Formulario_A10)",INDEX('01_Formulario_A10'!$D:$D,MATCH("D22-DOC-DRL-001.SCHEMA.DOMAIN",'01_Formulario_A10'!$A:$A,0))),"— (a preencher em 01_Formulario_A10)")</f>
        <v/>
      </c>
    </row>
    <row r="965">
      <c r="A965" s="13" t="inlineStr">
        <is>
          <t>D22-DOC-DRL-001.SCHEMA.CONTEXT</t>
        </is>
      </c>
      <c r="B965" s="2" t="inlineStr">
        <is>
          <t>context</t>
        </is>
      </c>
      <c r="C965" s="14">
        <f>IFERROR(IF(INDEX('01_Formulario_A10'!$D:$D,MATCH("D22-DOC-DRL-001.SCHEMA.CONTEXT",'01_Formulario_A10'!$A:$A,0))="","— (a preencher em 01_Formulario_A10)",INDEX('01_Formulario_A10'!$D:$D,MATCH("D22-DOC-DRL-001.SCHEMA.CONTEXT",'01_Formulario_A10'!$A:$A,0))),"— (a preencher em 01_Formulario_A10)")</f>
        <v/>
      </c>
    </row>
    <row r="966">
      <c r="A966" s="13" t="inlineStr">
        <is>
          <t>D22-DOC-DRL-001.SCHEMA.PROBLEM</t>
        </is>
      </c>
      <c r="B966" s="2" t="inlineStr">
        <is>
          <t>problem</t>
        </is>
      </c>
      <c r="C966" s="14">
        <f>IFERROR(IF(INDEX('01_Formulario_A10'!$D:$D,MATCH("D22-DOC-DRL-001.SCHEMA.PROBLEM",'01_Formulario_A10'!$A:$A,0))="","— (a preencher em 01_Formulario_A10)",INDEX('01_Formulario_A10'!$D:$D,MATCH("D22-DOC-DRL-001.SCHEMA.PROBLEM",'01_Formulario_A10'!$A:$A,0))),"— (a preencher em 01_Formulario_A10)")</f>
        <v/>
      </c>
    </row>
    <row r="967">
      <c r="A967" s="13" t="inlineStr">
        <is>
          <t>D22-DOC-DRL-001.SCHEMA.DECISION_REQUIRED</t>
        </is>
      </c>
      <c r="B967" s="2" t="inlineStr">
        <is>
          <t>decision_required</t>
        </is>
      </c>
      <c r="C967" s="14">
        <f>IFERROR(IF(INDEX('01_Formulario_A10'!$D:$D,MATCH("D22-DOC-DRL-001.SCHEMA.DECISION_REQUIRED",'01_Formulario_A10'!$A:$A,0))="","— (a preencher em 01_Formulario_A10)",INDEX('01_Formulario_A10'!$D:$D,MATCH("D22-DOC-DRL-001.SCHEMA.DECISION_REQUIRED",'01_Formulario_A10'!$A:$A,0))),"— (a preencher em 01_Formulario_A10)")</f>
        <v/>
      </c>
    </row>
    <row r="968">
      <c r="A968" s="13" t="inlineStr">
        <is>
          <t>D22-DOC-DRL-001.SCHEMA.OPTIONS_CONSIDERED</t>
        </is>
      </c>
      <c r="B968" s="2" t="inlineStr">
        <is>
          <t>options_considered</t>
        </is>
      </c>
      <c r="C968" s="14">
        <f>IFERROR(IF(INDEX('01_Formulario_A10'!$D:$D,MATCH("D22-DOC-DRL-001.SCHEMA.OPTIONS_CONSIDERED",'01_Formulario_A10'!$A:$A,0))="","— (a preencher em 01_Formulario_A10)",INDEX('01_Formulario_A10'!$D:$D,MATCH("D22-DOC-DRL-001.SCHEMA.OPTIONS_CONSIDERED",'01_Formulario_A10'!$A:$A,0))),"— (a preencher em 01_Formulario_A10)")</f>
        <v/>
      </c>
    </row>
    <row r="969">
      <c r="A969" s="13" t="inlineStr">
        <is>
          <t>D22-DOC-DRL-001.SCHEMA.EVALUATION_CRITERIA</t>
        </is>
      </c>
      <c r="B969" s="2" t="inlineStr">
        <is>
          <t>evaluation_criteria</t>
        </is>
      </c>
      <c r="C969" s="14">
        <f>IFERROR(IF(INDEX('01_Formulario_A10'!$D:$D,MATCH("D22-DOC-DRL-001.SCHEMA.EVALUATION_CRITERIA",'01_Formulario_A10'!$A:$A,0))="","— (a preencher em 01_Formulario_A10)",INDEX('01_Formulario_A10'!$D:$D,MATCH("D22-DOC-DRL-001.SCHEMA.EVALUATION_CRITERIA",'01_Formulario_A10'!$A:$A,0))),"— (a preencher em 01_Formulario_A10)")</f>
        <v/>
      </c>
    </row>
    <row r="970">
      <c r="A970" s="13" t="inlineStr">
        <is>
          <t>D22-DOC-DRL-001.SCHEMA.SELECTED_OPTION</t>
        </is>
      </c>
      <c r="B970" s="2" t="inlineStr">
        <is>
          <t>selected_option</t>
        </is>
      </c>
      <c r="C970" s="14">
        <f>IFERROR(IF(INDEX('01_Formulario_A10'!$D:$D,MATCH("D22-DOC-DRL-001.SCHEMA.SELECTED_OPTION",'01_Formulario_A10'!$A:$A,0))="","— (a preencher em 01_Formulario_A10)",INDEX('01_Formulario_A10'!$D:$D,MATCH("D22-DOC-DRL-001.SCHEMA.SELECTED_OPTION",'01_Formulario_A10'!$A:$A,0))),"— (a preencher em 01_Formulario_A10)")</f>
        <v/>
      </c>
    </row>
    <row r="971">
      <c r="A971" s="13" t="inlineStr">
        <is>
          <t>D22-DOC-DRL-001.SCHEMA.RATIONALE</t>
        </is>
      </c>
      <c r="B971" s="2" t="inlineStr">
        <is>
          <t>rationale</t>
        </is>
      </c>
      <c r="C971" s="14">
        <f>IFERROR(IF(INDEX('01_Formulario_A10'!$D:$D,MATCH("D22-DOC-DRL-001.SCHEMA.RATIONALE",'01_Formulario_A10'!$A:$A,0))="","— (a preencher em 01_Formulario_A10)",INDEX('01_Formulario_A10'!$D:$D,MATCH("D22-DOC-DRL-001.SCHEMA.RATIONALE",'01_Formulario_A10'!$A:$A,0))),"— (a preencher em 01_Formulario_A10)")</f>
        <v/>
      </c>
    </row>
    <row r="972">
      <c r="A972" s="13" t="inlineStr">
        <is>
          <t>D22-DOC-DRL-001.SCHEMA.EVIDENCE</t>
        </is>
      </c>
      <c r="B972" s="2" t="inlineStr">
        <is>
          <t>evidence</t>
        </is>
      </c>
      <c r="C972" s="14">
        <f>IFERROR(IF(INDEX('01_Formulario_A10'!$D:$D,MATCH("D22-DOC-DRL-001.SCHEMA.EVIDENCE",'01_Formulario_A10'!$A:$A,0))="","— (a preencher em 01_Formulario_A10)",INDEX('01_Formulario_A10'!$D:$D,MATCH("D22-DOC-DRL-001.SCHEMA.EVIDENCE",'01_Formulario_A10'!$A:$A,0))),"— (a preencher em 01_Formulario_A10)")</f>
        <v/>
      </c>
    </row>
    <row r="973">
      <c r="A973" s="13" t="inlineStr">
        <is>
          <t>D22-DOC-DRL-001.SCHEMA.OWNER</t>
        </is>
      </c>
      <c r="B973" s="2" t="inlineStr">
        <is>
          <t>owner</t>
        </is>
      </c>
      <c r="C973" s="14">
        <f>IFERROR(IF(INDEX('01_Formulario_A10'!$D:$D,MATCH("D22-DOC-DRL-001.SCHEMA.OWNER",'01_Formulario_A10'!$A:$A,0))="","— (a preencher em 01_Formulario_A10)",INDEX('01_Formulario_A10'!$D:$D,MATCH("D22-DOC-DRL-001.SCHEMA.OWNER",'01_Formulario_A10'!$A:$A,0))),"— (a preencher em 01_Formulario_A10)")</f>
        <v/>
      </c>
    </row>
    <row r="974">
      <c r="A974" s="13" t="inlineStr">
        <is>
          <t>D22-DOC-DRL-001.SCHEMA.DECISION_DATE</t>
        </is>
      </c>
      <c r="B974" s="2" t="inlineStr">
        <is>
          <t>decision_date</t>
        </is>
      </c>
      <c r="C974" s="14">
        <f>IFERROR(IF(INDEX('01_Formulario_A10'!$D:$D,MATCH("D22-DOC-DRL-001.SCHEMA.DECISION_DATE",'01_Formulario_A10'!$A:$A,0))="","— (a preencher em 01_Formulario_A10)",INDEX('01_Formulario_A10'!$D:$D,MATCH("D22-DOC-DRL-001.SCHEMA.DECISION_DATE",'01_Formulario_A10'!$A:$A,0))),"— (a preencher em 01_Formulario_A10)")</f>
        <v/>
      </c>
    </row>
    <row r="975">
      <c r="A975" s="13" t="inlineStr">
        <is>
          <t>D22-DOC-DRL-001.SCHEMA.EFFECTIVE_DATE</t>
        </is>
      </c>
      <c r="B975" s="2" t="inlineStr">
        <is>
          <t>effective_date</t>
        </is>
      </c>
      <c r="C975" s="14">
        <f>IFERROR(IF(INDEX('01_Formulario_A10'!$D:$D,MATCH("D22-DOC-DRL-001.SCHEMA.EFFECTIVE_DATE",'01_Formulario_A10'!$A:$A,0))="","— (a preencher em 01_Formulario_A10)",INDEX('01_Formulario_A10'!$D:$D,MATCH("D22-DOC-DRL-001.SCHEMA.EFFECTIVE_DATE",'01_Formulario_A10'!$A:$A,0))),"— (a preencher em 01_Formulario_A10)")</f>
        <v/>
      </c>
    </row>
    <row r="976">
      <c r="A976" s="13" t="inlineStr">
        <is>
          <t>D22-DOC-DRL-001.SCHEMA.STATUS</t>
        </is>
      </c>
      <c r="B976" s="2" t="inlineStr">
        <is>
          <t>status</t>
        </is>
      </c>
      <c r="C976" s="14">
        <f>IFERROR(IF(INDEX('01_Formulario_A10'!$D:$D,MATCH("D22-DOC-DRL-001.SCHEMA.STATUS",'01_Formulario_A10'!$A:$A,0))="","— (a preencher em 01_Formulario_A10)",INDEX('01_Formulario_A10'!$D:$D,MATCH("D22-DOC-DRL-001.SCHEMA.STATUS",'01_Formulario_A10'!$A:$A,0))),"— (a preencher em 01_Formulario_A10)")</f>
        <v/>
      </c>
    </row>
    <row r="977">
      <c r="A977" s="13" t="inlineStr">
        <is>
          <t>D22-DOC-DRL-001.SCHEMA.DEPENDENCIES</t>
        </is>
      </c>
      <c r="B977" s="2" t="inlineStr">
        <is>
          <t>dependencies</t>
        </is>
      </c>
      <c r="C977" s="14">
        <f>IFERROR(IF(INDEX('01_Formulario_A10'!$D:$D,MATCH("D22-DOC-DRL-001.SCHEMA.DEPENDENCIES",'01_Formulario_A10'!$A:$A,0))="","— (a preencher em 01_Formulario_A10)",INDEX('01_Formulario_A10'!$D:$D,MATCH("D22-DOC-DRL-001.SCHEMA.DEPENDENCIES",'01_Formulario_A10'!$A:$A,0))),"— (a preencher em 01_Formulario_A10)")</f>
        <v/>
      </c>
    </row>
    <row r="978">
      <c r="A978" s="13" t="inlineStr">
        <is>
          <t>D22-DOC-DRL-001.SCHEMA.BLOCKS</t>
        </is>
      </c>
      <c r="B978" s="2" t="inlineStr">
        <is>
          <t>blocks</t>
        </is>
      </c>
      <c r="C978" s="14">
        <f>IFERROR(IF(INDEX('01_Formulario_A10'!$D:$D,MATCH("D22-DOC-DRL-001.SCHEMA.BLOCKS",'01_Formulario_A10'!$A:$A,0))="","— (a preencher em 01_Formulario_A10)",INDEX('01_Formulario_A10'!$D:$D,MATCH("D22-DOC-DRL-001.SCHEMA.BLOCKS",'01_Formulario_A10'!$A:$A,0))),"— (a preencher em 01_Formulario_A10)")</f>
        <v/>
      </c>
    </row>
    <row r="979">
      <c r="A979" s="13" t="inlineStr">
        <is>
          <t>D22-DOC-DRL-001.SCHEMA.CONSEQUENCES</t>
        </is>
      </c>
      <c r="B979" s="2" t="inlineStr">
        <is>
          <t>consequences</t>
        </is>
      </c>
      <c r="C979" s="14">
        <f>IFERROR(IF(INDEX('01_Formulario_A10'!$D:$D,MATCH("D22-DOC-DRL-001.SCHEMA.CONSEQUENCES",'01_Formulario_A10'!$A:$A,0))="","— (a preencher em 01_Formulario_A10)",INDEX('01_Formulario_A10'!$D:$D,MATCH("D22-DOC-DRL-001.SCHEMA.CONSEQUENCES",'01_Formulario_A10'!$A:$A,0))),"— (a preencher em 01_Formulario_A10)")</f>
        <v/>
      </c>
    </row>
    <row r="980">
      <c r="A980" s="13" t="inlineStr">
        <is>
          <t>D22-DOC-DRL-001.SCHEMA.RISKS</t>
        </is>
      </c>
      <c r="B980" s="2" t="inlineStr">
        <is>
          <t>risks</t>
        </is>
      </c>
      <c r="C980" s="14">
        <f>IFERROR(IF(INDEX('01_Formulario_A10'!$D:$D,MATCH("D22-DOC-DRL-001.SCHEMA.RISKS",'01_Formulario_A10'!$A:$A,0))="","— (a preencher em 01_Formulario_A10)",INDEX('01_Formulario_A10'!$D:$D,MATCH("D22-DOC-DRL-001.SCHEMA.RISKS",'01_Formulario_A10'!$A:$A,0))),"— (a preencher em 01_Formulario_A10)")</f>
        <v/>
      </c>
    </row>
    <row r="981">
      <c r="A981" s="13" t="inlineStr">
        <is>
          <t>D22-DOC-DRL-001.SCHEMA.REVERSIBILITY</t>
        </is>
      </c>
      <c r="B981" s="2" t="inlineStr">
        <is>
          <t>reversibility</t>
        </is>
      </c>
      <c r="C981" s="14">
        <f>IFERROR(IF(INDEX('01_Formulario_A10'!$D:$D,MATCH("D22-DOC-DRL-001.SCHEMA.REVERSIBILITY",'01_Formulario_A10'!$A:$A,0))="","— (a preencher em 01_Formulario_A10)",INDEX('01_Formulario_A10'!$D:$D,MATCH("D22-DOC-DRL-001.SCHEMA.REVERSIBILITY",'01_Formulario_A10'!$A:$A,0))),"— (a preencher em 01_Formulario_A10)")</f>
        <v/>
      </c>
    </row>
    <row r="982">
      <c r="A982" s="13" t="inlineStr">
        <is>
          <t>D22-DOC-DRL-001.SCHEMA.REVIEW_DATE</t>
        </is>
      </c>
      <c r="B982" s="2" t="inlineStr">
        <is>
          <t>review_date</t>
        </is>
      </c>
      <c r="C982" s="14">
        <f>IFERROR(IF(INDEX('01_Formulario_A10'!$D:$D,MATCH("D22-DOC-DRL-001.SCHEMA.REVIEW_DATE",'01_Formulario_A10'!$A:$A,0))="","— (a preencher em 01_Formulario_A10)",INDEX('01_Formulario_A10'!$D:$D,MATCH("D22-DOC-DRL-001.SCHEMA.REVIEW_DATE",'01_Formulario_A10'!$A:$A,0))),"— (a preencher em 01_Formulario_A10)")</f>
        <v/>
      </c>
    </row>
    <row r="983">
      <c r="A983" s="13" t="inlineStr">
        <is>
          <t>D22-DOC-DRL-001.SCHEMA.SUPERSEDES</t>
        </is>
      </c>
      <c r="B983" s="2" t="inlineStr">
        <is>
          <t>supersedes</t>
        </is>
      </c>
      <c r="C983" s="14">
        <f>IFERROR(IF(INDEX('01_Formulario_A10'!$D:$D,MATCH("D22-DOC-DRL-001.SCHEMA.SUPERSEDES",'01_Formulario_A10'!$A:$A,0))="","— (a preencher em 01_Formulario_A10)",INDEX('01_Formulario_A10'!$D:$D,MATCH("D22-DOC-DRL-001.SCHEMA.SUPERSEDES",'01_Formulario_A10'!$A:$A,0))),"— (a preencher em 01_Formulario_A10)")</f>
        <v/>
      </c>
    </row>
    <row r="984">
      <c r="A984" s="13" t="inlineStr">
        <is>
          <t>D22-DOC-DRL-001.SCHEMA.SUPERSEDED_BY</t>
        </is>
      </c>
      <c r="B984" s="2" t="inlineStr">
        <is>
          <t>superseded_by</t>
        </is>
      </c>
      <c r="C984" s="14">
        <f>IFERROR(IF(INDEX('01_Formulario_A10'!$D:$D,MATCH("D22-DOC-DRL-001.SCHEMA.SUPERSEDED_BY",'01_Formulario_A10'!$A:$A,0))="","— (a preencher em 01_Formulario_A10)",INDEX('01_Formulario_A10'!$D:$D,MATCH("D22-DOC-DRL-001.SCHEMA.SUPERSEDED_BY",'01_Formulario_A10'!$A:$A,0))),"— (a preencher em 01_Formulario_A10)")</f>
        <v/>
      </c>
    </row>
    <row r="985">
      <c r="A985" s="13" t="inlineStr">
        <is>
          <t>D23-DOC-PBL-001.BLUEPRINT_CATALOG.BLUEPRINT_ID</t>
        </is>
      </c>
      <c r="B985" s="2" t="inlineStr">
        <is>
          <t>blueprint_id</t>
        </is>
      </c>
      <c r="C985" s="14">
        <f>IFERROR(IF(INDEX('01_Formulario_A10'!$D:$D,MATCH("D23-DOC-PBL-001.BLUEPRINT_CATALOG.BLUEPRINT_ID",'01_Formulario_A10'!$A:$A,0))="","— (a preencher em 01_Formulario_A10)",INDEX('01_Formulario_A10'!$D:$D,MATCH("D23-DOC-PBL-001.BLUEPRINT_CATALOG.BLUEPRINT_ID",'01_Formulario_A10'!$A:$A,0))),"— (a preencher em 01_Formulario_A10)")</f>
        <v/>
      </c>
    </row>
    <row r="986">
      <c r="A986" s="13" t="inlineStr">
        <is>
          <t>D23-DOC-PBL-001.BLUEPRINT_CATALOG.NOME</t>
        </is>
      </c>
      <c r="B986" s="2" t="inlineStr">
        <is>
          <t>nome</t>
        </is>
      </c>
      <c r="C986" s="14">
        <f>IFERROR(IF(INDEX('01_Formulario_A10'!$D:$D,MATCH("D23-DOC-PBL-001.BLUEPRINT_CATALOG.NOME",'01_Formulario_A10'!$A:$A,0))="","— (a preencher em 01_Formulario_A10)",INDEX('01_Formulario_A10'!$D:$D,MATCH("D23-DOC-PBL-001.BLUEPRINT_CATALOG.NOME",'01_Formulario_A10'!$A:$A,0))),"— (a preencher em 01_Formulario_A10)")</f>
        <v/>
      </c>
    </row>
    <row r="987">
      <c r="A987" s="13" t="inlineStr">
        <is>
          <t>D23-DOC-PBL-001.BLUEPRINT_CATALOG.DOMINIO</t>
        </is>
      </c>
      <c r="B987" s="2" t="inlineStr">
        <is>
          <t>dominio</t>
        </is>
      </c>
      <c r="C987" s="14">
        <f>IFERROR(IF(INDEX('01_Formulario_A10'!$D:$D,MATCH("D23-DOC-PBL-001.BLUEPRINT_CATALOG.DOMINIO",'01_Formulario_A10'!$A:$A,0))="","— (a preencher em 01_Formulario_A10)",INDEX('01_Formulario_A10'!$D:$D,MATCH("D23-DOC-PBL-001.BLUEPRINT_CATALOG.DOMINIO",'01_Formulario_A10'!$A:$A,0))),"— (a preencher em 01_Formulario_A10)")</f>
        <v/>
      </c>
    </row>
    <row r="988">
      <c r="A988" s="13" t="inlineStr">
        <is>
          <t>D23-DOC-PBL-001.PROBLEM.PROBLEMA</t>
        </is>
      </c>
      <c r="B988" s="2" t="inlineStr">
        <is>
          <t>problema</t>
        </is>
      </c>
      <c r="C988" s="14">
        <f>IFERROR(IF(INDEX('01_Formulario_A10'!$D:$D,MATCH("D23-DOC-PBL-001.PROBLEM.PROBLEMA",'01_Formulario_A10'!$A:$A,0))="","— (a preencher em 01_Formulario_A10)",INDEX('01_Formulario_A10'!$D:$D,MATCH("D23-DOC-PBL-001.PROBLEM.PROBLEMA",'01_Formulario_A10'!$A:$A,0))),"— (a preencher em 01_Formulario_A10)")</f>
        <v/>
      </c>
    </row>
    <row r="989">
      <c r="A989" s="13" t="inlineStr">
        <is>
          <t>D23-DOC-PBL-001.PROBLEM.EVIDENCIA</t>
        </is>
      </c>
      <c r="B989" s="2" t="inlineStr">
        <is>
          <t>evidencia</t>
        </is>
      </c>
      <c r="C989" s="14">
        <f>IFERROR(IF(INDEX('01_Formulario_A10'!$D:$D,MATCH("D23-DOC-PBL-001.PROBLEM.EVIDENCIA",'01_Formulario_A10'!$A:$A,0))="","— (a preencher em 01_Formulario_A10)",INDEX('01_Formulario_A10'!$D:$D,MATCH("D23-DOC-PBL-001.PROBLEM.EVIDENCIA",'01_Formulario_A10'!$A:$A,0))),"— (a preencher em 01_Formulario_A10)")</f>
        <v/>
      </c>
    </row>
    <row r="990">
      <c r="A990" s="13" t="inlineStr">
        <is>
          <t>D23-DOC-PBL-001.OBJECTIVE.RESULTADO_ESPERADO</t>
        </is>
      </c>
      <c r="B990" s="2" t="inlineStr">
        <is>
          <t>resultado_esperado</t>
        </is>
      </c>
      <c r="C990" s="14">
        <f>IFERROR(IF(INDEX('01_Formulario_A10'!$D:$D,MATCH("D23-DOC-PBL-001.OBJECTIVE.RESULTADO_ESPERADO",'01_Formulario_A10'!$A:$A,0))="","— (a preencher em 01_Formulario_A10)",INDEX('01_Formulario_A10'!$D:$D,MATCH("D23-DOC-PBL-001.OBJECTIVE.RESULTADO_ESPERADO",'01_Formulario_A10'!$A:$A,0))),"— (a preencher em 01_Formulario_A10)")</f>
        <v/>
      </c>
    </row>
    <row r="991">
      <c r="A991" s="13" t="inlineStr">
        <is>
          <t>D23-DOC-PBL-001.SCOPE.INCLUIDO</t>
        </is>
      </c>
      <c r="B991" s="2" t="inlineStr">
        <is>
          <t>incluido</t>
        </is>
      </c>
      <c r="C991" s="14">
        <f>IFERROR(IF(INDEX('01_Formulario_A10'!$D:$D,MATCH("D23-DOC-PBL-001.SCOPE.INCLUIDO",'01_Formulario_A10'!$A:$A,0))="","— (a preencher em 01_Formulario_A10)",INDEX('01_Formulario_A10'!$D:$D,MATCH("D23-DOC-PBL-001.SCOPE.INCLUIDO",'01_Formulario_A10'!$A:$A,0))),"— (a preencher em 01_Formulario_A10)")</f>
        <v/>
      </c>
    </row>
    <row r="992">
      <c r="A992" s="13" t="inlineStr">
        <is>
          <t>D23-DOC-PBL-001.SCOPE.EXCLUIDO</t>
        </is>
      </c>
      <c r="B992" s="2" t="inlineStr">
        <is>
          <t>excluido</t>
        </is>
      </c>
      <c r="C992" s="14">
        <f>IFERROR(IF(INDEX('01_Formulario_A10'!$D:$D,MATCH("D23-DOC-PBL-001.SCOPE.EXCLUIDO",'01_Formulario_A10'!$A:$A,0))="","— (a preencher em 01_Formulario_A10)",INDEX('01_Formulario_A10'!$D:$D,MATCH("D23-DOC-PBL-001.SCOPE.EXCLUIDO",'01_Formulario_A10'!$A:$A,0))),"— (a preencher em 01_Formulario_A10)")</f>
        <v/>
      </c>
    </row>
    <row r="993">
      <c r="A993" s="13" t="inlineStr">
        <is>
          <t>D23-DOC-PBL-001.ARCHITECTURE.COMPONENTES</t>
        </is>
      </c>
      <c r="B993" s="2" t="inlineStr">
        <is>
          <t>componentes</t>
        </is>
      </c>
      <c r="C993" s="14">
        <f>IFERROR(IF(INDEX('01_Formulario_A10'!$D:$D,MATCH("D23-DOC-PBL-001.ARCHITECTURE.COMPONENTES",'01_Formulario_A10'!$A:$A,0))="","— (a preencher em 01_Formulario_A10)",INDEX('01_Formulario_A10'!$D:$D,MATCH("D23-DOC-PBL-001.ARCHITECTURE.COMPONENTES",'01_Formulario_A10'!$A:$A,0))),"— (a preencher em 01_Formulario_A10)")</f>
        <v/>
      </c>
    </row>
    <row r="994">
      <c r="A994" s="13" t="inlineStr">
        <is>
          <t>D23-DOC-PBL-001.ARCHITECTURE.RELACOES</t>
        </is>
      </c>
      <c r="B994" s="2" t="inlineStr">
        <is>
          <t>relacoes</t>
        </is>
      </c>
      <c r="C994" s="14">
        <f>IFERROR(IF(INDEX('01_Formulario_A10'!$D:$D,MATCH("D23-DOC-PBL-001.ARCHITECTURE.RELACOES",'01_Formulario_A10'!$A:$A,0))="","— (a preencher em 01_Formulario_A10)",INDEX('01_Formulario_A10'!$D:$D,MATCH("D23-DOC-PBL-001.ARCHITECTURE.RELACOES",'01_Formulario_A10'!$A:$A,0))),"— (a preencher em 01_Formulario_A10)")</f>
        <v/>
      </c>
    </row>
    <row r="995">
      <c r="A995" s="13" t="inlineStr">
        <is>
          <t>D23-DOC-PBL-001.WORKFLOW.ENTRADA</t>
        </is>
      </c>
      <c r="B995" s="2" t="inlineStr">
        <is>
          <t>entrada</t>
        </is>
      </c>
      <c r="C995" s="14">
        <f>IFERROR(IF(INDEX('01_Formulario_A10'!$D:$D,MATCH("D23-DOC-PBL-001.WORKFLOW.ENTRADA",'01_Formulario_A10'!$A:$A,0))="","— (a preencher em 01_Formulario_A10)",INDEX('01_Formulario_A10'!$D:$D,MATCH("D23-DOC-PBL-001.WORKFLOW.ENTRADA",'01_Formulario_A10'!$A:$A,0))),"— (a preencher em 01_Formulario_A10)")</f>
        <v/>
      </c>
    </row>
    <row r="996">
      <c r="A996" s="13" t="inlineStr">
        <is>
          <t>D23-DOC-PBL-001.WORKFLOW.ETAPAS</t>
        </is>
      </c>
      <c r="B996" s="2" t="inlineStr">
        <is>
          <t>etapas</t>
        </is>
      </c>
      <c r="C996" s="14">
        <f>IFERROR(IF(INDEX('01_Formulario_A10'!$D:$D,MATCH("D23-DOC-PBL-001.WORKFLOW.ETAPAS",'01_Formulario_A10'!$A:$A,0))="","— (a preencher em 01_Formulario_A10)",INDEX('01_Formulario_A10'!$D:$D,MATCH("D23-DOC-PBL-001.WORKFLOW.ETAPAS",'01_Formulario_A10'!$A:$A,0))),"— (a preencher em 01_Formulario_A10)")</f>
        <v/>
      </c>
    </row>
    <row r="997">
      <c r="A997" s="13" t="inlineStr">
        <is>
          <t>D23-DOC-PBL-001.WORKFLOW.SAIDA</t>
        </is>
      </c>
      <c r="B997" s="2" t="inlineStr">
        <is>
          <t>saida</t>
        </is>
      </c>
      <c r="C997" s="14">
        <f>IFERROR(IF(INDEX('01_Formulario_A10'!$D:$D,MATCH("D23-DOC-PBL-001.WORKFLOW.SAIDA",'01_Formulario_A10'!$A:$A,0))="","— (a preencher em 01_Formulario_A10)",INDEX('01_Formulario_A10'!$D:$D,MATCH("D23-DOC-PBL-001.WORKFLOW.SAIDA",'01_Formulario_A10'!$A:$A,0))),"— (a preencher em 01_Formulario_A10)")</f>
        <v/>
      </c>
    </row>
    <row r="998">
      <c r="A998" s="13" t="inlineStr">
        <is>
          <t>D23-DOC-PBL-001.USER_FLOW.ATOR</t>
        </is>
      </c>
      <c r="B998" s="2" t="inlineStr">
        <is>
          <t>ator</t>
        </is>
      </c>
      <c r="C998" s="14">
        <f>IFERROR(IF(INDEX('01_Formulario_A10'!$D:$D,MATCH("D23-DOC-PBL-001.USER_FLOW.ATOR",'01_Formulario_A10'!$A:$A,0))="","— (a preencher em 01_Formulario_A10)",INDEX('01_Formulario_A10'!$D:$D,MATCH("D23-DOC-PBL-001.USER_FLOW.ATOR",'01_Formulario_A10'!$A:$A,0))),"— (a preencher em 01_Formulario_A10)")</f>
        <v/>
      </c>
    </row>
    <row r="999">
      <c r="A999" s="13" t="inlineStr">
        <is>
          <t>D23-DOC-PBL-001.USER_FLOW.ACAO</t>
        </is>
      </c>
      <c r="B999" s="2" t="inlineStr">
        <is>
          <t>acao</t>
        </is>
      </c>
      <c r="C999" s="14">
        <f>IFERROR(IF(INDEX('01_Formulario_A10'!$D:$D,MATCH("D23-DOC-PBL-001.USER_FLOW.ACAO",'01_Formulario_A10'!$A:$A,0))="","— (a preencher em 01_Formulario_A10)",INDEX('01_Formulario_A10'!$D:$D,MATCH("D23-DOC-PBL-001.USER_FLOW.ACAO",'01_Formulario_A10'!$A:$A,0))),"— (a preencher em 01_Formulario_A10)")</f>
        <v/>
      </c>
    </row>
    <row r="1000">
      <c r="A1000" s="13" t="inlineStr">
        <is>
          <t>D23-DOC-PBL-001.USER_FLOW.ESTADO</t>
        </is>
      </c>
      <c r="B1000" s="2" t="inlineStr">
        <is>
          <t>estado</t>
        </is>
      </c>
      <c r="C1000" s="14">
        <f>IFERROR(IF(INDEX('01_Formulario_A10'!$D:$D,MATCH("D23-DOC-PBL-001.USER_FLOW.ESTADO",'01_Formulario_A10'!$A:$A,0))="","— (a preencher em 01_Formulario_A10)",INDEX('01_Formulario_A10'!$D:$D,MATCH("D23-DOC-PBL-001.USER_FLOW.ESTADO",'01_Formulario_A10'!$A:$A,0))),"— (a preencher em 01_Formulario_A10)")</f>
        <v/>
      </c>
    </row>
    <row r="1001">
      <c r="A1001" s="13" t="inlineStr">
        <is>
          <t>D23-DOC-PBL-001.DATA.ENTIDADES</t>
        </is>
      </c>
      <c r="B1001" s="2" t="inlineStr">
        <is>
          <t>entidades</t>
        </is>
      </c>
      <c r="C1001" s="14">
        <f>IFERROR(IF(INDEX('01_Formulario_A10'!$D:$D,MATCH("D23-DOC-PBL-001.DATA.ENTIDADES",'01_Formulario_A10'!$A:$A,0))="","— (a preencher em 01_Formulario_A10)",INDEX('01_Formulario_A10'!$D:$D,MATCH("D23-DOC-PBL-001.DATA.ENTIDADES",'01_Formulario_A10'!$A:$A,0))),"— (a preencher em 01_Formulario_A10)")</f>
        <v/>
      </c>
    </row>
    <row r="1002">
      <c r="A1002" s="13" t="inlineStr">
        <is>
          <t>D23-DOC-PBL-001.DATA.EVENTOS</t>
        </is>
      </c>
      <c r="B1002" s="2" t="inlineStr">
        <is>
          <t>eventos</t>
        </is>
      </c>
      <c r="C1002" s="14">
        <f>IFERROR(IF(INDEX('01_Formulario_A10'!$D:$D,MATCH("D23-DOC-PBL-001.DATA.EVENTOS",'01_Formulario_A10'!$A:$A,0))="","— (a preencher em 01_Formulario_A10)",INDEX('01_Formulario_A10'!$D:$D,MATCH("D23-DOC-PBL-001.DATA.EVENTOS",'01_Formulario_A10'!$A:$A,0))),"— (a preencher em 01_Formulario_A10)")</f>
        <v/>
      </c>
    </row>
    <row r="1003">
      <c r="A1003" s="13" t="inlineStr">
        <is>
          <t>D23-DOC-PBL-001.INTERFACES.API</t>
        </is>
      </c>
      <c r="B1003" s="2" t="inlineStr">
        <is>
          <t>api</t>
        </is>
      </c>
      <c r="C1003" s="14">
        <f>IFERROR(IF(INDEX('01_Formulario_A10'!$D:$D,MATCH("D23-DOC-PBL-001.INTERFACES.API",'01_Formulario_A10'!$A:$A,0))="","— (a preencher em 01_Formulario_A10)",INDEX('01_Formulario_A10'!$D:$D,MATCH("D23-DOC-PBL-001.INTERFACES.API",'01_Formulario_A10'!$A:$A,0))),"— (a preencher em 01_Formulario_A10)")</f>
        <v/>
      </c>
    </row>
    <row r="1004">
      <c r="A1004" s="13" t="inlineStr">
        <is>
          <t>D23-DOC-PBL-001.INTERFACES.UI</t>
        </is>
      </c>
      <c r="B1004" s="2" t="inlineStr">
        <is>
          <t>ui</t>
        </is>
      </c>
      <c r="C1004" s="14">
        <f>IFERROR(IF(INDEX('01_Formulario_A10'!$D:$D,MATCH("D23-DOC-PBL-001.INTERFACES.UI",'01_Formulario_A10'!$A:$A,0))="","— (a preencher em 01_Formulario_A10)",INDEX('01_Formulario_A10'!$D:$D,MATCH("D23-DOC-PBL-001.INTERFACES.UI",'01_Formulario_A10'!$A:$A,0))),"— (a preencher em 01_Formulario_A10)")</f>
        <v/>
      </c>
    </row>
    <row r="1005">
      <c r="A1005" s="13" t="inlineStr">
        <is>
          <t>D23-DOC-PBL-001.INTERFACES.INTEGRACAO</t>
        </is>
      </c>
      <c r="B1005" s="2" t="inlineStr">
        <is>
          <t>integracao</t>
        </is>
      </c>
      <c r="C1005" s="14">
        <f>IFERROR(IF(INDEX('01_Formulario_A10'!$D:$D,MATCH("D23-DOC-PBL-001.INTERFACES.INTEGRACAO",'01_Formulario_A10'!$A:$A,0))="","— (a preencher em 01_Formulario_A10)",INDEX('01_Formulario_A10'!$D:$D,MATCH("D23-DOC-PBL-001.INTERFACES.INTEGRACAO",'01_Formulario_A10'!$A:$A,0))),"— (a preencher em 01_Formulario_A10)")</f>
        <v/>
      </c>
    </row>
    <row r="1006">
      <c r="A1006" s="13" t="inlineStr">
        <is>
          <t>D23-DOC-PBL-001.DEPENDENCIES.TECNICAS</t>
        </is>
      </c>
      <c r="B1006" s="2" t="inlineStr">
        <is>
          <t>tecnicas</t>
        </is>
      </c>
      <c r="C1006" s="14">
        <f>IFERROR(IF(INDEX('01_Formulario_A10'!$D:$D,MATCH("D23-DOC-PBL-001.DEPENDENCIES.TECNICAS",'01_Formulario_A10'!$A:$A,0))="","— (a preencher em 01_Formulario_A10)",INDEX('01_Formulario_A10'!$D:$D,MATCH("D23-DOC-PBL-001.DEPENDENCIES.TECNICAS",'01_Formulario_A10'!$A:$A,0))),"— (a preencher em 01_Formulario_A10)")</f>
        <v/>
      </c>
    </row>
    <row r="1007">
      <c r="A1007" s="13" t="inlineStr">
        <is>
          <t>D23-DOC-PBL-001.DEPENDENCIES.OPERACIONAIS</t>
        </is>
      </c>
      <c r="B1007" s="2" t="inlineStr">
        <is>
          <t>operacionais</t>
        </is>
      </c>
      <c r="C1007" s="14">
        <f>IFERROR(IF(INDEX('01_Formulario_A10'!$D:$D,MATCH("D23-DOC-PBL-001.DEPENDENCIES.OPERACIONAIS",'01_Formulario_A10'!$A:$A,0))="","— (a preencher em 01_Formulario_A10)",INDEX('01_Formulario_A10'!$D:$D,MATCH("D23-DOC-PBL-001.DEPENDENCIES.OPERACIONAIS",'01_Formulario_A10'!$A:$A,0))),"— (a preencher em 01_Formulario_A10)")</f>
        <v/>
      </c>
    </row>
    <row r="1008">
      <c r="A1008" s="13" t="inlineStr">
        <is>
          <t>D23-DOC-PBL-001.CONSTRAINTS.TECNICAS</t>
        </is>
      </c>
      <c r="B1008" s="2" t="inlineStr">
        <is>
          <t>tecnicas</t>
        </is>
      </c>
      <c r="C1008" s="14">
        <f>IFERROR(IF(INDEX('01_Formulario_A10'!$D:$D,MATCH("D23-DOC-PBL-001.CONSTRAINTS.TECNICAS",'01_Formulario_A10'!$A:$A,0))="","— (a preencher em 01_Formulario_A10)",INDEX('01_Formulario_A10'!$D:$D,MATCH("D23-DOC-PBL-001.CONSTRAINTS.TECNICAS",'01_Formulario_A10'!$A:$A,0))),"— (a preencher em 01_Formulario_A10)")</f>
        <v/>
      </c>
    </row>
    <row r="1009">
      <c r="A1009" s="13" t="inlineStr">
        <is>
          <t>D23-DOC-PBL-001.CONSTRAINTS.LEGAIS</t>
        </is>
      </c>
      <c r="B1009" s="2" t="inlineStr">
        <is>
          <t>legais</t>
        </is>
      </c>
      <c r="C1009" s="14">
        <f>IFERROR(IF(INDEX('01_Formulario_A10'!$D:$D,MATCH("D23-DOC-PBL-001.CONSTRAINTS.LEGAIS",'01_Formulario_A10'!$A:$A,0))="","— (a preencher em 01_Formulario_A10)",INDEX('01_Formulario_A10'!$D:$D,MATCH("D23-DOC-PBL-001.CONSTRAINTS.LEGAIS",'01_Formulario_A10'!$A:$A,0))),"— (a preencher em 01_Formulario_A10)")</f>
        <v/>
      </c>
    </row>
    <row r="1010">
      <c r="A1010" s="13" t="inlineStr">
        <is>
          <t>D23-DOC-PBL-001.CONSTRAINTS.UX</t>
        </is>
      </c>
      <c r="B1010" s="2" t="inlineStr">
        <is>
          <t>ux</t>
        </is>
      </c>
      <c r="C1010" s="14">
        <f>IFERROR(IF(INDEX('01_Formulario_A10'!$D:$D,MATCH("D23-DOC-PBL-001.CONSTRAINTS.UX",'01_Formulario_A10'!$A:$A,0))="","— (a preencher em 01_Formulario_A10)",INDEX('01_Formulario_A10'!$D:$D,MATCH("D23-DOC-PBL-001.CONSTRAINTS.UX",'01_Formulario_A10'!$A:$A,0))),"— (a preencher em 01_Formulario_A10)")</f>
        <v/>
      </c>
    </row>
    <row r="1011">
      <c r="A1011" s="13" t="inlineStr">
        <is>
          <t>D23-DOC-PBL-001.CONTRACTS.SCHEMAS</t>
        </is>
      </c>
      <c r="B1011" s="2" t="inlineStr">
        <is>
          <t>schemas</t>
        </is>
      </c>
      <c r="C1011" s="14">
        <f>IFERROR(IF(INDEX('01_Formulario_A10'!$D:$D,MATCH("D23-DOC-PBL-001.CONTRACTS.SCHEMAS",'01_Formulario_A10'!$A:$A,0))="","— (a preencher em 01_Formulario_A10)",INDEX('01_Formulario_A10'!$D:$D,MATCH("D23-DOC-PBL-001.CONTRACTS.SCHEMAS",'01_Formulario_A10'!$A:$A,0))),"— (a preencher em 01_Formulario_A10)")</f>
        <v/>
      </c>
    </row>
    <row r="1012">
      <c r="A1012" s="13" t="inlineStr">
        <is>
          <t>D23-DOC-PBL-001.CONTRACTS.INTERFACES</t>
        </is>
      </c>
      <c r="B1012" s="2" t="inlineStr">
        <is>
          <t>interfaces</t>
        </is>
      </c>
      <c r="C1012" s="14">
        <f>IFERROR(IF(INDEX('01_Formulario_A10'!$D:$D,MATCH("D23-DOC-PBL-001.CONTRACTS.INTERFACES",'01_Formulario_A10'!$A:$A,0))="","— (a preencher em 01_Formulario_A10)",INDEX('01_Formulario_A10'!$D:$D,MATCH("D23-DOC-PBL-001.CONTRACTS.INTERFACES",'01_Formulario_A10'!$A:$A,0))),"— (a preencher em 01_Formulario_A10)")</f>
        <v/>
      </c>
    </row>
    <row r="1013">
      <c r="A1013" s="13" t="inlineStr">
        <is>
          <t>D23-DOC-PBL-001.ACCEPTANCE.CRITERIOS</t>
        </is>
      </c>
      <c r="B1013" s="2" t="inlineStr">
        <is>
          <t>criterios</t>
        </is>
      </c>
      <c r="C1013" s="14">
        <f>IFERROR(IF(INDEX('01_Formulario_A10'!$D:$D,MATCH("D23-DOC-PBL-001.ACCEPTANCE.CRITERIOS",'01_Formulario_A10'!$A:$A,0))="","— (a preencher em 01_Formulario_A10)",INDEX('01_Formulario_A10'!$D:$D,MATCH("D23-DOC-PBL-001.ACCEPTANCE.CRITERIOS",'01_Formulario_A10'!$A:$A,0))),"— (a preencher em 01_Formulario_A10)")</f>
        <v/>
      </c>
    </row>
    <row r="1014">
      <c r="A1014" s="13" t="inlineStr">
        <is>
          <t>D23-DOC-PBL-001.PROTOTYPE.ARTEFATO</t>
        </is>
      </c>
      <c r="B1014" s="2" t="inlineStr">
        <is>
          <t>artefato</t>
        </is>
      </c>
      <c r="C1014" s="14">
        <f>IFERROR(IF(INDEX('01_Formulario_A10'!$D:$D,MATCH("D23-DOC-PBL-001.PROTOTYPE.ARTEFATO",'01_Formulario_A10'!$A:$A,0))="","— (a preencher em 01_Formulario_A10)",INDEX('01_Formulario_A10'!$D:$D,MATCH("D23-DOC-PBL-001.PROTOTYPE.ARTEFATO",'01_Formulario_A10'!$A:$A,0))),"— (a preencher em 01_Formulario_A10)")</f>
        <v/>
      </c>
    </row>
    <row r="1015">
      <c r="A1015" s="13" t="inlineStr">
        <is>
          <t>D23-DOC-PBL-001.PROTOTYPE.LOCALIZACAO</t>
        </is>
      </c>
      <c r="B1015" s="2" t="inlineStr">
        <is>
          <t>localizacao</t>
        </is>
      </c>
      <c r="C1015" s="14">
        <f>IFERROR(IF(INDEX('01_Formulario_A10'!$D:$D,MATCH("D23-DOC-PBL-001.PROTOTYPE.LOCALIZACAO",'01_Formulario_A10'!$A:$A,0))="","— (a preencher em 01_Formulario_A10)",INDEX('01_Formulario_A10'!$D:$D,MATCH("D23-DOC-PBL-001.PROTOTYPE.LOCALIZACAO",'01_Formulario_A10'!$A:$A,0))),"— (a preencher em 01_Formulario_A10)")</f>
        <v/>
      </c>
    </row>
    <row r="1016">
      <c r="A1016" s="13" t="inlineStr">
        <is>
          <t>D23-DOC-PBL-001.IMPLEMENTATION.REPOSITORIO</t>
        </is>
      </c>
      <c r="B1016" s="2" t="inlineStr">
        <is>
          <t>repositorio</t>
        </is>
      </c>
      <c r="C1016" s="14">
        <f>IFERROR(IF(INDEX('01_Formulario_A10'!$D:$D,MATCH("D23-DOC-PBL-001.IMPLEMENTATION.REPOSITORIO",'01_Formulario_A10'!$A:$A,0))="","— (a preencher em 01_Formulario_A10)",INDEX('01_Formulario_A10'!$D:$D,MATCH("D23-DOC-PBL-001.IMPLEMENTATION.REPOSITORIO",'01_Formulario_A10'!$A:$A,0))),"— (a preencher em 01_Formulario_A10)")</f>
        <v/>
      </c>
    </row>
    <row r="1017">
      <c r="A1017" s="13" t="inlineStr">
        <is>
          <t>D23-DOC-PBL-001.IMPLEMENTATION.PACOTE</t>
        </is>
      </c>
      <c r="B1017" s="2" t="inlineStr">
        <is>
          <t>pacote</t>
        </is>
      </c>
      <c r="C1017" s="14">
        <f>IFERROR(IF(INDEX('01_Formulario_A10'!$D:$D,MATCH("D23-DOC-PBL-001.IMPLEMENTATION.PACOTE",'01_Formulario_A10'!$A:$A,0))="","— (a preencher em 01_Formulario_A10)",INDEX('01_Formulario_A10'!$D:$D,MATCH("D23-DOC-PBL-001.IMPLEMENTATION.PACOTE",'01_Formulario_A10'!$A:$A,0))),"— (a preencher em 01_Formulario_A10)")</f>
        <v/>
      </c>
    </row>
    <row r="1018">
      <c r="A1018" s="13" t="inlineStr">
        <is>
          <t>D23-DOC-PBL-001.IMPLEMENTATION.ROTA</t>
        </is>
      </c>
      <c r="B1018" s="2" t="inlineStr">
        <is>
          <t>rota</t>
        </is>
      </c>
      <c r="C1018" s="14">
        <f>IFERROR(IF(INDEX('01_Formulario_A10'!$D:$D,MATCH("D23-DOC-PBL-001.IMPLEMENTATION.ROTA",'01_Formulario_A10'!$A:$A,0))="","— (a preencher em 01_Formulario_A10)",INDEX('01_Formulario_A10'!$D:$D,MATCH("D23-DOC-PBL-001.IMPLEMENTATION.ROTA",'01_Formulario_A10'!$A:$A,0))),"— (a preencher em 01_Formulario_A10)")</f>
        <v/>
      </c>
    </row>
    <row r="1019">
      <c r="A1019" s="13" t="inlineStr">
        <is>
          <t>D23-DOC-PBL-001.TESTS.TESTE</t>
        </is>
      </c>
      <c r="B1019" s="2" t="inlineStr">
        <is>
          <t>teste</t>
        </is>
      </c>
      <c r="C1019" s="14">
        <f>IFERROR(IF(INDEX('01_Formulario_A10'!$D:$D,MATCH("D23-DOC-PBL-001.TESTS.TESTE",'01_Formulario_A10'!$A:$A,0))="","— (a preencher em 01_Formulario_A10)",INDEX('01_Formulario_A10'!$D:$D,MATCH("D23-DOC-PBL-001.TESTS.TESTE",'01_Formulario_A10'!$A:$A,0))),"— (a preencher em 01_Formulario_A10)")</f>
        <v/>
      </c>
    </row>
    <row r="1020">
      <c r="A1020" s="13" t="inlineStr">
        <is>
          <t>D23-DOC-PBL-001.TESTS.RESULTADO</t>
        </is>
      </c>
      <c r="B1020" s="2" t="inlineStr">
        <is>
          <t>resultado</t>
        </is>
      </c>
      <c r="C1020" s="14">
        <f>IFERROR(IF(INDEX('01_Formulario_A10'!$D:$D,MATCH("D23-DOC-PBL-001.TESTS.RESULTADO",'01_Formulario_A10'!$A:$A,0))="","— (a preencher em 01_Formulario_A10)",INDEX('01_Formulario_A10'!$D:$D,MATCH("D23-DOC-PBL-001.TESTS.RESULTADO",'01_Formulario_A10'!$A:$A,0))),"— (a preencher em 01_Formulario_A10)")</f>
        <v/>
      </c>
    </row>
    <row r="1021">
      <c r="A1021" s="13" t="inlineStr">
        <is>
          <t>D23-DOC-PBL-001.RELEASE_MAPPING.RELEASE</t>
        </is>
      </c>
      <c r="B1021" s="2" t="inlineStr">
        <is>
          <t>release</t>
        </is>
      </c>
      <c r="C1021" s="14">
        <f>IFERROR(IF(INDEX('01_Formulario_A10'!$D:$D,MATCH("D23-DOC-PBL-001.RELEASE_MAPPING.RELEASE",'01_Formulario_A10'!$A:$A,0))="","— (a preencher em 01_Formulario_A10)",INDEX('01_Formulario_A10'!$D:$D,MATCH("D23-DOC-PBL-001.RELEASE_MAPPING.RELEASE",'01_Formulario_A10'!$A:$A,0))),"— (a preencher em 01_Formulario_A10)")</f>
        <v/>
      </c>
    </row>
    <row r="1022">
      <c r="A1022" s="13" t="inlineStr">
        <is>
          <t>D23-DOC-PBL-001.RELEASE_MAPPING.GATE</t>
        </is>
      </c>
      <c r="B1022" s="2" t="inlineStr">
        <is>
          <t>gate</t>
        </is>
      </c>
      <c r="C1022" s="14">
        <f>IFERROR(IF(INDEX('01_Formulario_A10'!$D:$D,MATCH("D23-DOC-PBL-001.RELEASE_MAPPING.GATE",'01_Formulario_A10'!$A:$A,0))="","— (a preencher em 01_Formulario_A10)",INDEX('01_Formulario_A10'!$D:$D,MATCH("D23-DOC-PBL-001.RELEASE_MAPPING.GATE",'01_Formulario_A10'!$A:$A,0))),"— (a preencher em 01_Formulario_A10)")</f>
        <v/>
      </c>
    </row>
    <row r="1023">
      <c r="A1023" s="13" t="inlineStr">
        <is>
          <t>D23-DOC-PBL-001.EVIDENCE.FONTES</t>
        </is>
      </c>
      <c r="B1023" s="2" t="inlineStr">
        <is>
          <t>fontes</t>
        </is>
      </c>
      <c r="C1023" s="14">
        <f>IFERROR(IF(INDEX('01_Formulario_A10'!$D:$D,MATCH("D23-DOC-PBL-001.EVIDENCE.FONTES",'01_Formulario_A10'!$A:$A,0))="","— (a preencher em 01_Formulario_A10)",INDEX('01_Formulario_A10'!$D:$D,MATCH("D23-DOC-PBL-001.EVIDENCE.FONTES",'01_Formulario_A10'!$A:$A,0))),"— (a preencher em 01_Formulario_A10)")</f>
        <v/>
      </c>
    </row>
    <row r="1024">
      <c r="A1024" s="13" t="inlineStr">
        <is>
          <t>D23-DOC-PBL-001.EVIDENCE.REGISTROS</t>
        </is>
      </c>
      <c r="B1024" s="2" t="inlineStr">
        <is>
          <t>registros</t>
        </is>
      </c>
      <c r="C1024" s="14">
        <f>IFERROR(IF(INDEX('01_Formulario_A10'!$D:$D,MATCH("D23-DOC-PBL-001.EVIDENCE.REGISTROS",'01_Formulario_A10'!$A:$A,0))="","— (a preencher em 01_Formulario_A10)",INDEX('01_Formulario_A10'!$D:$D,MATCH("D23-DOC-PBL-001.EVIDENCE.REGISTROS",'01_Formulario_A10'!$A:$A,0))),"— (a preencher em 01_Formulario_A10)")</f>
        <v/>
      </c>
    </row>
    <row r="1025">
      <c r="A1025" s="5" t="inlineStr">
        <is>
          <t>A11 — Ferramentas, IA e Ativos Reutilizáveis</t>
        </is>
      </c>
      <c r="B1025" s="6" t="n"/>
      <c r="C1025" s="7" t="n"/>
    </row>
    <row r="1026">
      <c r="A1026" s="13" t="inlineStr">
        <is>
          <t>D19-DOC-PAC-001.ASSET_INVENTORY.ASSET_ID</t>
        </is>
      </c>
      <c r="B1026" s="2" t="inlineStr">
        <is>
          <t>asset_id</t>
        </is>
      </c>
      <c r="C1026" s="14">
        <f>IFERROR(IF(INDEX('01_Formulario_A11'!$D:$D,MATCH("D19-DOC-PAC-001.ASSET_INVENTORY.ASSET_ID",'01_Formulario_A11'!$A:$A,0))="","— (a preencher em 01_Formulario_A11)",INDEX('01_Formulario_A11'!$D:$D,MATCH("D19-DOC-PAC-001.ASSET_INVENTORY.ASSET_ID",'01_Formulario_A11'!$A:$A,0))),"— (a preencher em 01_Formulario_A11)")</f>
        <v/>
      </c>
    </row>
    <row r="1027">
      <c r="A1027" s="13" t="inlineStr">
        <is>
          <t>D19-DOC-PAC-001.ASSET_INVENTORY.NOME</t>
        </is>
      </c>
      <c r="B1027" s="2" t="inlineStr">
        <is>
          <t>nome</t>
        </is>
      </c>
      <c r="C1027" s="14">
        <f>IFERROR(IF(INDEX('01_Formulario_A11'!$D:$D,MATCH("D19-DOC-PAC-001.ASSET_INVENTORY.NOME",'01_Formulario_A11'!$A:$A,0))="","— (a preencher em 01_Formulario_A11)",INDEX('01_Formulario_A11'!$D:$D,MATCH("D19-DOC-PAC-001.ASSET_INVENTORY.NOME",'01_Formulario_A11'!$A:$A,0))),"— (a preencher em 01_Formulario_A11)")</f>
        <v/>
      </c>
    </row>
    <row r="1028">
      <c r="A1028" s="13" t="inlineStr">
        <is>
          <t>D19-DOC-PAC-001.ASSET_INVENTORY.TIPO</t>
        </is>
      </c>
      <c r="B1028" s="2" t="inlineStr">
        <is>
          <t>tipo</t>
        </is>
      </c>
      <c r="C1028" s="14">
        <f>IFERROR(IF(INDEX('01_Formulario_A11'!$D:$D,MATCH("D19-DOC-PAC-001.ASSET_INVENTORY.TIPO",'01_Formulario_A11'!$A:$A,0))="","— (a preencher em 01_Formulario_A11)",INDEX('01_Formulario_A11'!$D:$D,MATCH("D19-DOC-PAC-001.ASSET_INVENTORY.TIPO",'01_Formulario_A11'!$A:$A,0))),"— (a preencher em 01_Formulario_A11)")</f>
        <v/>
      </c>
    </row>
    <row r="1029">
      <c r="A1029" s="13" t="inlineStr">
        <is>
          <t>D19-DOC-PAC-001.PURPOSE.OBJETIVO</t>
        </is>
      </c>
      <c r="B1029" s="2" t="inlineStr">
        <is>
          <t>objetivo</t>
        </is>
      </c>
      <c r="C1029" s="14">
        <f>IFERROR(IF(INDEX('01_Formulario_A11'!$D:$D,MATCH("D19-DOC-PAC-001.PURPOSE.OBJETIVO",'01_Formulario_A11'!$A:$A,0))="","— (a preencher em 01_Formulario_A11)",INDEX('01_Formulario_A11'!$D:$D,MATCH("D19-DOC-PAC-001.PURPOSE.OBJETIVO",'01_Formulario_A11'!$A:$A,0))),"— (a preencher em 01_Formulario_A11)")</f>
        <v/>
      </c>
    </row>
    <row r="1030">
      <c r="A1030" s="13" t="inlineStr">
        <is>
          <t>D19-DOC-PAC-001.PURPOSE.CAMPANHA</t>
        </is>
      </c>
      <c r="B1030" s="2" t="inlineStr">
        <is>
          <t>campanha</t>
        </is>
      </c>
      <c r="C1030" s="14">
        <f>IFERROR(IF(INDEX('01_Formulario_A11'!$D:$D,MATCH("D19-DOC-PAC-001.PURPOSE.CAMPANHA",'01_Formulario_A11'!$A:$A,0))="","— (a preencher em 01_Formulario_A11)",INDEX('01_Formulario_A11'!$D:$D,MATCH("D19-DOC-PAC-001.PURPOSE.CAMPANHA",'01_Formulario_A11'!$A:$A,0))),"— (a preencher em 01_Formulario_A11)")</f>
        <v/>
      </c>
    </row>
    <row r="1031">
      <c r="A1031" s="13" t="inlineStr">
        <is>
          <t>D19-DOC-PAC-001.PURPOSE.PRODUTO</t>
        </is>
      </c>
      <c r="B1031" s="2" t="inlineStr">
        <is>
          <t>produto</t>
        </is>
      </c>
      <c r="C1031" s="14">
        <f>IFERROR(IF(INDEX('01_Formulario_A11'!$D:$D,MATCH("D19-DOC-PAC-001.PURPOSE.PRODUTO",'01_Formulario_A11'!$A:$A,0))="","— (a preencher em 01_Formulario_A11)",INDEX('01_Formulario_A11'!$D:$D,MATCH("D19-DOC-PAC-001.PURPOSE.PRODUTO",'01_Formulario_A11'!$A:$A,0))),"— (a preencher em 01_Formulario_A11)")</f>
        <v/>
      </c>
    </row>
    <row r="1032">
      <c r="A1032" s="13" t="inlineStr">
        <is>
          <t>D19-DOC-PAC-001.SOURCE.ORIGEM</t>
        </is>
      </c>
      <c r="B1032" s="2" t="inlineStr">
        <is>
          <t>origem</t>
        </is>
      </c>
      <c r="C1032" s="14">
        <f>IFERROR(IF(INDEX('01_Formulario_A11'!$D:$D,MATCH("D19-DOC-PAC-001.SOURCE.ORIGEM",'01_Formulario_A11'!$A:$A,0))="","— (a preencher em 01_Formulario_A11)",INDEX('01_Formulario_A11'!$D:$D,MATCH("D19-DOC-PAC-001.SOURCE.ORIGEM",'01_Formulario_A11'!$A:$A,0))),"— (a preencher em 01_Formulario_A11)")</f>
        <v/>
      </c>
    </row>
    <row r="1033">
      <c r="A1033" s="13" t="inlineStr">
        <is>
          <t>D19-DOC-PAC-001.SOURCE.DOCUMENTO_FONTE</t>
        </is>
      </c>
      <c r="B1033" s="2" t="inlineStr">
        <is>
          <t>documento_fonte</t>
        </is>
      </c>
      <c r="C1033" s="14">
        <f>IFERROR(IF(INDEX('01_Formulario_A11'!$D:$D,MATCH("D19-DOC-PAC-001.SOURCE.DOCUMENTO_FONTE",'01_Formulario_A11'!$A:$A,0))="","— (a preencher em 01_Formulario_A11)",INDEX('01_Formulario_A11'!$D:$D,MATCH("D19-DOC-PAC-001.SOURCE.DOCUMENTO_FONTE",'01_Formulario_A11'!$A:$A,0))),"— (a preencher em 01_Formulario_A11)")</f>
        <v/>
      </c>
    </row>
    <row r="1034">
      <c r="A1034" s="13" t="inlineStr">
        <is>
          <t>D19-DOC-PAC-001.FORMAT.ARQUIVO</t>
        </is>
      </c>
      <c r="B1034" s="2" t="inlineStr">
        <is>
          <t>arquivo</t>
        </is>
      </c>
      <c r="C1034" s="14">
        <f>IFERROR(IF(INDEX('01_Formulario_A11'!$D:$D,MATCH("D19-DOC-PAC-001.FORMAT.ARQUIVO",'01_Formulario_A11'!$A:$A,0))="","— (a preencher em 01_Formulario_A11)",INDEX('01_Formulario_A11'!$D:$D,MATCH("D19-DOC-PAC-001.FORMAT.ARQUIVO",'01_Formulario_A11'!$A:$A,0))),"— (a preencher em 01_Formulario_A11)")</f>
        <v/>
      </c>
    </row>
    <row r="1035">
      <c r="A1035" s="13" t="inlineStr">
        <is>
          <t>D19-DOC-PAC-001.FORMAT.DIMENSAO</t>
        </is>
      </c>
      <c r="B1035" s="2" t="inlineStr">
        <is>
          <t>dimensao</t>
        </is>
      </c>
      <c r="C1035" s="14">
        <f>IFERROR(IF(INDEX('01_Formulario_A11'!$D:$D,MATCH("D19-DOC-PAC-001.FORMAT.DIMENSAO",'01_Formulario_A11'!$A:$A,0))="","— (a preencher em 01_Formulario_A11)",INDEX('01_Formulario_A11'!$D:$D,MATCH("D19-DOC-PAC-001.FORMAT.DIMENSAO",'01_Formulario_A11'!$A:$A,0))),"— (a preencher em 01_Formulario_A11)")</f>
        <v/>
      </c>
    </row>
    <row r="1036">
      <c r="A1036" s="13" t="inlineStr">
        <is>
          <t>D19-DOC-PAC-001.FORMAT.CANAL</t>
        </is>
      </c>
      <c r="B1036" s="2" t="inlineStr">
        <is>
          <t>canal</t>
        </is>
      </c>
      <c r="C1036" s="14">
        <f>IFERROR(IF(INDEX('01_Formulario_A11'!$D:$D,MATCH("D19-DOC-PAC-001.FORMAT.CANAL",'01_Formulario_A11'!$A:$A,0))="","— (a preencher em 01_Formulario_A11)",INDEX('01_Formulario_A11'!$D:$D,MATCH("D19-DOC-PAC-001.FORMAT.CANAL",'01_Formulario_A11'!$A:$A,0))),"— (a preencher em 01_Formulario_A11)")</f>
        <v/>
      </c>
    </row>
    <row r="1037">
      <c r="A1037" s="13" t="inlineStr">
        <is>
          <t>D19-DOC-PAC-001.CONTENT.HEADLINE</t>
        </is>
      </c>
      <c r="B1037" s="2" t="inlineStr">
        <is>
          <t>headline</t>
        </is>
      </c>
      <c r="C1037" s="14">
        <f>IFERROR(IF(INDEX('01_Formulario_A11'!$D:$D,MATCH("D19-DOC-PAC-001.CONTENT.HEADLINE",'01_Formulario_A11'!$A:$A,0))="","— (a preencher em 01_Formulario_A11)",INDEX('01_Formulario_A11'!$D:$D,MATCH("D19-DOC-PAC-001.CONTENT.HEADLINE",'01_Formulario_A11'!$A:$A,0))),"— (a preencher em 01_Formulario_A11)")</f>
        <v/>
      </c>
    </row>
    <row r="1038">
      <c r="A1038" s="13" t="inlineStr">
        <is>
          <t>D19-DOC-PAC-001.CONTENT.COPY</t>
        </is>
      </c>
      <c r="B1038" s="2" t="inlineStr">
        <is>
          <t>copy</t>
        </is>
      </c>
      <c r="C1038" s="14">
        <f>IFERROR(IF(INDEX('01_Formulario_A11'!$D:$D,MATCH("D19-DOC-PAC-001.CONTENT.COPY",'01_Formulario_A11'!$A:$A,0))="","— (a preencher em 01_Formulario_A11)",INDEX('01_Formulario_A11'!$D:$D,MATCH("D19-DOC-PAC-001.CONTENT.COPY",'01_Formulario_A11'!$A:$A,0))),"— (a preencher em 01_Formulario_A11)")</f>
        <v/>
      </c>
    </row>
    <row r="1039">
      <c r="A1039" s="13" t="inlineStr">
        <is>
          <t>D19-DOC-PAC-001.CONTENT.VISUAL</t>
        </is>
      </c>
      <c r="B1039" s="2" t="inlineStr">
        <is>
          <t>visual</t>
        </is>
      </c>
      <c r="C1039" s="14">
        <f>IFERROR(IF(INDEX('01_Formulario_A11'!$D:$D,MATCH("D19-DOC-PAC-001.CONTENT.VISUAL",'01_Formulario_A11'!$A:$A,0))="","— (a preencher em 01_Formulario_A11)",INDEX('01_Formulario_A11'!$D:$D,MATCH("D19-DOC-PAC-001.CONTENT.VISUAL",'01_Formulario_A11'!$A:$A,0))),"— (a preencher em 01_Formulario_A11)")</f>
        <v/>
      </c>
    </row>
    <row r="1040">
      <c r="A1040" s="13" t="inlineStr">
        <is>
          <t>D19-DOC-PAC-001.VARIANTS.VARIANTE</t>
        </is>
      </c>
      <c r="B1040" s="2" t="inlineStr">
        <is>
          <t>variante</t>
        </is>
      </c>
      <c r="C1040" s="14">
        <f>IFERROR(IF(INDEX('01_Formulario_A11'!$D:$D,MATCH("D19-DOC-PAC-001.VARIANTS.VARIANTE",'01_Formulario_A11'!$A:$A,0))="","— (a preencher em 01_Formulario_A11)",INDEX('01_Formulario_A11'!$D:$D,MATCH("D19-DOC-PAC-001.VARIANTS.VARIANTE",'01_Formulario_A11'!$A:$A,0))),"— (a preencher em 01_Formulario_A11)")</f>
        <v/>
      </c>
    </row>
    <row r="1041">
      <c r="A1041" s="13" t="inlineStr">
        <is>
          <t>D19-DOC-PAC-001.VARIANTS.USO</t>
        </is>
      </c>
      <c r="B1041" s="2" t="inlineStr">
        <is>
          <t>uso</t>
        </is>
      </c>
      <c r="C1041" s="14">
        <f>IFERROR(IF(INDEX('01_Formulario_A11'!$D:$D,MATCH("D19-DOC-PAC-001.VARIANTS.USO",'01_Formulario_A11'!$A:$A,0))="","— (a preencher em 01_Formulario_A11)",INDEX('01_Formulario_A11'!$D:$D,MATCH("D19-DOC-PAC-001.VARIANTS.USO",'01_Formulario_A11'!$A:$A,0))),"— (a preencher em 01_Formulario_A11)")</f>
        <v/>
      </c>
    </row>
    <row r="1042">
      <c r="A1042" s="13" t="inlineStr">
        <is>
          <t>D19-DOC-PAC-001.CTA_CATALOG.CTA_ID</t>
        </is>
      </c>
      <c r="B1042" s="2" t="inlineStr">
        <is>
          <t>cta_id</t>
        </is>
      </c>
      <c r="C1042" s="14">
        <f>IFERROR(IF(INDEX('01_Formulario_A11'!$D:$D,MATCH("D19-DOC-PAC-001.CTA_CATALOG.CTA_ID",'01_Formulario_A11'!$A:$A,0))="","— (a preencher em 01_Formulario_A11)",INDEX('01_Formulario_A11'!$D:$D,MATCH("D19-DOC-PAC-001.CTA_CATALOG.CTA_ID",'01_Formulario_A11'!$A:$A,0))),"— (a preencher em 01_Formulario_A11)")</f>
        <v/>
      </c>
    </row>
    <row r="1043">
      <c r="A1043" s="13" t="inlineStr">
        <is>
          <t>D19-DOC-PAC-001.CTA_CATALOG.TEXTO</t>
        </is>
      </c>
      <c r="B1043" s="2" t="inlineStr">
        <is>
          <t>texto</t>
        </is>
      </c>
      <c r="C1043" s="14">
        <f>IFERROR(IF(INDEX('01_Formulario_A11'!$D:$D,MATCH("D19-DOC-PAC-001.CTA_CATALOG.TEXTO",'01_Formulario_A11'!$A:$A,0))="","— (a preencher em 01_Formulario_A11)",INDEX('01_Formulario_A11'!$D:$D,MATCH("D19-DOC-PAC-001.CTA_CATALOG.TEXTO",'01_Formulario_A11'!$A:$A,0))),"— (a preencher em 01_Formulario_A11)")</f>
        <v/>
      </c>
    </row>
    <row r="1044">
      <c r="A1044" s="13" t="inlineStr">
        <is>
          <t>D19-DOC-PAC-001.CTA_CATALOG.ACAO</t>
        </is>
      </c>
      <c r="B1044" s="2" t="inlineStr">
        <is>
          <t>acao</t>
        </is>
      </c>
      <c r="C1044" s="14">
        <f>IFERROR(IF(INDEX('01_Formulario_A11'!$D:$D,MATCH("D19-DOC-PAC-001.CTA_CATALOG.ACAO",'01_Formulario_A11'!$A:$A,0))="","— (a preencher em 01_Formulario_A11)",INDEX('01_Formulario_A11'!$D:$D,MATCH("D19-DOC-PAC-001.CTA_CATALOG.ACAO",'01_Formulario_A11'!$A:$A,0))),"— (a preencher em 01_Formulario_A11)")</f>
        <v/>
      </c>
    </row>
    <row r="1045">
      <c r="A1045" s="13" t="inlineStr">
        <is>
          <t>D19-DOC-PAC-001.DESTINATION.URL</t>
        </is>
      </c>
      <c r="B1045" s="2" t="inlineStr">
        <is>
          <t>url</t>
        </is>
      </c>
      <c r="C1045" s="14">
        <f>IFERROR(IF(INDEX('01_Formulario_A11'!$D:$D,MATCH("D19-DOC-PAC-001.DESTINATION.URL",'01_Formulario_A11'!$A:$A,0))="","— (a preencher em 01_Formulario_A11)",INDEX('01_Formulario_A11'!$D:$D,MATCH("D19-DOC-PAC-001.DESTINATION.URL",'01_Formulario_A11'!$A:$A,0))),"— (a preencher em 01_Formulario_A11)")</f>
        <v/>
      </c>
    </row>
    <row r="1046">
      <c r="A1046" s="13" t="inlineStr">
        <is>
          <t>D19-DOC-PAC-001.DESTINATION.DEEP_LINK</t>
        </is>
      </c>
      <c r="B1046" s="2" t="inlineStr">
        <is>
          <t>deep_link</t>
        </is>
      </c>
      <c r="C1046" s="14">
        <f>IFERROR(IF(INDEX('01_Formulario_A11'!$D:$D,MATCH("D19-DOC-PAC-001.DESTINATION.DEEP_LINK",'01_Formulario_A11'!$A:$A,0))="","— (a preencher em 01_Formulario_A11)",INDEX('01_Formulario_A11'!$D:$D,MATCH("D19-DOC-PAC-001.DESTINATION.DEEP_LINK",'01_Formulario_A11'!$A:$A,0))),"— (a preencher em 01_Formulario_A11)")</f>
        <v/>
      </c>
    </row>
    <row r="1047">
      <c r="A1047" s="13" t="inlineStr">
        <is>
          <t>D19-DOC-PAC-001.DESTINATION.FORMULARIO</t>
        </is>
      </c>
      <c r="B1047" s="2" t="inlineStr">
        <is>
          <t>formulario</t>
        </is>
      </c>
      <c r="C1047" s="14">
        <f>IFERROR(IF(INDEX('01_Formulario_A11'!$D:$D,MATCH("D19-DOC-PAC-001.DESTINATION.FORMULARIO",'01_Formulario_A11'!$A:$A,0))="","— (a preencher em 01_Formulario_A11)",INDEX('01_Formulario_A11'!$D:$D,MATCH("D19-DOC-PAC-001.DESTINATION.FORMULARIO",'01_Formulario_A11'!$A:$A,0))),"— (a preencher em 01_Formulario_A11)")</f>
        <v/>
      </c>
    </row>
    <row r="1048">
      <c r="A1048" s="13" t="inlineStr">
        <is>
          <t>D19-DOC-PAC-001.PLACEMENT.PAGINA</t>
        </is>
      </c>
      <c r="B1048" s="2" t="inlineStr">
        <is>
          <t>pagina</t>
        </is>
      </c>
      <c r="C1048" s="14">
        <f>IFERROR(IF(INDEX('01_Formulario_A11'!$D:$D,MATCH("D19-DOC-PAC-001.PLACEMENT.PAGINA",'01_Formulario_A11'!$A:$A,0))="","— (a preencher em 01_Formulario_A11)",INDEX('01_Formulario_A11'!$D:$D,MATCH("D19-DOC-PAC-001.PLACEMENT.PAGINA",'01_Formulario_A11'!$A:$A,0))),"— (a preencher em 01_Formulario_A11)")</f>
        <v/>
      </c>
    </row>
    <row r="1049">
      <c r="A1049" s="13" t="inlineStr">
        <is>
          <t>D19-DOC-PAC-001.PLACEMENT.COMPONENTE</t>
        </is>
      </c>
      <c r="B1049" s="2" t="inlineStr">
        <is>
          <t>componente</t>
        </is>
      </c>
      <c r="C1049" s="14">
        <f>IFERROR(IF(INDEX('01_Formulario_A11'!$D:$D,MATCH("D19-DOC-PAC-001.PLACEMENT.COMPONENTE",'01_Formulario_A11'!$A:$A,0))="","— (a preencher em 01_Formulario_A11)",INDEX('01_Formulario_A11'!$D:$D,MATCH("D19-DOC-PAC-001.PLACEMENT.COMPONENTE",'01_Formulario_A11'!$A:$A,0))),"— (a preencher em 01_Formulario_A11)")</f>
        <v/>
      </c>
    </row>
    <row r="1050">
      <c r="A1050" s="13" t="inlineStr">
        <is>
          <t>D19-DOC-PAC-001.PLACEMENT.CANAL</t>
        </is>
      </c>
      <c r="B1050" s="2" t="inlineStr">
        <is>
          <t>canal</t>
        </is>
      </c>
      <c r="C1050" s="14">
        <f>IFERROR(IF(INDEX('01_Formulario_A11'!$D:$D,MATCH("D19-DOC-PAC-001.PLACEMENT.CANAL",'01_Formulario_A11'!$A:$A,0))="","— (a preencher em 01_Formulario_A11)",INDEX('01_Formulario_A11'!$D:$D,MATCH("D19-DOC-PAC-001.PLACEMENT.CANAL",'01_Formulario_A11'!$A:$A,0))),"— (a preencher em 01_Formulario_A11)")</f>
        <v/>
      </c>
    </row>
    <row r="1051">
      <c r="A1051" s="13" t="inlineStr">
        <is>
          <t>D19-DOC-PAC-001.TRACKING.UTM</t>
        </is>
      </c>
      <c r="B1051" s="2" t="inlineStr">
        <is>
          <t>utm</t>
        </is>
      </c>
      <c r="C1051" s="14">
        <f>IFERROR(IF(INDEX('01_Formulario_A11'!$D:$D,MATCH("D19-DOC-PAC-001.TRACKING.UTM",'01_Formulario_A11'!$A:$A,0))="","— (a preencher em 01_Formulario_A11)",INDEX('01_Formulario_A11'!$D:$D,MATCH("D19-DOC-PAC-001.TRACKING.UTM",'01_Formulario_A11'!$A:$A,0))),"— (a preencher em 01_Formulario_A11)")</f>
        <v/>
      </c>
    </row>
    <row r="1052">
      <c r="A1052" s="13" t="inlineStr">
        <is>
          <t>D19-DOC-PAC-001.TRACKING.EVENTO</t>
        </is>
      </c>
      <c r="B1052" s="2" t="inlineStr">
        <is>
          <t>evento</t>
        </is>
      </c>
      <c r="C1052" s="14">
        <f>IFERROR(IF(INDEX('01_Formulario_A11'!$D:$D,MATCH("D19-DOC-PAC-001.TRACKING.EVENTO",'01_Formulario_A11'!$A:$A,0))="","— (a preencher em 01_Formulario_A11)",INDEX('01_Formulario_A11'!$D:$D,MATCH("D19-DOC-PAC-001.TRACKING.EVENTO",'01_Formulario_A11'!$A:$A,0))),"— (a preencher em 01_Formulario_A11)")</f>
        <v/>
      </c>
    </row>
    <row r="1053">
      <c r="A1053" s="13" t="inlineStr">
        <is>
          <t>D19-DOC-PAC-001.TRACKING.CAMPANHA</t>
        </is>
      </c>
      <c r="B1053" s="2" t="inlineStr">
        <is>
          <t>campanha</t>
        </is>
      </c>
      <c r="C1053" s="14">
        <f>IFERROR(IF(INDEX('01_Formulario_A11'!$D:$D,MATCH("D19-DOC-PAC-001.TRACKING.CAMPANHA",'01_Formulario_A11'!$A:$A,0))="","— (a preencher em 01_Formulario_A11)",INDEX('01_Formulario_A11'!$D:$D,MATCH("D19-DOC-PAC-001.TRACKING.CAMPANHA",'01_Formulario_A11'!$A:$A,0))),"— (a preencher em 01_Formulario_A11)")</f>
        <v/>
      </c>
    </row>
    <row r="1054">
      <c r="A1054" s="13" t="inlineStr">
        <is>
          <t>D19-DOC-PAC-001.ACCESSIBILITY.ALT_TEXT</t>
        </is>
      </c>
      <c r="B1054" s="2" t="inlineStr">
        <is>
          <t>alt_text</t>
        </is>
      </c>
      <c r="C1054" s="14">
        <f>IFERROR(IF(INDEX('01_Formulario_A11'!$D:$D,MATCH("D19-DOC-PAC-001.ACCESSIBILITY.ALT_TEXT",'01_Formulario_A11'!$A:$A,0))="","— (a preencher em 01_Formulario_A11)",INDEX('01_Formulario_A11'!$D:$D,MATCH("D19-DOC-PAC-001.ACCESSIBILITY.ALT_TEXT",'01_Formulario_A11'!$A:$A,0))),"— (a preencher em 01_Formulario_A11)")</f>
        <v/>
      </c>
    </row>
    <row r="1055">
      <c r="A1055" s="13" t="inlineStr">
        <is>
          <t>D19-DOC-PAC-001.ACCESSIBILITY.LEGIBILIDADE</t>
        </is>
      </c>
      <c r="B1055" s="2" t="inlineStr">
        <is>
          <t>legibilidade</t>
        </is>
      </c>
      <c r="C1055" s="14">
        <f>IFERROR(IF(INDEX('01_Formulario_A11'!$D:$D,MATCH("D19-DOC-PAC-001.ACCESSIBILITY.LEGIBILIDADE",'01_Formulario_A11'!$A:$A,0))="","— (a preencher em 01_Formulario_A11)",INDEX('01_Formulario_A11'!$D:$D,MATCH("D19-DOC-PAC-001.ACCESSIBILITY.LEGIBILIDADE",'01_Formulario_A11'!$A:$A,0))),"— (a preencher em 01_Formulario_A11)")</f>
        <v/>
      </c>
    </row>
    <row r="1056">
      <c r="A1056" s="13" t="inlineStr">
        <is>
          <t>D19-DOC-PAC-001.OWNERSHIP.OWNER</t>
        </is>
      </c>
      <c r="B1056" s="2" t="inlineStr">
        <is>
          <t>owner</t>
        </is>
      </c>
      <c r="C1056" s="14">
        <f>IFERROR(IF(INDEX('01_Formulario_A11'!$D:$D,MATCH("D19-DOC-PAC-001.OWNERSHIP.OWNER",'01_Formulario_A11'!$A:$A,0))="","— (a preencher em 01_Formulario_A11)",INDEX('01_Formulario_A11'!$D:$D,MATCH("D19-DOC-PAC-001.OWNERSHIP.OWNER",'01_Formulario_A11'!$A:$A,0))),"— (a preencher em 01_Formulario_A11)")</f>
        <v/>
      </c>
    </row>
    <row r="1057">
      <c r="A1057" s="13" t="inlineStr">
        <is>
          <t>D19-DOC-PAC-001.OWNERSHIP.APROVADOR</t>
        </is>
      </c>
      <c r="B1057" s="2" t="inlineStr">
        <is>
          <t>aprovador</t>
        </is>
      </c>
      <c r="C1057" s="14">
        <f>IFERROR(IF(INDEX('01_Formulario_A11'!$D:$D,MATCH("D19-DOC-PAC-001.OWNERSHIP.APROVADOR",'01_Formulario_A11'!$A:$A,0))="","— (a preencher em 01_Formulario_A11)",INDEX('01_Formulario_A11'!$D:$D,MATCH("D19-DOC-PAC-001.OWNERSHIP.APROVADOR",'01_Formulario_A11'!$A:$A,0))),"— (a preencher em 01_Formulario_A11)")</f>
        <v/>
      </c>
    </row>
    <row r="1058">
      <c r="A1058" s="13" t="inlineStr">
        <is>
          <t>D19-DOC-PAC-001.STATUS.DRAFT</t>
        </is>
      </c>
      <c r="B1058" s="2" t="inlineStr">
        <is>
          <t>draft</t>
        </is>
      </c>
      <c r="C1058" s="14">
        <f>IFERROR(IF(INDEX('01_Formulario_A11'!$D:$D,MATCH("D19-DOC-PAC-001.STATUS.DRAFT",'01_Formulario_A11'!$A:$A,0))="","— (a preencher em 01_Formulario_A11)",INDEX('01_Formulario_A11'!$D:$D,MATCH("D19-DOC-PAC-001.STATUS.DRAFT",'01_Formulario_A11'!$A:$A,0))),"— (a preencher em 01_Formulario_A11)")</f>
        <v/>
      </c>
    </row>
    <row r="1059">
      <c r="A1059" s="13" t="inlineStr">
        <is>
          <t>D19-DOC-PAC-001.STATUS.APROVADO</t>
        </is>
      </c>
      <c r="B1059" s="2" t="inlineStr">
        <is>
          <t>aprovado</t>
        </is>
      </c>
      <c r="C1059" s="14">
        <f>IFERROR(IF(INDEX('01_Formulario_A11'!$D:$D,MATCH("D19-DOC-PAC-001.STATUS.APROVADO",'01_Formulario_A11'!$A:$A,0))="","— (a preencher em 01_Formulario_A11)",INDEX('01_Formulario_A11'!$D:$D,MATCH("D19-DOC-PAC-001.STATUS.APROVADO",'01_Formulario_A11'!$A:$A,0))),"— (a preencher em 01_Formulario_A11)")</f>
        <v/>
      </c>
    </row>
    <row r="1060">
      <c r="A1060" s="13" t="inlineStr">
        <is>
          <t>D19-DOC-PAC-001.STATUS.PUBLICADO</t>
        </is>
      </c>
      <c r="B1060" s="2" t="inlineStr">
        <is>
          <t>publicado</t>
        </is>
      </c>
      <c r="C1060" s="14">
        <f>IFERROR(IF(INDEX('01_Formulario_A11'!$D:$D,MATCH("D19-DOC-PAC-001.STATUS.PUBLICADO",'01_Formulario_A11'!$A:$A,0))="","— (a preencher em 01_Formulario_A11)",INDEX('01_Formulario_A11'!$D:$D,MATCH("D19-DOC-PAC-001.STATUS.PUBLICADO",'01_Formulario_A11'!$A:$A,0))),"— (a preencher em 01_Formulario_A11)")</f>
        <v/>
      </c>
    </row>
    <row r="1061">
      <c r="A1061" s="13" t="inlineStr">
        <is>
          <t>D19-DOC-PAC-001.REUSE.ATIVO_FONTE</t>
        </is>
      </c>
      <c r="B1061" s="2" t="inlineStr">
        <is>
          <t>ativo_fonte</t>
        </is>
      </c>
      <c r="C1061" s="14">
        <f>IFERROR(IF(INDEX('01_Formulario_A11'!$D:$D,MATCH("D19-DOC-PAC-001.REUSE.ATIVO_FONTE",'01_Formulario_A11'!$A:$A,0))="","— (a preencher em 01_Formulario_A11)",INDEX('01_Formulario_A11'!$D:$D,MATCH("D19-DOC-PAC-001.REUSE.ATIVO_FONTE",'01_Formulario_A11'!$A:$A,0))),"— (a preencher em 01_Formulario_A11)")</f>
        <v/>
      </c>
    </row>
    <row r="1062">
      <c r="A1062" s="13" t="inlineStr">
        <is>
          <t>D19-DOC-PAC-001.REUSE.DERIVADOS</t>
        </is>
      </c>
      <c r="B1062" s="2" t="inlineStr">
        <is>
          <t>derivados</t>
        </is>
      </c>
      <c r="C1062" s="14">
        <f>IFERROR(IF(INDEX('01_Formulario_A11'!$D:$D,MATCH("D19-DOC-PAC-001.REUSE.DERIVADOS",'01_Formulario_A11'!$A:$A,0))="","— (a preencher em 01_Formulario_A11)",INDEX('01_Formulario_A11'!$D:$D,MATCH("D19-DOC-PAC-001.REUSE.DERIVADOS",'01_Formulario_A11'!$A:$A,0))),"— (a preencher em 01_Formulario_A11)")</f>
        <v/>
      </c>
    </row>
    <row r="1063">
      <c r="A1063" s="13" t="inlineStr">
        <is>
          <t>D20-DOC-PPR-001.SYSTEMS.PLATAFORMA</t>
        </is>
      </c>
      <c r="B1063" s="2" t="inlineStr">
        <is>
          <t>plataforma</t>
        </is>
      </c>
      <c r="C1063" s="14">
        <f>IFERROR(IF(INDEX('01_Formulario_A11'!$D:$D,MATCH("D20-DOC-PPR-001.SYSTEMS.PLATAFORMA",'01_Formulario_A11'!$A:$A,0))="","— (a preencher em 01_Formulario_A11)",INDEX('01_Formulario_A11'!$D:$D,MATCH("D20-DOC-PPR-001.SYSTEMS.PLATAFORMA",'01_Formulario_A11'!$A:$A,0))),"— (a preencher em 01_Formulario_A11)")</f>
        <v/>
      </c>
    </row>
    <row r="1064">
      <c r="A1064" s="13" t="inlineStr">
        <is>
          <t>D20-DOC-PPR-001.SYSTEMS.FINALIDADE</t>
        </is>
      </c>
      <c r="B1064" s="2" t="inlineStr">
        <is>
          <t>finalidade</t>
        </is>
      </c>
      <c r="C1064" s="14">
        <f>IFERROR(IF(INDEX('01_Formulario_A11'!$D:$D,MATCH("D20-DOC-PPR-001.SYSTEMS.FINALIDADE",'01_Formulario_A11'!$A:$A,0))="","— (a preencher em 01_Formulario_A11)",INDEX('01_Formulario_A11'!$D:$D,MATCH("D20-DOC-PPR-001.SYSTEMS.FINALIDADE",'01_Formulario_A11'!$A:$A,0))),"— (a preencher em 01_Formulario_A11)")</f>
        <v/>
      </c>
    </row>
    <row r="1065">
      <c r="A1065" s="13" t="inlineStr">
        <is>
          <t>D20-DOC-PPR-001.ACCOUNTS.CONTA</t>
        </is>
      </c>
      <c r="B1065" s="2" t="inlineStr">
        <is>
          <t>conta</t>
        </is>
      </c>
      <c r="C1065" s="14">
        <f>IFERROR(IF(INDEX('01_Formulario_A11'!$D:$D,MATCH("D20-DOC-PPR-001.ACCOUNTS.CONTA",'01_Formulario_A11'!$A:$A,0))="","— (a preencher em 01_Formulario_A11)",INDEX('01_Formulario_A11'!$D:$D,MATCH("D20-DOC-PPR-001.ACCOUNTS.CONTA",'01_Formulario_A11'!$A:$A,0))),"— (a preencher em 01_Formulario_A11)")</f>
        <v/>
      </c>
    </row>
    <row r="1066">
      <c r="A1066" s="13" t="inlineStr">
        <is>
          <t>D20-DOC-PPR-001.ACCOUNTS.ORGANIZACAO</t>
        </is>
      </c>
      <c r="B1066" s="2" t="inlineStr">
        <is>
          <t>organizacao</t>
        </is>
      </c>
      <c r="C1066" s="14">
        <f>IFERROR(IF(INDEX('01_Formulario_A11'!$D:$D,MATCH("D20-DOC-PPR-001.ACCOUNTS.ORGANIZACAO",'01_Formulario_A11'!$A:$A,0))="","— (a preencher em 01_Formulario_A11)",INDEX('01_Formulario_A11'!$D:$D,MATCH("D20-DOC-PPR-001.ACCOUNTS.ORGANIZACAO",'01_Formulario_A11'!$A:$A,0))),"— (a preencher em 01_Formulario_A11)")</f>
        <v/>
      </c>
    </row>
    <row r="1067">
      <c r="A1067" s="13" t="inlineStr">
        <is>
          <t>D20-DOC-PPR-001.REPOSITORIES.REPO</t>
        </is>
      </c>
      <c r="B1067" s="2" t="inlineStr">
        <is>
          <t>repo</t>
        </is>
      </c>
      <c r="C1067" s="14">
        <f>IFERROR(IF(INDEX('01_Formulario_A11'!$D:$D,MATCH("D20-DOC-PPR-001.REPOSITORIES.REPO",'01_Formulario_A11'!$A:$A,0))="","— (a preencher em 01_Formulario_A11)",INDEX('01_Formulario_A11'!$D:$D,MATCH("D20-DOC-PPR-001.REPOSITORIES.REPO",'01_Formulario_A11'!$A:$A,0))),"— (a preencher em 01_Formulario_A11)")</f>
        <v/>
      </c>
    </row>
    <row r="1068">
      <c r="A1068" s="13" t="inlineStr">
        <is>
          <t>D20-DOC-PPR-001.REPOSITORIES.OWNER</t>
        </is>
      </c>
      <c r="B1068" s="2" t="inlineStr">
        <is>
          <t>owner</t>
        </is>
      </c>
      <c r="C1068" s="14">
        <f>IFERROR(IF(INDEX('01_Formulario_A11'!$D:$D,MATCH("D20-DOC-PPR-001.REPOSITORIES.OWNER",'01_Formulario_A11'!$A:$A,0))="","— (a preencher em 01_Formulario_A11)",INDEX('01_Formulario_A11'!$D:$D,MATCH("D20-DOC-PPR-001.REPOSITORIES.OWNER",'01_Formulario_A11'!$A:$A,0))),"— (a preencher em 01_Formulario_A11)")</f>
        <v/>
      </c>
    </row>
    <row r="1069">
      <c r="A1069" s="13" t="inlineStr">
        <is>
          <t>D20-DOC-PPR-001.REPOSITORIES.FINALIDADE</t>
        </is>
      </c>
      <c r="B1069" s="2" t="inlineStr">
        <is>
          <t>finalidade</t>
        </is>
      </c>
      <c r="C1069" s="14">
        <f>IFERROR(IF(INDEX('01_Formulario_A11'!$D:$D,MATCH("D20-DOC-PPR-001.REPOSITORIES.FINALIDADE",'01_Formulario_A11'!$A:$A,0))="","— (a preencher em 01_Formulario_A11)",INDEX('01_Formulario_A11'!$D:$D,MATCH("D20-DOC-PPR-001.REPOSITORIES.FINALIDADE",'01_Formulario_A11'!$A:$A,0))),"— (a preencher em 01_Formulario_A11)")</f>
        <v/>
      </c>
    </row>
    <row r="1070">
      <c r="A1070" s="13" t="inlineStr">
        <is>
          <t>D20-DOC-PPR-001.BRANCHES.BRANCH</t>
        </is>
      </c>
      <c r="B1070" s="2" t="inlineStr">
        <is>
          <t>branch</t>
        </is>
      </c>
      <c r="C1070" s="14">
        <f>IFERROR(IF(INDEX('01_Formulario_A11'!$D:$D,MATCH("D20-DOC-PPR-001.BRANCHES.BRANCH",'01_Formulario_A11'!$A:$A,0))="","— (a preencher em 01_Formulario_A11)",INDEX('01_Formulario_A11'!$D:$D,MATCH("D20-DOC-PPR-001.BRANCHES.BRANCH",'01_Formulario_A11'!$A:$A,0))),"— (a preencher em 01_Formulario_A11)")</f>
        <v/>
      </c>
    </row>
    <row r="1071">
      <c r="A1071" s="13" t="inlineStr">
        <is>
          <t>D20-DOC-PPR-001.BRANCHES.FUNCAO</t>
        </is>
      </c>
      <c r="B1071" s="2" t="inlineStr">
        <is>
          <t>funcao</t>
        </is>
      </c>
      <c r="C1071" s="14">
        <f>IFERROR(IF(INDEX('01_Formulario_A11'!$D:$D,MATCH("D20-DOC-PPR-001.BRANCHES.FUNCAO",'01_Formulario_A11'!$A:$A,0))="","— (a preencher em 01_Formulario_A11)",INDEX('01_Formulario_A11'!$D:$D,MATCH("D20-DOC-PPR-001.BRANCHES.FUNCAO",'01_Formulario_A11'!$A:$A,0))),"— (a preencher em 01_Formulario_A11)")</f>
        <v/>
      </c>
    </row>
    <row r="1072">
      <c r="A1072" s="13" t="inlineStr">
        <is>
          <t>D20-DOC-PPR-001.BRANCHES.PROTECAO</t>
        </is>
      </c>
      <c r="B1072" s="2" t="inlineStr">
        <is>
          <t>protecao</t>
        </is>
      </c>
      <c r="C1072" s="14">
        <f>IFERROR(IF(INDEX('01_Formulario_A11'!$D:$D,MATCH("D20-DOC-PPR-001.BRANCHES.PROTECAO",'01_Formulario_A11'!$A:$A,0))="","— (a preencher em 01_Formulario_A11)",INDEX('01_Formulario_A11'!$D:$D,MATCH("D20-DOC-PPR-001.BRANCHES.PROTECAO",'01_Formulario_A11'!$A:$A,0))),"— (a preencher em 01_Formulario_A11)")</f>
        <v/>
      </c>
    </row>
    <row r="1073">
      <c r="A1073" s="13" t="inlineStr">
        <is>
          <t>D20-DOC-PPR-001.DIRECTORIES.PATH</t>
        </is>
      </c>
      <c r="B1073" s="2" t="inlineStr">
        <is>
          <t>path</t>
        </is>
      </c>
      <c r="C1073" s="14">
        <f>IFERROR(IF(INDEX('01_Formulario_A11'!$D:$D,MATCH("D20-DOC-PPR-001.DIRECTORIES.PATH",'01_Formulario_A11'!$A:$A,0))="","— (a preencher em 01_Formulario_A11)",INDEX('01_Formulario_A11'!$D:$D,MATCH("D20-DOC-PPR-001.DIRECTORIES.PATH",'01_Formulario_A11'!$A:$A,0))),"— (a preencher em 01_Formulario_A11)")</f>
        <v/>
      </c>
    </row>
    <row r="1074">
      <c r="A1074" s="13" t="inlineStr">
        <is>
          <t>D20-DOC-PPR-001.DIRECTORIES.RESPONSABILIDADE</t>
        </is>
      </c>
      <c r="B1074" s="2" t="inlineStr">
        <is>
          <t>responsabilidade</t>
        </is>
      </c>
      <c r="C1074" s="14">
        <f>IFERROR(IF(INDEX('01_Formulario_A11'!$D:$D,MATCH("D20-DOC-PPR-001.DIRECTORIES.RESPONSABILIDADE",'01_Formulario_A11'!$A:$A,0))="","— (a preencher em 01_Formulario_A11)",INDEX('01_Formulario_A11'!$D:$D,MATCH("D20-DOC-PPR-001.DIRECTORIES.RESPONSABILIDADE",'01_Formulario_A11'!$A:$A,0))),"— (a preencher em 01_Formulario_A11)")</f>
        <v/>
      </c>
    </row>
    <row r="1075">
      <c r="A1075" s="13" t="inlineStr">
        <is>
          <t>D20-DOC-PPR-001.ENVIRONMENTS.LOCAL</t>
        </is>
      </c>
      <c r="B1075" s="2" t="inlineStr">
        <is>
          <t>local</t>
        </is>
      </c>
      <c r="C1075" s="14">
        <f>IFERROR(IF(INDEX('01_Formulario_A11'!$D:$D,MATCH("D20-DOC-PPR-001.ENVIRONMENTS.LOCAL",'01_Formulario_A11'!$A:$A,0))="","— (a preencher em 01_Formulario_A11)",INDEX('01_Formulario_A11'!$D:$D,MATCH("D20-DOC-PPR-001.ENVIRONMENTS.LOCAL",'01_Formulario_A11'!$A:$A,0))),"— (a preencher em 01_Formulario_A11)")</f>
        <v/>
      </c>
    </row>
    <row r="1076">
      <c r="A1076" s="13" t="inlineStr">
        <is>
          <t>D20-DOC-PPR-001.ENVIRONMENTS.PREVIEW</t>
        </is>
      </c>
      <c r="B1076" s="2" t="inlineStr">
        <is>
          <t>preview</t>
        </is>
      </c>
      <c r="C1076" s="14">
        <f>IFERROR(IF(INDEX('01_Formulario_A11'!$D:$D,MATCH("D20-DOC-PPR-001.ENVIRONMENTS.PREVIEW",'01_Formulario_A11'!$A:$A,0))="","— (a preencher em 01_Formulario_A11)",INDEX('01_Formulario_A11'!$D:$D,MATCH("D20-DOC-PPR-001.ENVIRONMENTS.PREVIEW",'01_Formulario_A11'!$A:$A,0))),"— (a preencher em 01_Formulario_A11)")</f>
        <v/>
      </c>
    </row>
    <row r="1077">
      <c r="A1077" s="13" t="inlineStr">
        <is>
          <t>D20-DOC-PPR-001.ENVIRONMENTS.STAGING</t>
        </is>
      </c>
      <c r="B1077" s="2" t="inlineStr">
        <is>
          <t>staging</t>
        </is>
      </c>
      <c r="C1077" s="14">
        <f>IFERROR(IF(INDEX('01_Formulario_A11'!$D:$D,MATCH("D20-DOC-PPR-001.ENVIRONMENTS.STAGING",'01_Formulario_A11'!$A:$A,0))="","— (a preencher em 01_Formulario_A11)",INDEX('01_Formulario_A11'!$D:$D,MATCH("D20-DOC-PPR-001.ENVIRONMENTS.STAGING",'01_Formulario_A11'!$A:$A,0))),"— (a preencher em 01_Formulario_A11)")</f>
        <v/>
      </c>
    </row>
    <row r="1078">
      <c r="A1078" s="13" t="inlineStr">
        <is>
          <t>D20-DOC-PPR-001.ENVIRONMENTS.PRODUCTION</t>
        </is>
      </c>
      <c r="B1078" s="2" t="inlineStr">
        <is>
          <t>production</t>
        </is>
      </c>
      <c r="C1078" s="14">
        <f>IFERROR(IF(INDEX('01_Formulario_A11'!$D:$D,MATCH("D20-DOC-PPR-001.ENVIRONMENTS.PRODUCTION",'01_Formulario_A11'!$A:$A,0))="","— (a preencher em 01_Formulario_A11)",INDEX('01_Formulario_A11'!$D:$D,MATCH("D20-DOC-PPR-001.ENVIRONMENTS.PRODUCTION",'01_Formulario_A11'!$A:$A,0))),"— (a preencher em 01_Formulario_A11)")</f>
        <v/>
      </c>
    </row>
    <row r="1079">
      <c r="A1079" s="13" t="inlineStr">
        <is>
          <t>D20-DOC-PPR-001.DEPLOYMENTS.APP</t>
        </is>
      </c>
      <c r="B1079" s="2" t="inlineStr">
        <is>
          <t>app</t>
        </is>
      </c>
      <c r="C1079" s="14">
        <f>IFERROR(IF(INDEX('01_Formulario_A11'!$D:$D,MATCH("D20-DOC-PPR-001.DEPLOYMENTS.APP",'01_Formulario_A11'!$A:$A,0))="","— (a preencher em 01_Formulario_A11)",INDEX('01_Formulario_A11'!$D:$D,MATCH("D20-DOC-PPR-001.DEPLOYMENTS.APP",'01_Formulario_A11'!$A:$A,0))),"— (a preencher em 01_Formulario_A11)")</f>
        <v/>
      </c>
    </row>
    <row r="1080">
      <c r="A1080" s="13" t="inlineStr">
        <is>
          <t>D20-DOC-PPR-001.DEPLOYMENTS.PLATAFORMA</t>
        </is>
      </c>
      <c r="B1080" s="2" t="inlineStr">
        <is>
          <t>plataforma</t>
        </is>
      </c>
      <c r="C1080" s="14">
        <f>IFERROR(IF(INDEX('01_Formulario_A11'!$D:$D,MATCH("D20-DOC-PPR-001.DEPLOYMENTS.PLATAFORMA",'01_Formulario_A11'!$A:$A,0))="","— (a preencher em 01_Formulario_A11)",INDEX('01_Formulario_A11'!$D:$D,MATCH("D20-DOC-PPR-001.DEPLOYMENTS.PLATAFORMA",'01_Formulario_A11'!$A:$A,0))),"— (a preencher em 01_Formulario_A11)")</f>
        <v/>
      </c>
    </row>
    <row r="1081">
      <c r="A1081" s="13" t="inlineStr">
        <is>
          <t>D20-DOC-PPR-001.DEPLOYMENTS.URL</t>
        </is>
      </c>
      <c r="B1081" s="2" t="inlineStr">
        <is>
          <t>url</t>
        </is>
      </c>
      <c r="C1081" s="14">
        <f>IFERROR(IF(INDEX('01_Formulario_A11'!$D:$D,MATCH("D20-DOC-PPR-001.DEPLOYMENTS.URL",'01_Formulario_A11'!$A:$A,0))="","— (a preencher em 01_Formulario_A11)",INDEX('01_Formulario_A11'!$D:$D,MATCH("D20-DOC-PPR-001.DEPLOYMENTS.URL",'01_Formulario_A11'!$A:$A,0))),"— (a preencher em 01_Formulario_A11)")</f>
        <v/>
      </c>
    </row>
    <row r="1082">
      <c r="A1082" s="13" t="inlineStr">
        <is>
          <t>D20-DOC-PPR-001.DEPLOYMENTS.STATUS</t>
        </is>
      </c>
      <c r="B1082" s="2" t="inlineStr">
        <is>
          <t>status</t>
        </is>
      </c>
      <c r="C1082" s="14">
        <f>IFERROR(IF(INDEX('01_Formulario_A11'!$D:$D,MATCH("D20-DOC-PPR-001.DEPLOYMENTS.STATUS",'01_Formulario_A11'!$A:$A,0))="","— (a preencher em 01_Formulario_A11)",INDEX('01_Formulario_A11'!$D:$D,MATCH("D20-DOC-PPR-001.DEPLOYMENTS.STATUS",'01_Formulario_A11'!$A:$A,0))),"— (a preencher em 01_Formulario_A11)")</f>
        <v/>
      </c>
    </row>
    <row r="1083">
      <c r="A1083" s="13" t="inlineStr">
        <is>
          <t>D20-DOC-PPR-001.DOMAINS.DOMINIO</t>
        </is>
      </c>
      <c r="B1083" s="2" t="inlineStr">
        <is>
          <t>dominio</t>
        </is>
      </c>
      <c r="C1083" s="14">
        <f>IFERROR(IF(INDEX('01_Formulario_A11'!$D:$D,MATCH("D20-DOC-PPR-001.DOMAINS.DOMINIO",'01_Formulario_A11'!$A:$A,0))="","— (a preencher em 01_Formulario_A11)",INDEX('01_Formulario_A11'!$D:$D,MATCH("D20-DOC-PPR-001.DOMAINS.DOMINIO",'01_Formulario_A11'!$A:$A,0))),"— (a preencher em 01_Formulario_A11)")</f>
        <v/>
      </c>
    </row>
    <row r="1084">
      <c r="A1084" s="13" t="inlineStr">
        <is>
          <t>D20-DOC-PPR-001.DOMAINS.DESTINO</t>
        </is>
      </c>
      <c r="B1084" s="2" t="inlineStr">
        <is>
          <t>destino</t>
        </is>
      </c>
      <c r="C1084" s="14">
        <f>IFERROR(IF(INDEX('01_Formulario_A11'!$D:$D,MATCH("D20-DOC-PPR-001.DOMAINS.DESTINO",'01_Formulario_A11'!$A:$A,0))="","— (a preencher em 01_Formulario_A11)",INDEX('01_Formulario_A11'!$D:$D,MATCH("D20-DOC-PPR-001.DOMAINS.DESTINO",'01_Formulario_A11'!$A:$A,0))),"— (a preencher em 01_Formulario_A11)")</f>
        <v/>
      </c>
    </row>
    <row r="1085">
      <c r="A1085" s="13" t="inlineStr">
        <is>
          <t>D20-DOC-PPR-001.INTEGRATIONS.ORIGEM</t>
        </is>
      </c>
      <c r="B1085" s="2" t="inlineStr">
        <is>
          <t>origem</t>
        </is>
      </c>
      <c r="C1085" s="14">
        <f>IFERROR(IF(INDEX('01_Formulario_A11'!$D:$D,MATCH("D20-DOC-PPR-001.INTEGRATIONS.ORIGEM",'01_Formulario_A11'!$A:$A,0))="","— (a preencher em 01_Formulario_A11)",INDEX('01_Formulario_A11'!$D:$D,MATCH("D20-DOC-PPR-001.INTEGRATIONS.ORIGEM",'01_Formulario_A11'!$A:$A,0))),"— (a preencher em 01_Formulario_A11)")</f>
        <v/>
      </c>
    </row>
    <row r="1086">
      <c r="A1086" s="13" t="inlineStr">
        <is>
          <t>D20-DOC-PPR-001.INTEGRATIONS.DESTINO</t>
        </is>
      </c>
      <c r="B1086" s="2" t="inlineStr">
        <is>
          <t>destino</t>
        </is>
      </c>
      <c r="C1086" s="14">
        <f>IFERROR(IF(INDEX('01_Formulario_A11'!$D:$D,MATCH("D20-DOC-PPR-001.INTEGRATIONS.DESTINO",'01_Formulario_A11'!$A:$A,0))="","— (a preencher em 01_Formulario_A11)",INDEX('01_Formulario_A11'!$D:$D,MATCH("D20-DOC-PPR-001.INTEGRATIONS.DESTINO",'01_Formulario_A11'!$A:$A,0))),"— (a preencher em 01_Formulario_A11)")</f>
        <v/>
      </c>
    </row>
    <row r="1087">
      <c r="A1087" s="13" t="inlineStr">
        <is>
          <t>D20-DOC-PPR-001.INTEGRATIONS.METODO</t>
        </is>
      </c>
      <c r="B1087" s="2" t="inlineStr">
        <is>
          <t>metodo</t>
        </is>
      </c>
      <c r="C1087" s="14">
        <f>IFERROR(IF(INDEX('01_Formulario_A11'!$D:$D,MATCH("D20-DOC-PPR-001.INTEGRATIONS.METODO",'01_Formulario_A11'!$A:$A,0))="","— (a preencher em 01_Formulario_A11)",INDEX('01_Formulario_A11'!$D:$D,MATCH("D20-DOC-PPR-001.INTEGRATIONS.METODO",'01_Formulario_A11'!$A:$A,0))),"— (a preencher em 01_Formulario_A11)")</f>
        <v/>
      </c>
    </row>
    <row r="1088">
      <c r="A1088" s="13" t="inlineStr">
        <is>
          <t>D20-DOC-PPR-001.PERMISSIONS.SISTEMA</t>
        </is>
      </c>
      <c r="B1088" s="2" t="inlineStr">
        <is>
          <t>sistema</t>
        </is>
      </c>
      <c r="C1088" s="14">
        <f>IFERROR(IF(INDEX('01_Formulario_A11'!$D:$D,MATCH("D20-DOC-PPR-001.PERMISSIONS.SISTEMA",'01_Formulario_A11'!$A:$A,0))="","— (a preencher em 01_Formulario_A11)",INDEX('01_Formulario_A11'!$D:$D,MATCH("D20-DOC-PPR-001.PERMISSIONS.SISTEMA",'01_Formulario_A11'!$A:$A,0))),"— (a preencher em 01_Formulario_A11)")</f>
        <v/>
      </c>
    </row>
    <row r="1089">
      <c r="A1089" s="13" t="inlineStr">
        <is>
          <t>D20-DOC-PPR-001.PERMISSIONS.PERFIL</t>
        </is>
      </c>
      <c r="B1089" s="2" t="inlineStr">
        <is>
          <t>perfil</t>
        </is>
      </c>
      <c r="C1089" s="14">
        <f>IFERROR(IF(INDEX('01_Formulario_A11'!$D:$D,MATCH("D20-DOC-PPR-001.PERMISSIONS.PERFIL",'01_Formulario_A11'!$A:$A,0))="","— (a preencher em 01_Formulario_A11)",INDEX('01_Formulario_A11'!$D:$D,MATCH("D20-DOC-PPR-001.PERMISSIONS.PERFIL",'01_Formulario_A11'!$A:$A,0))),"— (a preencher em 01_Formulario_A11)")</f>
        <v/>
      </c>
    </row>
    <row r="1090">
      <c r="A1090" s="13" t="inlineStr">
        <is>
          <t>D20-DOC-PPR-001.PERMISSIONS.ACESSO</t>
        </is>
      </c>
      <c r="B1090" s="2" t="inlineStr">
        <is>
          <t>acesso</t>
        </is>
      </c>
      <c r="C1090" s="14">
        <f>IFERROR(IF(INDEX('01_Formulario_A11'!$D:$D,MATCH("D20-DOC-PPR-001.PERMISSIONS.ACESSO",'01_Formulario_A11'!$A:$A,0))="","— (a preencher em 01_Formulario_A11)",INDEX('01_Formulario_A11'!$D:$D,MATCH("D20-DOC-PPR-001.PERMISSIONS.ACESSO",'01_Formulario_A11'!$A:$A,0))),"— (a preencher em 01_Formulario_A11)")</f>
        <v/>
      </c>
    </row>
    <row r="1091">
      <c r="A1091" s="13" t="inlineStr">
        <is>
          <t>D20-DOC-PPR-001.SECRETS.SECRET_NAME</t>
        </is>
      </c>
      <c r="B1091" s="2" t="inlineStr">
        <is>
          <t>secret_name</t>
        </is>
      </c>
      <c r="C1091" s="14">
        <f>IFERROR(IF(INDEX('01_Formulario_A11'!$D:$D,MATCH("D20-DOC-PPR-001.SECRETS.SECRET_NAME",'01_Formulario_A11'!$A:$A,0))="","— (a preencher em 01_Formulario_A11)",INDEX('01_Formulario_A11'!$D:$D,MATCH("D20-DOC-PPR-001.SECRETS.SECRET_NAME",'01_Formulario_A11'!$A:$A,0))),"— (a preencher em 01_Formulario_A11)")</f>
        <v/>
      </c>
    </row>
    <row r="1092">
      <c r="A1092" s="13" t="inlineStr">
        <is>
          <t>D20-DOC-PPR-001.SECRETS.LOCALIZACAO_SEM_VALOR</t>
        </is>
      </c>
      <c r="B1092" s="2" t="inlineStr">
        <is>
          <t>localizacao_sem_valor</t>
        </is>
      </c>
      <c r="C1092" s="14">
        <f>IFERROR(IF(INDEX('01_Formulario_A11'!$D:$D,MATCH("D20-DOC-PPR-001.SECRETS.LOCALIZACAO_SEM_VALOR",'01_Formulario_A11'!$A:$A,0))="","— (a preencher em 01_Formulario_A11)",INDEX('01_Formulario_A11'!$D:$D,MATCH("D20-DOC-PPR-001.SECRETS.LOCALIZACAO_SEM_VALOR",'01_Formulario_A11'!$A:$A,0))),"— (a preencher em 01_Formulario_A11)")</f>
        <v/>
      </c>
    </row>
    <row r="1093">
      <c r="A1093" s="13" t="inlineStr">
        <is>
          <t>D20-DOC-PPR-001.SOURCE_OF_TRUTH.OBJETO</t>
        </is>
      </c>
      <c r="B1093" s="2" t="inlineStr">
        <is>
          <t>objeto</t>
        </is>
      </c>
      <c r="C1093" s="14">
        <f>IFERROR(IF(INDEX('01_Formulario_A11'!$D:$D,MATCH("D20-DOC-PPR-001.SOURCE_OF_TRUTH.OBJETO",'01_Formulario_A11'!$A:$A,0))="","— (a preencher em 01_Formulario_A11)",INDEX('01_Formulario_A11'!$D:$D,MATCH("D20-DOC-PPR-001.SOURCE_OF_TRUTH.OBJETO",'01_Formulario_A11'!$A:$A,0))),"— (a preencher em 01_Formulario_A11)")</f>
        <v/>
      </c>
    </row>
    <row r="1094">
      <c r="A1094" s="13" t="inlineStr">
        <is>
          <t>D20-DOC-PPR-001.SOURCE_OF_TRUTH.REPOSITORIO</t>
        </is>
      </c>
      <c r="B1094" s="2" t="inlineStr">
        <is>
          <t>repositorio</t>
        </is>
      </c>
      <c r="C1094" s="14">
        <f>IFERROR(IF(INDEX('01_Formulario_A11'!$D:$D,MATCH("D20-DOC-PPR-001.SOURCE_OF_TRUTH.REPOSITORIO",'01_Formulario_A11'!$A:$A,0))="","— (a preencher em 01_Formulario_A11)",INDEX('01_Formulario_A11'!$D:$D,MATCH("D20-DOC-PPR-001.SOURCE_OF_TRUTH.REPOSITORIO",'01_Formulario_A11'!$A:$A,0))),"— (a preencher em 01_Formulario_A11)")</f>
        <v/>
      </c>
    </row>
    <row r="1095">
      <c r="A1095" s="13" t="inlineStr">
        <is>
          <t>D20-DOC-PPR-001.BACKUPS.OBJETO</t>
        </is>
      </c>
      <c r="B1095" s="2" t="inlineStr">
        <is>
          <t>objeto</t>
        </is>
      </c>
      <c r="C1095" s="14">
        <f>IFERROR(IF(INDEX('01_Formulario_A11'!$D:$D,MATCH("D20-DOC-PPR-001.BACKUPS.OBJETO",'01_Formulario_A11'!$A:$A,0))="","— (a preencher em 01_Formulario_A11)",INDEX('01_Formulario_A11'!$D:$D,MATCH("D20-DOC-PPR-001.BACKUPS.OBJETO",'01_Formulario_A11'!$A:$A,0))),"— (a preencher em 01_Formulario_A11)")</f>
        <v/>
      </c>
    </row>
    <row r="1096">
      <c r="A1096" s="13" t="inlineStr">
        <is>
          <t>D20-DOC-PPR-001.BACKUPS.ESTRATEGIA</t>
        </is>
      </c>
      <c r="B1096" s="2" t="inlineStr">
        <is>
          <t>estrategia</t>
        </is>
      </c>
      <c r="C1096" s="14">
        <f>IFERROR(IF(INDEX('01_Formulario_A11'!$D:$D,MATCH("D20-DOC-PPR-001.BACKUPS.ESTRATEGIA",'01_Formulario_A11'!$A:$A,0))="","— (a preencher em 01_Formulario_A11)",INDEX('01_Formulario_A11'!$D:$D,MATCH("D20-DOC-PPR-001.BACKUPS.ESTRATEGIA",'01_Formulario_A11'!$A:$A,0))),"— (a preencher em 01_Formulario_A11)")</f>
        <v/>
      </c>
    </row>
    <row r="1097">
      <c r="A1097" s="13" t="inlineStr">
        <is>
          <t>D20-DOC-PPR-001.RECOVERY.PROCEDIMENTO</t>
        </is>
      </c>
      <c r="B1097" s="2" t="inlineStr">
        <is>
          <t>procedimento</t>
        </is>
      </c>
      <c r="C1097" s="14">
        <f>IFERROR(IF(INDEX('01_Formulario_A11'!$D:$D,MATCH("D20-DOC-PPR-001.RECOVERY.PROCEDIMENTO",'01_Formulario_A11'!$A:$A,0))="","— (a preencher em 01_Formulario_A11)",INDEX('01_Formulario_A11'!$D:$D,MATCH("D20-DOC-PPR-001.RECOVERY.PROCEDIMENTO",'01_Formulario_A11'!$A:$A,0))),"— (a preencher em 01_Formulario_A11)")</f>
        <v/>
      </c>
    </row>
    <row r="1098">
      <c r="A1098" s="13" t="inlineStr">
        <is>
          <t>D20-DOC-PPR-001.RECOVERY.RTO</t>
        </is>
      </c>
      <c r="B1098" s="2" t="inlineStr">
        <is>
          <t>rto</t>
        </is>
      </c>
      <c r="C1098" s="14">
        <f>IFERROR(IF(INDEX('01_Formulario_A11'!$D:$D,MATCH("D20-DOC-PPR-001.RECOVERY.RTO",'01_Formulario_A11'!$A:$A,0))="","— (a preencher em 01_Formulario_A11)",INDEX('01_Formulario_A11'!$D:$D,MATCH("D20-DOC-PPR-001.RECOVERY.RTO",'01_Formulario_A11'!$A:$A,0))),"— (a preencher em 01_Formulario_A11)")</f>
        <v/>
      </c>
    </row>
    <row r="1099">
      <c r="A1099" s="13" t="inlineStr">
        <is>
          <t>D20-DOC-PPR-001.RECOVERY.RPO</t>
        </is>
      </c>
      <c r="B1099" s="2" t="inlineStr">
        <is>
          <t>rpo</t>
        </is>
      </c>
      <c r="C1099" s="14">
        <f>IFERROR(IF(INDEX('01_Formulario_A11'!$D:$D,MATCH("D20-DOC-PPR-001.RECOVERY.RPO",'01_Formulario_A11'!$A:$A,0))="","— (a preencher em 01_Formulario_A11)",INDEX('01_Formulario_A11'!$D:$D,MATCH("D20-DOC-PPR-001.RECOVERY.RPO",'01_Formulario_A11'!$A:$A,0))),"— (a preencher em 01_Formulario_A11)")</f>
        <v/>
      </c>
    </row>
    <row r="1100">
      <c r="A1100" s="13" t="inlineStr">
        <is>
          <t>D20-DOC-PPR-001.MAINTENANCE.ROTINA</t>
        </is>
      </c>
      <c r="B1100" s="2" t="inlineStr">
        <is>
          <t>rotina</t>
        </is>
      </c>
      <c r="C1100" s="14">
        <f>IFERROR(IF(INDEX('01_Formulario_A11'!$D:$D,MATCH("D20-DOC-PPR-001.MAINTENANCE.ROTINA",'01_Formulario_A11'!$A:$A,0))="","— (a preencher em 01_Formulario_A11)",INDEX('01_Formulario_A11'!$D:$D,MATCH("D20-DOC-PPR-001.MAINTENANCE.ROTINA",'01_Formulario_A11'!$A:$A,0))),"— (a preencher em 01_Formulario_A11)")</f>
        <v/>
      </c>
    </row>
    <row r="1101">
      <c r="A1101" s="13" t="inlineStr">
        <is>
          <t>D20-DOC-PPR-001.MAINTENANCE.OWNER</t>
        </is>
      </c>
      <c r="B1101" s="2" t="inlineStr">
        <is>
          <t>owner</t>
        </is>
      </c>
      <c r="C1101" s="14">
        <f>IFERROR(IF(INDEX('01_Formulario_A11'!$D:$D,MATCH("D20-DOC-PPR-001.MAINTENANCE.OWNER",'01_Formulario_A11'!$A:$A,0))="","— (a preencher em 01_Formulario_A11)",INDEX('01_Formulario_A11'!$D:$D,MATCH("D20-DOC-PPR-001.MAINTENANCE.OWNER",'01_Formulario_A11'!$A:$A,0))),"— (a preencher em 01_Formulario_A11)")</f>
        <v/>
      </c>
    </row>
    <row r="1102">
      <c r="A1102" s="5" t="inlineStr">
        <is>
          <t>A12 — Stakeholders e Ecossistema</t>
        </is>
      </c>
      <c r="B1102" s="6" t="n"/>
      <c r="C1102" s="7" t="n"/>
    </row>
    <row r="1103">
      <c r="A1103" s="13" t="inlineStr">
        <is>
          <t>D17-DOC-PEP-001.OBJECTIVE.OBJETIVO_PROFISSIONAL</t>
        </is>
      </c>
      <c r="B1103" s="2" t="inlineStr">
        <is>
          <t>objetivo_profissional</t>
        </is>
      </c>
      <c r="C1103" s="14">
        <f>IFERROR(IF(INDEX('01_Formulario_A12'!$D:$D,MATCH("D17-DOC-PEP-001.OBJECTIVE.OBJETIVO_PROFISSIONAL",'01_Formulario_A12'!$A:$A,0))="","— (a preencher em 01_Formulario_A12)",INDEX('01_Formulario_A12'!$D:$D,MATCH("D17-DOC-PEP-001.OBJECTIVE.OBJETIVO_PROFISSIONAL",'01_Formulario_A12'!$A:$A,0))),"— (a preencher em 01_Formulario_A12)")</f>
        <v/>
      </c>
    </row>
    <row r="1104">
      <c r="A1104" s="13" t="inlineStr">
        <is>
          <t>D17-DOC-PEP-001.OBJECTIVE.HORIZONTE</t>
        </is>
      </c>
      <c r="B1104" s="2" t="inlineStr">
        <is>
          <t>horizonte</t>
        </is>
      </c>
      <c r="C1104" s="14">
        <f>IFERROR(IF(INDEX('01_Formulario_A12'!$D:$D,MATCH("D17-DOC-PEP-001.OBJECTIVE.HORIZONTE",'01_Formulario_A12'!$A:$A,0))="","— (a preencher em 01_Formulario_A12)",INDEX('01_Formulario_A12'!$D:$D,MATCH("D17-DOC-PEP-001.OBJECTIVE.HORIZONTE",'01_Formulario_A12'!$A:$A,0))),"— (a preencher em 01_Formulario_A12)")</f>
        <v/>
      </c>
    </row>
    <row r="1105">
      <c r="A1105" s="13" t="inlineStr">
        <is>
          <t>D17-DOC-PEP-001.POSITIONING.PROPOSTA_PROFISSIONAL</t>
        </is>
      </c>
      <c r="B1105" s="2" t="inlineStr">
        <is>
          <t>proposta_profissional</t>
        </is>
      </c>
      <c r="C1105" s="14">
        <f>IFERROR(IF(INDEX('01_Formulario_A12'!$D:$D,MATCH("D17-DOC-PEP-001.POSITIONING.PROPOSTA_PROFISSIONAL",'01_Formulario_A12'!$A:$A,0))="","— (a preencher em 01_Formulario_A12)",INDEX('01_Formulario_A12'!$D:$D,MATCH("D17-DOC-PEP-001.POSITIONING.PROPOSTA_PROFISSIONAL",'01_Formulario_A12'!$A:$A,0))),"— (a preencher em 01_Formulario_A12)")</f>
        <v/>
      </c>
    </row>
    <row r="1106">
      <c r="A1106" s="13" t="inlineStr">
        <is>
          <t>D17-DOC-PEP-001.POSITIONING.ESPECIALIDADES</t>
        </is>
      </c>
      <c r="B1106" s="2" t="inlineStr">
        <is>
          <t>especialidades</t>
        </is>
      </c>
      <c r="C1106" s="14">
        <f>IFERROR(IF(INDEX('01_Formulario_A12'!$D:$D,MATCH("D17-DOC-PEP-001.POSITIONING.ESPECIALIDADES",'01_Formulario_A12'!$A:$A,0))="","— (a preencher em 01_Formulario_A12)",INDEX('01_Formulario_A12'!$D:$D,MATCH("D17-DOC-PEP-001.POSITIONING.ESPECIALIDADES",'01_Formulario_A12'!$A:$A,0))),"— (a preencher em 01_Formulario_A12)")</f>
        <v/>
      </c>
    </row>
    <row r="1107">
      <c r="A1107" s="13" t="inlineStr">
        <is>
          <t>D17-DOC-PEP-001.TARGET.CARGOS</t>
        </is>
      </c>
      <c r="B1107" s="2" t="inlineStr">
        <is>
          <t>cargos</t>
        </is>
      </c>
      <c r="C1107" s="14">
        <f>IFERROR(IF(INDEX('01_Formulario_A12'!$D:$D,MATCH("D17-DOC-PEP-001.TARGET.CARGOS",'01_Formulario_A12'!$A:$A,0))="","— (a preencher em 01_Formulario_A12)",INDEX('01_Formulario_A12'!$D:$D,MATCH("D17-DOC-PEP-001.TARGET.CARGOS",'01_Formulario_A12'!$A:$A,0))),"— (a preencher em 01_Formulario_A12)")</f>
        <v/>
      </c>
    </row>
    <row r="1108">
      <c r="A1108" s="13" t="inlineStr">
        <is>
          <t>D17-DOC-PEP-001.TARGET.EMPRESAS</t>
        </is>
      </c>
      <c r="B1108" s="2" t="inlineStr">
        <is>
          <t>empresas</t>
        </is>
      </c>
      <c r="C1108" s="14">
        <f>IFERROR(IF(INDEX('01_Formulario_A12'!$D:$D,MATCH("D17-DOC-PEP-001.TARGET.EMPRESAS",'01_Formulario_A12'!$A:$A,0))="","— (a preencher em 01_Formulario_A12)",INDEX('01_Formulario_A12'!$D:$D,MATCH("D17-DOC-PEP-001.TARGET.EMPRESAS",'01_Formulario_A12'!$A:$A,0))),"— (a preencher em 01_Formulario_A12)")</f>
        <v/>
      </c>
    </row>
    <row r="1109">
      <c r="A1109" s="13" t="inlineStr">
        <is>
          <t>D17-DOC-PEP-001.TARGET.CLIENTES</t>
        </is>
      </c>
      <c r="B1109" s="2" t="inlineStr">
        <is>
          <t>clientes</t>
        </is>
      </c>
      <c r="C1109" s="14">
        <f>IFERROR(IF(INDEX('01_Formulario_A12'!$D:$D,MATCH("D17-DOC-PEP-001.TARGET.CLIENTES",'01_Formulario_A12'!$A:$A,0))="","— (a preencher em 01_Formulario_A12)",INDEX('01_Formulario_A12'!$D:$D,MATCH("D17-DOC-PEP-001.TARGET.CLIENTES",'01_Formulario_A12'!$A:$A,0))),"— (a preencher em 01_Formulario_A12)")</f>
        <v/>
      </c>
    </row>
    <row r="1110">
      <c r="A1110" s="13" t="inlineStr">
        <is>
          <t>D17-DOC-PEP-001.TARGET.MERCADOS</t>
        </is>
      </c>
      <c r="B1110" s="2" t="inlineStr">
        <is>
          <t>mercados</t>
        </is>
      </c>
      <c r="C1110" s="14">
        <f>IFERROR(IF(INDEX('01_Formulario_A12'!$D:$D,MATCH("D17-DOC-PEP-001.TARGET.MERCADOS",'01_Formulario_A12'!$A:$A,0))="","— (a preencher em 01_Formulario_A12)",INDEX('01_Formulario_A12'!$D:$D,MATCH("D17-DOC-PEP-001.TARGET.MERCADOS",'01_Formulario_A12'!$A:$A,0))),"— (a preencher em 01_Formulario_A12)")</f>
        <v/>
      </c>
    </row>
    <row r="1111">
      <c r="A1111" s="13" t="inlineStr">
        <is>
          <t>D17-DOC-PEP-001.COMPETENCIES.COMPETENCIAS</t>
        </is>
      </c>
      <c r="B1111" s="2" t="inlineStr">
        <is>
          <t>competencias</t>
        </is>
      </c>
      <c r="C1111" s="14">
        <f>IFERROR(IF(INDEX('01_Formulario_A12'!$D:$D,MATCH("D17-DOC-PEP-001.COMPETENCIES.COMPETENCIAS",'01_Formulario_A12'!$A:$A,0))="","— (a preencher em 01_Formulario_A12)",INDEX('01_Formulario_A12'!$D:$D,MATCH("D17-DOC-PEP-001.COMPETENCIES.COMPETENCIAS",'01_Formulario_A12'!$A:$A,0))),"— (a preencher em 01_Formulario_A12)")</f>
        <v/>
      </c>
    </row>
    <row r="1112">
      <c r="A1112" s="13" t="inlineStr">
        <is>
          <t>D17-DOC-PEP-001.COMPETENCIES.NIVEL</t>
        </is>
      </c>
      <c r="B1112" s="2" t="inlineStr">
        <is>
          <t>nivel</t>
        </is>
      </c>
      <c r="C1112" s="14">
        <f>IFERROR(IF(INDEX('01_Formulario_A12'!$D:$D,MATCH("D17-DOC-PEP-001.COMPETENCIES.NIVEL",'01_Formulario_A12'!$A:$A,0))="","— (a preencher em 01_Formulario_A12)",INDEX('01_Formulario_A12'!$D:$D,MATCH("D17-DOC-PEP-001.COMPETENCIES.NIVEL",'01_Formulario_A12'!$A:$A,0))),"— (a preencher em 01_Formulario_A12)")</f>
        <v/>
      </c>
    </row>
    <row r="1113">
      <c r="A1113" s="13" t="inlineStr">
        <is>
          <t>D17-DOC-PEP-001.COMPETENCIES.EVIDENCIA</t>
        </is>
      </c>
      <c r="B1113" s="2" t="inlineStr">
        <is>
          <t>evidencia</t>
        </is>
      </c>
      <c r="C1113" s="14">
        <f>IFERROR(IF(INDEX('01_Formulario_A12'!$D:$D,MATCH("D17-DOC-PEP-001.COMPETENCIES.EVIDENCIA",'01_Formulario_A12'!$A:$A,0))="","— (a preencher em 01_Formulario_A12)",INDEX('01_Formulario_A12'!$D:$D,MATCH("D17-DOC-PEP-001.COMPETENCIES.EVIDENCIA",'01_Formulario_A12'!$A:$A,0))),"— (a preencher em 01_Formulario_A12)")</f>
        <v/>
      </c>
    </row>
    <row r="1114">
      <c r="A1114" s="13" t="inlineStr">
        <is>
          <t>D17-DOC-PEP-001.GAPS.LACUNA</t>
        </is>
      </c>
      <c r="B1114" s="2" t="inlineStr">
        <is>
          <t>lacuna</t>
        </is>
      </c>
      <c r="C1114" s="14">
        <f>IFERROR(IF(INDEX('01_Formulario_A12'!$D:$D,MATCH("D17-DOC-PEP-001.GAPS.LACUNA",'01_Formulario_A12'!$A:$A,0))="","— (a preencher em 01_Formulario_A12)",INDEX('01_Formulario_A12'!$D:$D,MATCH("D17-DOC-PEP-001.GAPS.LACUNA",'01_Formulario_A12'!$A:$A,0))),"— (a preencher em 01_Formulario_A12)")</f>
        <v/>
      </c>
    </row>
    <row r="1115">
      <c r="A1115" s="13" t="inlineStr">
        <is>
          <t>D17-DOC-PEP-001.GAPS.PLANO_DE_DESENVOLVIMENTO</t>
        </is>
      </c>
      <c r="B1115" s="2" t="inlineStr">
        <is>
          <t>plano_de_desenvolvimento</t>
        </is>
      </c>
      <c r="C1115" s="14">
        <f>IFERROR(IF(INDEX('01_Formulario_A12'!$D:$D,MATCH("D17-DOC-PEP-001.GAPS.PLANO_DE_DESENVOLVIMENTO",'01_Formulario_A12'!$A:$A,0))="","— (a preencher em 01_Formulario_A12)",INDEX('01_Formulario_A12'!$D:$D,MATCH("D17-DOC-PEP-001.GAPS.PLANO_DE_DESENVOLVIMENTO",'01_Formulario_A12'!$A:$A,0))),"— (a preencher em 01_Formulario_A12)")</f>
        <v/>
      </c>
    </row>
    <row r="1116">
      <c r="A1116" s="13" t="inlineStr">
        <is>
          <t>D17-DOC-PEP-001.PORTFOLIO_INVENTORY.PROJETO</t>
        </is>
      </c>
      <c r="B1116" s="2" t="inlineStr">
        <is>
          <t>projeto</t>
        </is>
      </c>
      <c r="C1116" s="14">
        <f>IFERROR(IF(INDEX('01_Formulario_A12'!$D:$D,MATCH("D17-DOC-PEP-001.PORTFOLIO_INVENTORY.PROJETO",'01_Formulario_A12'!$A:$A,0))="","— (a preencher em 01_Formulario_A12)",INDEX('01_Formulario_A12'!$D:$D,MATCH("D17-DOC-PEP-001.PORTFOLIO_INVENTORY.PROJETO",'01_Formulario_A12'!$A:$A,0))),"— (a preencher em 01_Formulario_A12)")</f>
        <v/>
      </c>
    </row>
    <row r="1117">
      <c r="A1117" s="13" t="inlineStr">
        <is>
          <t>D17-DOC-PEP-001.PORTFOLIO_INVENTORY.PAPEL</t>
        </is>
      </c>
      <c r="B1117" s="2" t="inlineStr">
        <is>
          <t>papel</t>
        </is>
      </c>
      <c r="C1117" s="14">
        <f>IFERROR(IF(INDEX('01_Formulario_A12'!$D:$D,MATCH("D17-DOC-PEP-001.PORTFOLIO_INVENTORY.PAPEL",'01_Formulario_A12'!$A:$A,0))="","— (a preencher em 01_Formulario_A12)",INDEX('01_Formulario_A12'!$D:$D,MATCH("D17-DOC-PEP-001.PORTFOLIO_INVENTORY.PAPEL",'01_Formulario_A12'!$A:$A,0))),"— (a preencher em 01_Formulario_A12)")</f>
        <v/>
      </c>
    </row>
    <row r="1118">
      <c r="A1118" s="13" t="inlineStr">
        <is>
          <t>D17-DOC-PEP-001.PORTFOLIO_INVENTORY.RESULTADO</t>
        </is>
      </c>
      <c r="B1118" s="2" t="inlineStr">
        <is>
          <t>resultado</t>
        </is>
      </c>
      <c r="C1118" s="14">
        <f>IFERROR(IF(INDEX('01_Formulario_A12'!$D:$D,MATCH("D17-DOC-PEP-001.PORTFOLIO_INVENTORY.RESULTADO",'01_Formulario_A12'!$A:$A,0))="","— (a preencher em 01_Formulario_A12)",INDEX('01_Formulario_A12'!$D:$D,MATCH("D17-DOC-PEP-001.PORTFOLIO_INVENTORY.RESULTADO",'01_Formulario_A12'!$A:$A,0))),"— (a preencher em 01_Formulario_A12)")</f>
        <v/>
      </c>
    </row>
    <row r="1119">
      <c r="A1119" s="13" t="inlineStr">
        <is>
          <t>D17-DOC-PEP-001.CASE_STUDIES.PROBLEMA</t>
        </is>
      </c>
      <c r="B1119" s="2" t="inlineStr">
        <is>
          <t>problema</t>
        </is>
      </c>
      <c r="C1119" s="14">
        <f>IFERROR(IF(INDEX('01_Formulario_A12'!$D:$D,MATCH("D17-DOC-PEP-001.CASE_STUDIES.PROBLEMA",'01_Formulario_A12'!$A:$A,0))="","— (a preencher em 01_Formulario_A12)",INDEX('01_Formulario_A12'!$D:$D,MATCH("D17-DOC-PEP-001.CASE_STUDIES.PROBLEMA",'01_Formulario_A12'!$A:$A,0))),"— (a preencher em 01_Formulario_A12)")</f>
        <v/>
      </c>
    </row>
    <row r="1120">
      <c r="A1120" s="13" t="inlineStr">
        <is>
          <t>D17-DOC-PEP-001.CASE_STUDIES.ACAO</t>
        </is>
      </c>
      <c r="B1120" s="2" t="inlineStr">
        <is>
          <t>acao</t>
        </is>
      </c>
      <c r="C1120" s="14">
        <f>IFERROR(IF(INDEX('01_Formulario_A12'!$D:$D,MATCH("D17-DOC-PEP-001.CASE_STUDIES.ACAO",'01_Formulario_A12'!$A:$A,0))="","— (a preencher em 01_Formulario_A12)",INDEX('01_Formulario_A12'!$D:$D,MATCH("D17-DOC-PEP-001.CASE_STUDIES.ACAO",'01_Formulario_A12'!$A:$A,0))),"— (a preencher em 01_Formulario_A12)")</f>
        <v/>
      </c>
    </row>
    <row r="1121">
      <c r="A1121" s="13" t="inlineStr">
        <is>
          <t>D17-DOC-PEP-001.CASE_STUDIES.RESULTADO</t>
        </is>
      </c>
      <c r="B1121" s="2" t="inlineStr">
        <is>
          <t>resultado</t>
        </is>
      </c>
      <c r="C1121" s="14">
        <f>IFERROR(IF(INDEX('01_Formulario_A12'!$D:$D,MATCH("D17-DOC-PEP-001.CASE_STUDIES.RESULTADO",'01_Formulario_A12'!$A:$A,0))="","— (a preencher em 01_Formulario_A12)",INDEX('01_Formulario_A12'!$D:$D,MATCH("D17-DOC-PEP-001.CASE_STUDIES.RESULTADO",'01_Formulario_A12'!$A:$A,0))),"— (a preencher em 01_Formulario_A12)")</f>
        <v/>
      </c>
    </row>
    <row r="1122">
      <c r="A1122" s="13" t="inlineStr">
        <is>
          <t>D17-DOC-PEP-001.CASE_STUDIES.EVIDENCIA</t>
        </is>
      </c>
      <c r="B1122" s="2" t="inlineStr">
        <is>
          <t>evidencia</t>
        </is>
      </c>
      <c r="C1122" s="14">
        <f>IFERROR(IF(INDEX('01_Formulario_A12'!$D:$D,MATCH("D17-DOC-PEP-001.CASE_STUDIES.EVIDENCIA",'01_Formulario_A12'!$A:$A,0))="","— (a preencher em 01_Formulario_A12)",INDEX('01_Formulario_A12'!$D:$D,MATCH("D17-DOC-PEP-001.CASE_STUDIES.EVIDENCIA",'01_Formulario_A12'!$A:$A,0))),"— (a preencher em 01_Formulario_A12)")</f>
        <v/>
      </c>
    </row>
    <row r="1123">
      <c r="A1123" s="13" t="inlineStr">
        <is>
          <t>D17-DOC-PEP-001.CREDENTIALS.FORMACAO</t>
        </is>
      </c>
      <c r="B1123" s="2" t="inlineStr">
        <is>
          <t>formacao</t>
        </is>
      </c>
      <c r="C1123" s="14">
        <f>IFERROR(IF(INDEX('01_Formulario_A12'!$D:$D,MATCH("D17-DOC-PEP-001.CREDENTIALS.FORMACAO",'01_Formulario_A12'!$A:$A,0))="","— (a preencher em 01_Formulario_A12)",INDEX('01_Formulario_A12'!$D:$D,MATCH("D17-DOC-PEP-001.CREDENTIALS.FORMACAO",'01_Formulario_A12'!$A:$A,0))),"— (a preencher em 01_Formulario_A12)")</f>
        <v/>
      </c>
    </row>
    <row r="1124">
      <c r="A1124" s="13" t="inlineStr">
        <is>
          <t>D17-DOC-PEP-001.CREDENTIALS.CERTIFICACAO</t>
        </is>
      </c>
      <c r="B1124" s="2" t="inlineStr">
        <is>
          <t>certificacao</t>
        </is>
      </c>
      <c r="C1124" s="14">
        <f>IFERROR(IF(INDEX('01_Formulario_A12'!$D:$D,MATCH("D17-DOC-PEP-001.CREDENTIALS.CERTIFICACAO",'01_Formulario_A12'!$A:$A,0))="","— (a preencher em 01_Formulario_A12)",INDEX('01_Formulario_A12'!$D:$D,MATCH("D17-DOC-PEP-001.CREDENTIALS.CERTIFICACAO",'01_Formulario_A12'!$A:$A,0))),"— (a preencher em 01_Formulario_A12)")</f>
        <v/>
      </c>
    </row>
    <row r="1125">
      <c r="A1125" s="13" t="inlineStr">
        <is>
          <t>D17-DOC-PEP-001.ASSETS.CURRICULO</t>
        </is>
      </c>
      <c r="B1125" s="2" t="inlineStr">
        <is>
          <t>curriculo</t>
        </is>
      </c>
      <c r="C1125" s="14">
        <f>IFERROR(IF(INDEX('01_Formulario_A12'!$D:$D,MATCH("D17-DOC-PEP-001.ASSETS.CURRICULO",'01_Formulario_A12'!$A:$A,0))="","— (a preencher em 01_Formulario_A12)",INDEX('01_Formulario_A12'!$D:$D,MATCH("D17-DOC-PEP-001.ASSETS.CURRICULO",'01_Formulario_A12'!$A:$A,0))),"— (a preencher em 01_Formulario_A12)")</f>
        <v/>
      </c>
    </row>
    <row r="1126">
      <c r="A1126" s="13" t="inlineStr">
        <is>
          <t>D17-DOC-PEP-001.ASSETS.LINKEDIN</t>
        </is>
      </c>
      <c r="B1126" s="2" t="inlineStr">
        <is>
          <t>linkedin</t>
        </is>
      </c>
      <c r="C1126" s="14">
        <f>IFERROR(IF(INDEX('01_Formulario_A12'!$D:$D,MATCH("D17-DOC-PEP-001.ASSETS.LINKEDIN",'01_Formulario_A12'!$A:$A,0))="","— (a preencher em 01_Formulario_A12)",INDEX('01_Formulario_A12'!$D:$D,MATCH("D17-DOC-PEP-001.ASSETS.LINKEDIN",'01_Formulario_A12'!$A:$A,0))),"— (a preencher em 01_Formulario_A12)")</f>
        <v/>
      </c>
    </row>
    <row r="1127">
      <c r="A1127" s="13" t="inlineStr">
        <is>
          <t>D17-DOC-PEP-001.ASSETS.SITE</t>
        </is>
      </c>
      <c r="B1127" s="2" t="inlineStr">
        <is>
          <t>site</t>
        </is>
      </c>
      <c r="C1127" s="14">
        <f>IFERROR(IF(INDEX('01_Formulario_A12'!$D:$D,MATCH("D17-DOC-PEP-001.ASSETS.SITE",'01_Formulario_A12'!$A:$A,0))="","— (a preencher em 01_Formulario_A12)",INDEX('01_Formulario_A12'!$D:$D,MATCH("D17-DOC-PEP-001.ASSETS.SITE",'01_Formulario_A12'!$A:$A,0))),"— (a preencher em 01_Formulario_A12)")</f>
        <v/>
      </c>
    </row>
    <row r="1128">
      <c r="A1128" s="13" t="inlineStr">
        <is>
          <t>D17-DOC-PEP-001.ASSETS.PORTFOLIO</t>
        </is>
      </c>
      <c r="B1128" s="2" t="inlineStr">
        <is>
          <t>portfolio</t>
        </is>
      </c>
      <c r="C1128" s="14">
        <f>IFERROR(IF(INDEX('01_Formulario_A12'!$D:$D,MATCH("D17-DOC-PEP-001.ASSETS.PORTFOLIO",'01_Formulario_A12'!$A:$A,0))="","— (a preencher em 01_Formulario_A12)",INDEX('01_Formulario_A12'!$D:$D,MATCH("D17-DOC-PEP-001.ASSETS.PORTFOLIO",'01_Formulario_A12'!$A:$A,0))),"— (a preencher em 01_Formulario_A12)")</f>
        <v/>
      </c>
    </row>
    <row r="1129">
      <c r="A1129" s="13" t="inlineStr">
        <is>
          <t>D17-DOC-PEP-001.APPLICATIONS.OPORTUNIDADE</t>
        </is>
      </c>
      <c r="B1129" s="2" t="inlineStr">
        <is>
          <t>oportunidade</t>
        </is>
      </c>
      <c r="C1129" s="14">
        <f>IFERROR(IF(INDEX('01_Formulario_A12'!$D:$D,MATCH("D17-DOC-PEP-001.APPLICATIONS.OPORTUNIDADE",'01_Formulario_A12'!$A:$A,0))="","— (a preencher em 01_Formulario_A12)",INDEX('01_Formulario_A12'!$D:$D,MATCH("D17-DOC-PEP-001.APPLICATIONS.OPORTUNIDADE",'01_Formulario_A12'!$A:$A,0))),"— (a preencher em 01_Formulario_A12)")</f>
        <v/>
      </c>
    </row>
    <row r="1130">
      <c r="A1130" s="13" t="inlineStr">
        <is>
          <t>D17-DOC-PEP-001.APPLICATIONS.STATUS</t>
        </is>
      </c>
      <c r="B1130" s="2" t="inlineStr">
        <is>
          <t>status</t>
        </is>
      </c>
      <c r="C1130" s="14">
        <f>IFERROR(IF(INDEX('01_Formulario_A12'!$D:$D,MATCH("D17-DOC-PEP-001.APPLICATIONS.STATUS",'01_Formulario_A12'!$A:$A,0))="","— (a preencher em 01_Formulario_A12)",INDEX('01_Formulario_A12'!$D:$D,MATCH("D17-DOC-PEP-001.APPLICATIONS.STATUS",'01_Formulario_A12'!$A:$A,0))),"— (a preencher em 01_Formulario_A12)")</f>
        <v/>
      </c>
    </row>
    <row r="1131">
      <c r="A1131" s="13" t="inlineStr">
        <is>
          <t>D17-DOC-PEP-001.OUTREACH.CONTATO</t>
        </is>
      </c>
      <c r="B1131" s="2" t="inlineStr">
        <is>
          <t>contato</t>
        </is>
      </c>
      <c r="C1131" s="14">
        <f>IFERROR(IF(INDEX('01_Formulario_A12'!$D:$D,MATCH("D17-DOC-PEP-001.OUTREACH.CONTATO",'01_Formulario_A12'!$A:$A,0))="","— (a preencher em 01_Formulario_A12)",INDEX('01_Formulario_A12'!$D:$D,MATCH("D17-DOC-PEP-001.OUTREACH.CONTATO",'01_Formulario_A12'!$A:$A,0))),"— (a preencher em 01_Formulario_A12)")</f>
        <v/>
      </c>
    </row>
    <row r="1132">
      <c r="A1132" s="13" t="inlineStr">
        <is>
          <t>D17-DOC-PEP-001.OUTREACH.CANAL</t>
        </is>
      </c>
      <c r="B1132" s="2" t="inlineStr">
        <is>
          <t>canal</t>
        </is>
      </c>
      <c r="C1132" s="14">
        <f>IFERROR(IF(INDEX('01_Formulario_A12'!$D:$D,MATCH("D17-DOC-PEP-001.OUTREACH.CANAL",'01_Formulario_A12'!$A:$A,0))="","— (a preencher em 01_Formulario_A12)",INDEX('01_Formulario_A12'!$D:$D,MATCH("D17-DOC-PEP-001.OUTREACH.CANAL",'01_Formulario_A12'!$A:$A,0))),"— (a preencher em 01_Formulario_A12)")</f>
        <v/>
      </c>
    </row>
    <row r="1133">
      <c r="A1133" s="13" t="inlineStr">
        <is>
          <t>D17-DOC-PEP-001.OUTREACH.PROXIMA_ACAO</t>
        </is>
      </c>
      <c r="B1133" s="2" t="inlineStr">
        <is>
          <t>proxima_acao</t>
        </is>
      </c>
      <c r="C1133" s="14">
        <f>IFERROR(IF(INDEX('01_Formulario_A12'!$D:$D,MATCH("D17-DOC-PEP-001.OUTREACH.PROXIMA_ACAO",'01_Formulario_A12'!$A:$A,0))="","— (a preencher em 01_Formulario_A12)",INDEX('01_Formulario_A12'!$D:$D,MATCH("D17-DOC-PEP-001.OUTREACH.PROXIMA_ACAO",'01_Formulario_A12'!$A:$A,0))),"— (a preencher em 01_Formulario_A12)")</f>
        <v/>
      </c>
    </row>
    <row r="1134">
      <c r="A1134" s="13" t="inlineStr">
        <is>
          <t>D17-DOC-PEP-001.INTERVIEWS.EMPRESA</t>
        </is>
      </c>
      <c r="B1134" s="2" t="inlineStr">
        <is>
          <t>empresa</t>
        </is>
      </c>
      <c r="C1134" s="14">
        <f>IFERROR(IF(INDEX('01_Formulario_A12'!$D:$D,MATCH("D17-DOC-PEP-001.INTERVIEWS.EMPRESA",'01_Formulario_A12'!$A:$A,0))="","— (a preencher em 01_Formulario_A12)",INDEX('01_Formulario_A12'!$D:$D,MATCH("D17-DOC-PEP-001.INTERVIEWS.EMPRESA",'01_Formulario_A12'!$A:$A,0))),"— (a preencher em 01_Formulario_A12)")</f>
        <v/>
      </c>
    </row>
    <row r="1135">
      <c r="A1135" s="13" t="inlineStr">
        <is>
          <t>D17-DOC-PEP-001.INTERVIEWS.ETAPA</t>
        </is>
      </c>
      <c r="B1135" s="2" t="inlineStr">
        <is>
          <t>etapa</t>
        </is>
      </c>
      <c r="C1135" s="14">
        <f>IFERROR(IF(INDEX('01_Formulario_A12'!$D:$D,MATCH("D17-DOC-PEP-001.INTERVIEWS.ETAPA",'01_Formulario_A12'!$A:$A,0))="","— (a preencher em 01_Formulario_A12)",INDEX('01_Formulario_A12'!$D:$D,MATCH("D17-DOC-PEP-001.INTERVIEWS.ETAPA",'01_Formulario_A12'!$A:$A,0))),"— (a preencher em 01_Formulario_A12)")</f>
        <v/>
      </c>
    </row>
    <row r="1136">
      <c r="A1136" s="13" t="inlineStr">
        <is>
          <t>D17-DOC-PEP-001.INTERVIEWS.PREPARACAO</t>
        </is>
      </c>
      <c r="B1136" s="2" t="inlineStr">
        <is>
          <t>preparacao</t>
        </is>
      </c>
      <c r="C1136" s="14">
        <f>IFERROR(IF(INDEX('01_Formulario_A12'!$D:$D,MATCH("D17-DOC-PEP-001.INTERVIEWS.PREPARACAO",'01_Formulario_A12'!$A:$A,0))="","— (a preencher em 01_Formulario_A12)",INDEX('01_Formulario_A12'!$D:$D,MATCH("D17-DOC-PEP-001.INTERVIEWS.PREPARACAO",'01_Formulario_A12'!$A:$A,0))),"— (a preencher em 01_Formulario_A12)")</f>
        <v/>
      </c>
    </row>
    <row r="1137">
      <c r="A1137" s="13" t="inlineStr">
        <is>
          <t>D17-DOC-PEP-001.ROADMAP.MARCOS</t>
        </is>
      </c>
      <c r="B1137" s="2" t="inlineStr">
        <is>
          <t>marcos</t>
        </is>
      </c>
      <c r="C1137" s="14">
        <f>IFERROR(IF(INDEX('01_Formulario_A12'!$D:$D,MATCH("D17-DOC-PEP-001.ROADMAP.MARCOS",'01_Formulario_A12'!$A:$A,0))="","— (a preencher em 01_Formulario_A12)",INDEX('01_Formulario_A12'!$D:$D,MATCH("D17-DOC-PEP-001.ROADMAP.MARCOS",'01_Formulario_A12'!$A:$A,0))),"— (a preencher em 01_Formulario_A12)")</f>
        <v/>
      </c>
    </row>
    <row r="1138">
      <c r="A1138" s="13" t="inlineStr">
        <is>
          <t>D17-DOC-PEP-001.ROADMAP.DATAS</t>
        </is>
      </c>
      <c r="B1138" s="2" t="inlineStr">
        <is>
          <t>datas</t>
        </is>
      </c>
      <c r="C1138" s="14">
        <f>IFERROR(IF(INDEX('01_Formulario_A12'!$D:$D,MATCH("D17-DOC-PEP-001.ROADMAP.DATAS",'01_Formulario_A12'!$A:$A,0))="","— (a preencher em 01_Formulario_A12)",INDEX('01_Formulario_A12'!$D:$D,MATCH("D17-DOC-PEP-001.ROADMAP.DATAS",'01_Formulario_A12'!$A:$A,0))),"— (a preencher em 01_Formulario_A12)")</f>
        <v/>
      </c>
    </row>
    <row r="1139">
      <c r="A1139" s="13" t="inlineStr">
        <is>
          <t>D17-DOC-PEP-001.METRICS.APLICACOES</t>
        </is>
      </c>
      <c r="B1139" s="2" t="inlineStr">
        <is>
          <t>aplicacoes</t>
        </is>
      </c>
      <c r="C1139" s="14">
        <f>IFERROR(IF(INDEX('01_Formulario_A12'!$D:$D,MATCH("D17-DOC-PEP-001.METRICS.APLICACOES",'01_Formulario_A12'!$A:$A,0))="","— (a preencher em 01_Formulario_A12)",INDEX('01_Formulario_A12'!$D:$D,MATCH("D17-DOC-PEP-001.METRICS.APLICACOES",'01_Formulario_A12'!$A:$A,0))),"— (a preencher em 01_Formulario_A12)")</f>
        <v/>
      </c>
    </row>
    <row r="1140">
      <c r="A1140" s="13" t="inlineStr">
        <is>
          <t>D17-DOC-PEP-001.METRICS.ENTREVISTAS</t>
        </is>
      </c>
      <c r="B1140" s="2" t="inlineStr">
        <is>
          <t>entrevistas</t>
        </is>
      </c>
      <c r="C1140" s="14">
        <f>IFERROR(IF(INDEX('01_Formulario_A12'!$D:$D,MATCH("D17-DOC-PEP-001.METRICS.ENTREVISTAS",'01_Formulario_A12'!$A:$A,0))="","— (a preencher em 01_Formulario_A12)",INDEX('01_Formulario_A12'!$D:$D,MATCH("D17-DOC-PEP-001.METRICS.ENTREVISTAS",'01_Formulario_A12'!$A:$A,0))),"— (a preencher em 01_Formulario_A12)")</f>
        <v/>
      </c>
    </row>
    <row r="1141">
      <c r="A1141" s="13" t="inlineStr">
        <is>
          <t>D17-DOC-PEP-001.METRICS.CONVERSAO</t>
        </is>
      </c>
      <c r="B1141" s="2" t="inlineStr">
        <is>
          <t>conversao</t>
        </is>
      </c>
      <c r="C1141" s="14">
        <f>IFERROR(IF(INDEX('01_Formulario_A12'!$D:$D,MATCH("D17-DOC-PEP-001.METRICS.CONVERSAO",'01_Formulario_A12'!$A:$A,0))="","— (a preencher em 01_Formulario_A12)",INDEX('01_Formulario_A12'!$D:$D,MATCH("D17-DOC-PEP-001.METRICS.CONVERSAO",'01_Formulario_A12'!$A:$A,0))),"— (a preencher em 01_Formulario_A12)")</f>
        <v/>
      </c>
    </row>
  </sheetData>
  <mergeCells count="13">
    <mergeCell ref="A1025:C1025"/>
    <mergeCell ref="A931:C931"/>
    <mergeCell ref="A607:C607"/>
    <mergeCell ref="A651:C651"/>
    <mergeCell ref="A558:C558"/>
    <mergeCell ref="A557:C557"/>
    <mergeCell ref="A834:C834"/>
    <mergeCell ref="A312:C312"/>
    <mergeCell ref="A443:C443"/>
    <mergeCell ref="A794:C794"/>
    <mergeCell ref="A1102:C1102"/>
    <mergeCell ref="A4:C4"/>
    <mergeCell ref="A871:C87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5" t="inlineStr">
        <is>
          <t>portfolio_id</t>
        </is>
      </c>
      <c r="B1" s="15" t="inlineStr">
        <is>
          <t>name</t>
        </is>
      </c>
      <c r="C1" s="15" t="inlineStr">
        <is>
          <t>type</t>
        </is>
      </c>
      <c r="D1" s="15" t="inlineStr">
        <is>
          <t>status</t>
        </is>
      </c>
      <c r="E1" s="15" t="inlineStr">
        <is>
          <t>owner</t>
        </is>
      </c>
    </row>
    <row r="2">
      <c r="A2" s="13" t="inlineStr">
        <is>
          <t>S0</t>
        </is>
      </c>
      <c r="B2" s="2" t="inlineStr">
        <is>
          <t>Executar programa governança e operações.</t>
        </is>
      </c>
      <c r="C2" s="2" t="inlineStr">
        <is>
          <t>PROGRAM_OPS</t>
        </is>
      </c>
      <c r="D2" s="2" t="inlineStr">
        <is>
          <t>ACTIVE</t>
        </is>
      </c>
      <c r="E2" s="2" t="inlineStr">
        <is>
          <t>A_DEFINIR</t>
        </is>
      </c>
    </row>
    <row r="3">
      <c r="A3" s="13" t="inlineStr">
        <is>
          <t>M0</t>
        </is>
      </c>
      <c r="B3" s="2" t="inlineStr">
        <is>
          <t>Executar Institucional</t>
        </is>
      </c>
      <c r="C3" s="2" t="inlineStr">
        <is>
          <t>PRODUCT_INITIATIVE</t>
        </is>
      </c>
      <c r="D3" s="2" t="inlineStr">
        <is>
          <t>ACTIVE</t>
        </is>
      </c>
      <c r="E3" s="2" t="inlineStr">
        <is>
          <t>A_DEFINIR</t>
        </is>
      </c>
    </row>
    <row r="4">
      <c r="A4" s="13" t="inlineStr">
        <is>
          <t>M1</t>
        </is>
      </c>
      <c r="B4" s="2" t="inlineStr">
        <is>
          <t>Executar App</t>
        </is>
      </c>
      <c r="C4" s="2" t="inlineStr">
        <is>
          <t>PRODUCT_INITIATIVE</t>
        </is>
      </c>
      <c r="D4" s="2" t="inlineStr">
        <is>
          <t>ACTIVE</t>
        </is>
      </c>
      <c r="E4" s="2" t="inlineStr">
        <is>
          <t>A_DEFINIR</t>
        </is>
      </c>
    </row>
    <row r="5">
      <c r="A5" s="13" t="inlineStr">
        <is>
          <t>M2</t>
        </is>
      </c>
      <c r="B5" s="2" t="inlineStr">
        <is>
          <t>Executar Blog</t>
        </is>
      </c>
      <c r="C5" s="2" t="inlineStr">
        <is>
          <t>PRODUCT_INITIATIVE</t>
        </is>
      </c>
      <c r="D5" s="2" t="inlineStr">
        <is>
          <t>ACTIVE</t>
        </is>
      </c>
      <c r="E5" s="2" t="inlineStr">
        <is>
          <t>A_DEFINIR</t>
        </is>
      </c>
    </row>
    <row r="6">
      <c r="A6" s="13" t="inlineStr">
        <is>
          <t>M2.1</t>
        </is>
      </c>
      <c r="B6" s="2" t="inlineStr">
        <is>
          <t>Risco cognitivo Blog</t>
        </is>
      </c>
      <c r="C6" s="2" t="inlineStr">
        <is>
          <t>PRODUCT_INITIATIVE</t>
        </is>
      </c>
      <c r="D6" s="2" t="inlineStr">
        <is>
          <t>ACTIVE</t>
        </is>
      </c>
      <c r="E6" s="2" t="inlineStr">
        <is>
          <t>A_DEFINIR</t>
        </is>
      </c>
    </row>
    <row r="7">
      <c r="A7" s="13" t="inlineStr">
        <is>
          <t>M3</t>
        </is>
      </c>
      <c r="B7" s="2" t="inlineStr">
        <is>
          <t>Executar Oficina</t>
        </is>
      </c>
      <c r="C7" s="2" t="inlineStr">
        <is>
          <t>PRODUCT_INITIATIVE</t>
        </is>
      </c>
      <c r="D7" s="2" t="inlineStr">
        <is>
          <t>ACTIVE</t>
        </is>
      </c>
      <c r="E7" s="2" t="inlineStr">
        <is>
          <t>A_DEFINIR</t>
        </is>
      </c>
    </row>
    <row r="8">
      <c r="A8" s="13" t="inlineStr">
        <is>
          <t>M4</t>
        </is>
      </c>
      <c r="B8" s="2" t="inlineStr">
        <is>
          <t>Executar Mapa Cognitivo</t>
        </is>
      </c>
      <c r="C8" s="2" t="inlineStr">
        <is>
          <t>PRODUCT_INITIATIVE</t>
        </is>
      </c>
      <c r="D8" s="2" t="inlineStr">
        <is>
          <t>ACTIVE</t>
        </is>
      </c>
      <c r="E8" s="2" t="inlineStr">
        <is>
          <t>A_DEFINIR</t>
        </is>
      </c>
    </row>
    <row r="9">
      <c r="A9" s="13" t="inlineStr">
        <is>
          <t>M5</t>
        </is>
      </c>
      <c r="B9" s="2" t="inlineStr">
        <is>
          <t>Executar Agente Copiloto</t>
        </is>
      </c>
      <c r="C9" s="2" t="inlineStr">
        <is>
          <t>PRODUCT_INITIATIVE</t>
        </is>
      </c>
      <c r="D9" s="2" t="inlineStr">
        <is>
          <t>ACTIVE</t>
        </is>
      </c>
      <c r="E9" s="2" t="inlineStr">
        <is>
          <t>A_DEFINIR</t>
        </is>
      </c>
    </row>
    <row r="10">
      <c r="A10" s="13" t="inlineStr">
        <is>
          <t>M6</t>
        </is>
      </c>
      <c r="B10" s="2" t="inlineStr">
        <is>
          <t>Executar Agente Maestro</t>
        </is>
      </c>
      <c r="C10" s="2" t="inlineStr">
        <is>
          <t>PRODUCT_INITIATIVE</t>
        </is>
      </c>
      <c r="D10" s="2" t="inlineStr">
        <is>
          <t>ACTIVE</t>
        </is>
      </c>
      <c r="E10" s="2" t="inlineStr">
        <is>
          <t>A_DEFINIR</t>
        </is>
      </c>
    </row>
    <row r="11">
      <c r="A11" s="13" t="inlineStr">
        <is>
          <t>M7</t>
        </is>
      </c>
      <c r="B11" s="2" t="inlineStr">
        <is>
          <t>Executar Agente Vera</t>
        </is>
      </c>
      <c r="C11" s="2" t="inlineStr">
        <is>
          <t>PRODUCT_INITIATIVE</t>
        </is>
      </c>
      <c r="D11" s="2" t="inlineStr">
        <is>
          <t>ACTIVE</t>
        </is>
      </c>
      <c r="E11" s="2" t="inlineStr">
        <is>
          <t>A_DEFINIR</t>
        </is>
      </c>
    </row>
    <row r="12">
      <c r="A12" s="13" t="inlineStr">
        <is>
          <t>M7.1</t>
        </is>
      </c>
      <c r="B12" s="2" t="inlineStr">
        <is>
          <t>Executar emprego e portfólio</t>
        </is>
      </c>
      <c r="C12" s="2" t="inlineStr">
        <is>
          <t>PRODUCT_INITIATIVE</t>
        </is>
      </c>
      <c r="D12" s="2" t="inlineStr">
        <is>
          <t>ACTIVE</t>
        </is>
      </c>
      <c r="E12" s="2" t="inlineStr">
        <is>
          <t>A_DEFINIR</t>
        </is>
      </c>
    </row>
    <row r="13">
      <c r="A13" s="13" t="inlineStr">
        <is>
          <t>M8</t>
        </is>
      </c>
      <c r="B13" s="2" t="inlineStr">
        <is>
          <t>Executar Consultoria / Studio</t>
        </is>
      </c>
      <c r="C13" s="2" t="inlineStr">
        <is>
          <t>PRODUCT_INITIATIVE</t>
        </is>
      </c>
      <c r="D13" s="2" t="inlineStr">
        <is>
          <t>ACTIVE</t>
        </is>
      </c>
      <c r="E13" s="2" t="inlineStr">
        <is>
          <t>A_DEFINIR</t>
        </is>
      </c>
    </row>
    <row r="14">
      <c r="A14" s="13" t="inlineStr">
        <is>
          <t>M9</t>
        </is>
      </c>
      <c r="B14" s="2" t="inlineStr">
        <is>
          <t>Executar Marketplace digital</t>
        </is>
      </c>
      <c r="C14" s="2" t="inlineStr">
        <is>
          <t>PRODUCT_INITIATIVE</t>
        </is>
      </c>
      <c r="D14" s="2" t="inlineStr">
        <is>
          <t>ACTIVE</t>
        </is>
      </c>
      <c r="E14" s="2" t="inlineStr">
        <is>
          <t>A_DEFINIR</t>
        </is>
      </c>
    </row>
    <row r="15">
      <c r="A15" s="13" t="inlineStr">
        <is>
          <t>M10</t>
        </is>
      </c>
      <c r="B15" s="2" t="inlineStr">
        <is>
          <t>Executar Marketplace produtos físicos</t>
        </is>
      </c>
      <c r="C15" s="2" t="inlineStr">
        <is>
          <t>PRODUCT_INITIATIVE</t>
        </is>
      </c>
      <c r="D15" s="2" t="inlineStr">
        <is>
          <t>ACTIVE</t>
        </is>
      </c>
      <c r="E15" s="2" t="inlineStr">
        <is>
          <t>A_DEFINIR</t>
        </is>
      </c>
    </row>
    <row r="16">
      <c r="A16" s="13" t="inlineStr">
        <is>
          <t>M11</t>
        </is>
      </c>
      <c r="B16" s="2" t="inlineStr">
        <is>
          <t>Executar Comunidade</t>
        </is>
      </c>
      <c r="C16" s="2" t="inlineStr">
        <is>
          <t>PRODUCT_INITIATIVE</t>
        </is>
      </c>
      <c r="D16" s="2" t="inlineStr">
        <is>
          <t>ACTIVE</t>
        </is>
      </c>
      <c r="E16" s="2" t="inlineStr">
        <is>
          <t>A_DEFINIR</t>
        </is>
      </c>
    </row>
    <row r="17">
      <c r="A17" s="13" t="inlineStr">
        <is>
          <t>M12</t>
        </is>
      </c>
      <c r="B17" s="2" t="inlineStr">
        <is>
          <t>Executar ONG</t>
        </is>
      </c>
      <c r="C17" s="2" t="inlineStr">
        <is>
          <t>PRODUCT_INITIATIVE</t>
        </is>
      </c>
      <c r="D17" s="2" t="inlineStr">
        <is>
          <t>ACTIVE</t>
        </is>
      </c>
      <c r="E17" s="2" t="inlineStr">
        <is>
          <t>A_DEFINIR</t>
        </is>
      </c>
    </row>
    <row r="18">
      <c r="A18" s="13" t="inlineStr">
        <is>
          <t>M13</t>
        </is>
      </c>
      <c r="B18" s="2" t="inlineStr">
        <is>
          <t>Executar Afiliados</t>
        </is>
      </c>
      <c r="C18" s="2" t="inlineStr">
        <is>
          <t>PRODUCT_INITIATIVE</t>
        </is>
      </c>
      <c r="D18" s="2" t="inlineStr">
        <is>
          <t>ACTIVE</t>
        </is>
      </c>
      <c r="E18" s="2" t="inlineStr">
        <is>
          <t>A_DEFINIR</t>
        </is>
      </c>
    </row>
    <row r="19">
      <c r="A19" s="13" t="inlineStr">
        <is>
          <t>M14</t>
        </is>
      </c>
      <c r="B19" s="2" t="inlineStr">
        <is>
          <t>Executar Parcerias</t>
        </is>
      </c>
      <c r="C19" s="2" t="inlineStr">
        <is>
          <t>PRODUCT_INITIATIVE</t>
        </is>
      </c>
      <c r="D19" s="2" t="inlineStr">
        <is>
          <t>ACTIVE</t>
        </is>
      </c>
      <c r="E19" s="2" t="inlineStr">
        <is>
          <t>A_DEFINIR</t>
        </is>
      </c>
    </row>
    <row r="20">
      <c r="A20" s="13" t="inlineStr">
        <is>
          <t>M15</t>
        </is>
      </c>
      <c r="B20" s="2" t="inlineStr">
        <is>
          <t>Schola AI Blog e consultoria</t>
        </is>
      </c>
      <c r="C20" s="2" t="inlineStr">
        <is>
          <t>PRODUCT_INITIATIVE</t>
        </is>
      </c>
      <c r="D20" s="2" t="inlineStr">
        <is>
          <t>ACTIVE</t>
        </is>
      </c>
      <c r="E20" s="2" t="inlineStr">
        <is>
          <t>A_DEFINIR</t>
        </is>
      </c>
    </row>
    <row r="21">
      <c r="A21" s="13" t="inlineStr">
        <is>
          <t>M16</t>
        </is>
      </c>
      <c r="B21" s="2" t="inlineStr">
        <is>
          <t>Executar lead business creator strategy launch</t>
        </is>
      </c>
      <c r="C21" s="2" t="inlineStr">
        <is>
          <t>PRODUCT_INITIATIVE</t>
        </is>
      </c>
      <c r="D21" s="2" t="inlineStr">
        <is>
          <t>ACTIVE</t>
        </is>
      </c>
      <c r="E21" s="2" t="inlineStr">
        <is>
          <t>A_DEFINIR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2:C1165"/>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50" customWidth="1" min="3" max="3"/>
  </cols>
  <sheetData>
    <row r="2">
      <c r="B2" s="3" t="inlineStr">
        <is>
          <t>Visão Artefatos — espelho narrativo (não editar; ver 01_Formulario_*)</t>
        </is>
      </c>
    </row>
    <row r="4">
      <c r="A4" s="5" t="inlineStr">
        <is>
          <t>D01-DOC-DDE-001 — Documento de Direção Empresarial [PRE_PREENCHIDO/PENDENTE]</t>
        </is>
      </c>
      <c r="B4" s="6" t="n"/>
      <c r="C4" s="7" t="n"/>
    </row>
    <row r="5">
      <c r="A5" s="13" t="inlineStr">
        <is>
          <t>D01-DOC-DDE-001.IDENTITY.NOME_DO_ECOSSISTEMA</t>
        </is>
      </c>
      <c r="B5" s="2" t="inlineStr">
        <is>
          <t>nome_do_ecossistema</t>
        </is>
      </c>
      <c r="C5" s="14">
        <f>IFERROR(IF(INDEX('01_Formulario_A00'!$D:$D,MATCH("D01-DOC-DDE-001.IDENTITY.NOME_DO_ECOSSISTEMA",'01_Formulario_A00'!$A:$A,0))="","— (a preencher em 01_Formulario_A00)",INDEX('01_Formulario_A00'!$D:$D,MATCH("D01-DOC-DDE-001.IDENTITY.NOME_DO_ECOSSISTEMA",'01_Formulario_A00'!$A:$A,0))),"— (a preencher em 01_Formulario_A00)")</f>
        <v/>
      </c>
    </row>
    <row r="6">
      <c r="A6" s="13" t="inlineStr">
        <is>
          <t>D01-DOC-DDE-001.IDENTITY.DESCRICAO_EXECUTIVA</t>
        </is>
      </c>
      <c r="B6" s="2" t="inlineStr">
        <is>
          <t>descricao_executiva</t>
        </is>
      </c>
      <c r="C6" s="14">
        <f>IFERROR(IF(INDEX('01_Formulario_A00'!$D:$D,MATCH("D01-DOC-DDE-001.IDENTITY.DESCRICAO_EXECUTIVA",'01_Formulario_A00'!$A:$A,0))="","— (a preencher em 01_Formulario_A00)",INDEX('01_Formulario_A00'!$D:$D,MATCH("D01-DOC-DDE-001.IDENTITY.DESCRICAO_EXECUTIVA",'01_Formulario_A00'!$A:$A,0))),"— (a preencher em 01_Formulario_A00)")</f>
        <v/>
      </c>
    </row>
    <row r="7">
      <c r="A7" s="13" t="inlineStr">
        <is>
          <t>D01-DOC-DDE-001.IDENTITY.CONTEXTO</t>
        </is>
      </c>
      <c r="B7" s="2" t="inlineStr">
        <is>
          <t>contexto</t>
        </is>
      </c>
      <c r="C7" s="14">
        <f>IFERROR(IF(INDEX('01_Formulario_A00'!$D:$D,MATCH("D01-DOC-DDE-001.IDENTITY.CONTEXTO",'01_Formulario_A00'!$A:$A,0))="","— (a preencher em 01_Formulario_A00)",INDEX('01_Formulario_A00'!$D:$D,MATCH("D01-DOC-DDE-001.IDENTITY.CONTEXTO",'01_Formulario_A00'!$A:$A,0))),"— (a preencher em 01_Formulario_A00)")</f>
        <v/>
      </c>
    </row>
    <row r="8">
      <c r="A8" s="13" t="inlineStr">
        <is>
          <t>D01-DOC-DDE-001.IDENTITY.RAZAO_DE_EXISTENCIA</t>
        </is>
      </c>
      <c r="B8" s="2" t="inlineStr">
        <is>
          <t>razao_de_existencia</t>
        </is>
      </c>
      <c r="C8" s="14">
        <f>IFERROR(IF(INDEX('01_Formulario_A00'!$D:$D,MATCH("D01-DOC-DDE-001.IDENTITY.RAZAO_DE_EXISTENCIA",'01_Formulario_A00'!$A:$A,0))="","— (a preencher em 01_Formulario_A00)",INDEX('01_Formulario_A00'!$D:$D,MATCH("D01-DOC-DDE-001.IDENTITY.RAZAO_DE_EXISTENCIA",'01_Formulario_A00'!$A:$A,0))),"— (a preencher em 01_Formulario_A00)")</f>
        <v/>
      </c>
    </row>
    <row r="9">
      <c r="A9" s="13" t="inlineStr">
        <is>
          <t>D01-DOC-DDE-001.IDENTITY.FASE_ATUAL</t>
        </is>
      </c>
      <c r="B9" s="2" t="inlineStr">
        <is>
          <t>fase_atual</t>
        </is>
      </c>
      <c r="C9" s="14">
        <f>IFERROR(IF(INDEX('01_Formulario_A00'!$D:$D,MATCH("D01-DOC-DDE-001.IDENTITY.FASE_ATUAL",'01_Formulario_A00'!$A:$A,0))="","— (a preencher em 01_Formulario_A00)",INDEX('01_Formulario_A00'!$D:$D,MATCH("D01-DOC-DDE-001.IDENTITY.FASE_ATUAL",'01_Formulario_A00'!$A:$A,0))),"— (a preencher em 01_Formulario_A00)")</f>
        <v/>
      </c>
    </row>
    <row r="10">
      <c r="A10" s="13" t="inlineStr">
        <is>
          <t>D01-DOC-DDE-001.PROBLEM_AND_OPPORTUNITY.PROBLEMA_CENTRAL</t>
        </is>
      </c>
      <c r="B10" s="2" t="inlineStr">
        <is>
          <t>problema_central</t>
        </is>
      </c>
      <c r="C10" s="14">
        <f>IFERROR(IF(INDEX('01_Formulario_A00'!$D:$D,MATCH("D01-DOC-DDE-001.PROBLEM_AND_OPPORTUNITY.PROBLEMA_CENTRAL",'01_Formulario_A00'!$A:$A,0))="","— (a preencher em 01_Formulario_A00)",INDEX('01_Formulario_A00'!$D:$D,MATCH("D01-DOC-DDE-001.PROBLEM_AND_OPPORTUNITY.PROBLEMA_CENTRAL",'01_Formulario_A00'!$A:$A,0))),"— (a preencher em 01_Formulario_A00)")</f>
        <v/>
      </c>
    </row>
    <row r="11">
      <c r="A11" s="13" t="inlineStr">
        <is>
          <t>D01-DOC-DDE-001.PROBLEM_AND_OPPORTUNITY.PROBLEMAS_SECUNDARIOS</t>
        </is>
      </c>
      <c r="B11" s="2" t="inlineStr">
        <is>
          <t>problemas_secundarios</t>
        </is>
      </c>
      <c r="C11" s="14">
        <f>IFERROR(IF(INDEX('01_Formulario_A00'!$D:$D,MATCH("D01-DOC-DDE-001.PROBLEM_AND_OPPORTUNITY.PROBLEMAS_SECUNDARIOS",'01_Formulario_A00'!$A:$A,0))="","— (a preencher em 01_Formulario_A00)",INDEX('01_Formulario_A00'!$D:$D,MATCH("D01-DOC-DDE-001.PROBLEM_AND_OPPORTUNITY.PROBLEMAS_SECUNDARIOS",'01_Formulario_A00'!$A:$A,0))),"— (a preencher em 01_Formulario_A00)")</f>
        <v/>
      </c>
    </row>
    <row r="12">
      <c r="A12" s="13" t="inlineStr">
        <is>
          <t>D01-DOC-DDE-001.PROBLEM_AND_OPPORTUNITY.OPORTUNIDADE</t>
        </is>
      </c>
      <c r="B12" s="2" t="inlineStr">
        <is>
          <t>oportunidade</t>
        </is>
      </c>
      <c r="C12" s="14">
        <f>IFERROR(IF(INDEX('01_Formulario_A00'!$D:$D,MATCH("D01-DOC-DDE-001.PROBLEM_AND_OPPORTUNITY.OPORTUNIDADE",'01_Formulario_A00'!$A:$A,0))="","— (a preencher em 01_Formulario_A00)",INDEX('01_Formulario_A00'!$D:$D,MATCH("D01-DOC-DDE-001.PROBLEM_AND_OPPORTUNITY.OPORTUNIDADE",'01_Formulario_A00'!$A:$A,0))),"— (a preencher em 01_Formulario_A00)")</f>
        <v/>
      </c>
    </row>
    <row r="13">
      <c r="A13" s="13" t="inlineStr">
        <is>
          <t>D01-DOC-DDE-001.PROBLEM_AND_OPPORTUNITY.EVIDENCIAS_DO_PROBLEMA</t>
        </is>
      </c>
      <c r="B13" s="2" t="inlineStr">
        <is>
          <t>evidencias_do_problema</t>
        </is>
      </c>
      <c r="C13" s="14">
        <f>IFERROR(IF(INDEX('01_Formulario_A00'!$D:$D,MATCH("D01-DOC-DDE-001.PROBLEM_AND_OPPORTUNITY.EVIDENCIAS_DO_PROBLEMA",'01_Formulario_A00'!$A:$A,0))="","— (a preencher em 01_Formulario_A00)",INDEX('01_Formulario_A00'!$D:$D,MATCH("D01-DOC-DDE-001.PROBLEM_AND_OPPORTUNITY.EVIDENCIAS_DO_PROBLEMA",'01_Formulario_A00'!$A:$A,0))),"— (a preencher em 01_Formulario_A00)")</f>
        <v/>
      </c>
    </row>
    <row r="14">
      <c r="A14" s="13" t="inlineStr">
        <is>
          <t>D01-DOC-DDE-001.PURPOSE.PROPOSITO</t>
        </is>
      </c>
      <c r="B14" s="2" t="inlineStr">
        <is>
          <t>proposito</t>
        </is>
      </c>
      <c r="C14" s="14">
        <f>IFERROR(IF(INDEX('01_Formulario_A00'!$D:$D,MATCH("D01-DOC-DDE-001.PURPOSE.PROPOSITO",'01_Formulario_A00'!$A:$A,0))="","— (a preencher em 01_Formulario_A00)",INDEX('01_Formulario_A00'!$D:$D,MATCH("D01-DOC-DDE-001.PURPOSE.PROPOSITO",'01_Formulario_A00'!$A:$A,0))),"— (a preencher em 01_Formulario_A00)")</f>
        <v/>
      </c>
    </row>
    <row r="15">
      <c r="A15" s="13" t="inlineStr">
        <is>
          <t>D01-DOC-DDE-001.PURPOSE.MISSAO</t>
        </is>
      </c>
      <c r="B15" s="2" t="inlineStr">
        <is>
          <t>missao</t>
        </is>
      </c>
      <c r="C15" s="14">
        <f>IFERROR(IF(INDEX('01_Formulario_A00'!$D:$D,MATCH("D01-DOC-DDE-001.PURPOSE.MISSAO",'01_Formulario_A00'!$A:$A,0))="","— (a preencher em 01_Formulario_A00)",INDEX('01_Formulario_A00'!$D:$D,MATCH("D01-DOC-DDE-001.PURPOSE.MISSAO",'01_Formulario_A00'!$A:$A,0))),"— (a preencher em 01_Formulario_A00)")</f>
        <v/>
      </c>
    </row>
    <row r="16">
      <c r="A16" s="13" t="inlineStr">
        <is>
          <t>D01-DOC-DDE-001.PURPOSE.VISAO</t>
        </is>
      </c>
      <c r="B16" s="2" t="inlineStr">
        <is>
          <t>visao</t>
        </is>
      </c>
      <c r="C16" s="14">
        <f>IFERROR(IF(INDEX('01_Formulario_A00'!$D:$D,MATCH("D01-DOC-DDE-001.PURPOSE.VISAO",'01_Formulario_A00'!$A:$A,0))="","— (a preencher em 01_Formulario_A00)",INDEX('01_Formulario_A00'!$D:$D,MATCH("D01-DOC-DDE-001.PURPOSE.VISAO",'01_Formulario_A00'!$A:$A,0))),"— (a preencher em 01_Formulario_A00)")</f>
        <v/>
      </c>
    </row>
    <row r="17">
      <c r="A17" s="13" t="inlineStr">
        <is>
          <t>D01-DOC-DDE-001.PURPOSE.PRINCIPIOS</t>
        </is>
      </c>
      <c r="B17" s="2" t="inlineStr">
        <is>
          <t>principios</t>
        </is>
      </c>
      <c r="C17" s="14">
        <f>IFERROR(IF(INDEX('01_Formulario_A00'!$D:$D,MATCH("D01-DOC-DDE-001.PURPOSE.PRINCIPIOS",'01_Formulario_A00'!$A:$A,0))="","— (a preencher em 01_Formulario_A00)",INDEX('01_Formulario_A00'!$D:$D,MATCH("D01-DOC-DDE-001.PURPOSE.PRINCIPIOS",'01_Formulario_A00'!$A:$A,0))),"— (a preencher em 01_Formulario_A00)")</f>
        <v/>
      </c>
    </row>
    <row r="18">
      <c r="A18" s="13" t="inlineStr">
        <is>
          <t>D01-DOC-DDE-001.PURPOSE.VALORES</t>
        </is>
      </c>
      <c r="B18" s="2" t="inlineStr">
        <is>
          <t>valores</t>
        </is>
      </c>
      <c r="C18" s="14">
        <f>IFERROR(IF(INDEX('01_Formulario_A00'!$D:$D,MATCH("D01-DOC-DDE-001.PURPOSE.VALORES",'01_Formulario_A00'!$A:$A,0))="","— (a preencher em 01_Formulario_A00)",INDEX('01_Formulario_A00'!$D:$D,MATCH("D01-DOC-DDE-001.PURPOSE.VALORES",'01_Formulario_A00'!$A:$A,0))),"— (a preencher em 01_Formulario_A00)")</f>
        <v/>
      </c>
    </row>
    <row r="19">
      <c r="A19" s="13" t="inlineStr">
        <is>
          <t>D01-DOC-DDE-001.STRATEGIC_DIRECTION.OBJETIVOS_ESTRATEGICOS</t>
        </is>
      </c>
      <c r="B19" s="2" t="inlineStr">
        <is>
          <t>objetivos_estrategicos</t>
        </is>
      </c>
      <c r="C19" s="14">
        <f>IFERROR(IF(INDEX('01_Formulario_A00'!$D:$D,MATCH("D01-DOC-DDE-001.STRATEGIC_DIRECTION.OBJETIVOS_ESTRATEGICOS",'01_Formulario_A00'!$A:$A,0))="","— (a preencher em 01_Formulario_A00)",INDEX('01_Formulario_A00'!$D:$D,MATCH("D01-DOC-DDE-001.STRATEGIC_DIRECTION.OBJETIVOS_ESTRATEGICOS",'01_Formulario_A00'!$A:$A,0))),"— (a preencher em 01_Formulario_A00)")</f>
        <v/>
      </c>
    </row>
    <row r="20">
      <c r="A20" s="13" t="inlineStr">
        <is>
          <t>D01-DOC-DDE-001.STRATEGIC_DIRECTION.RESULTADOS_ESPERADOS</t>
        </is>
      </c>
      <c r="B20" s="2" t="inlineStr">
        <is>
          <t>resultados_esperados</t>
        </is>
      </c>
      <c r="C20" s="14">
        <f>IFERROR(IF(INDEX('01_Formulario_A00'!$D:$D,MATCH("D01-DOC-DDE-001.STRATEGIC_DIRECTION.RESULTADOS_ESPERADOS",'01_Formulario_A00'!$A:$A,0))="","— (a preencher em 01_Formulario_A00)",INDEX('01_Formulario_A00'!$D:$D,MATCH("D01-DOC-DDE-001.STRATEGIC_DIRECTION.RESULTADOS_ESPERADOS",'01_Formulario_A00'!$A:$A,0))),"— (a preencher em 01_Formulario_A00)")</f>
        <v/>
      </c>
    </row>
    <row r="21">
      <c r="A21" s="13" t="inlineStr">
        <is>
          <t>D01-DOC-DDE-001.STRATEGIC_DIRECTION.PRIORIDADES</t>
        </is>
      </c>
      <c r="B21" s="2" t="inlineStr">
        <is>
          <t>prioridades</t>
        </is>
      </c>
      <c r="C21" s="14">
        <f>IFERROR(IF(INDEX('01_Formulario_A00'!$D:$D,MATCH("D01-DOC-DDE-001.STRATEGIC_DIRECTION.PRIORIDADES",'01_Formulario_A00'!$A:$A,0))="","— (a preencher em 01_Formulario_A00)",INDEX('01_Formulario_A00'!$D:$D,MATCH("D01-DOC-DDE-001.STRATEGIC_DIRECTION.PRIORIDADES",'01_Formulario_A00'!$A:$A,0))),"— (a preencher em 01_Formulario_A00)")</f>
        <v/>
      </c>
    </row>
    <row r="22">
      <c r="A22" s="13" t="inlineStr">
        <is>
          <t>D01-DOC-DDE-001.STRATEGIC_DIRECTION.NAO_OBJETIVOS</t>
        </is>
      </c>
      <c r="B22" s="2" t="inlineStr">
        <is>
          <t>nao_objetivos</t>
        </is>
      </c>
      <c r="C22" s="14">
        <f>IFERROR(IF(INDEX('01_Formulario_A00'!$D:$D,MATCH("D01-DOC-DDE-001.STRATEGIC_DIRECTION.NAO_OBJETIVOS",'01_Formulario_A00'!$A:$A,0))="","— (a preencher em 01_Formulario_A00)",INDEX('01_Formulario_A00'!$D:$D,MATCH("D01-DOC-DDE-001.STRATEGIC_DIRECTION.NAO_OBJETIVOS",'01_Formulario_A00'!$A:$A,0))),"— (a preencher em 01_Formulario_A00)")</f>
        <v/>
      </c>
    </row>
    <row r="23">
      <c r="A23" s="13" t="inlineStr">
        <is>
          <t>D01-DOC-DDE-001.STRATEGIC_DIRECTION.HORIZONTE_TEMPORAL</t>
        </is>
      </c>
      <c r="B23" s="2" t="inlineStr">
        <is>
          <t>horizonte_temporal</t>
        </is>
      </c>
      <c r="C23" s="14">
        <f>IFERROR(IF(INDEX('01_Formulario_A00'!$D:$D,MATCH("D01-DOC-DDE-001.STRATEGIC_DIRECTION.HORIZONTE_TEMPORAL",'01_Formulario_A00'!$A:$A,0))="","— (a preencher em 01_Formulario_A00)",INDEX('01_Formulario_A00'!$D:$D,MATCH("D01-DOC-DDE-001.STRATEGIC_DIRECTION.HORIZONTE_TEMPORAL",'01_Formulario_A00'!$A:$A,0))),"— (a preencher em 01_Formulario_A00)")</f>
        <v/>
      </c>
    </row>
    <row r="24">
      <c r="A24" s="13" t="inlineStr">
        <is>
          <t>D01-DOC-DDE-001.ECOSYSTEM.PRODUTOS</t>
        </is>
      </c>
      <c r="B24" s="2" t="inlineStr">
        <is>
          <t>produtos</t>
        </is>
      </c>
      <c r="C24" s="14">
        <f>IFERROR(IF(INDEX('01_Formulario_A00'!$D:$D,MATCH("D01-DOC-DDE-001.ECOSYSTEM.PRODUTOS",'01_Formulario_A00'!$A:$A,0))="","— (a preencher em 01_Formulario_A00)",INDEX('01_Formulario_A00'!$D:$D,MATCH("D01-DOC-DDE-001.ECOSYSTEM.PRODUTOS",'01_Formulario_A00'!$A:$A,0))),"— (a preencher em 01_Formulario_A00)")</f>
        <v/>
      </c>
    </row>
    <row r="25">
      <c r="A25" s="13" t="inlineStr">
        <is>
          <t>D01-DOC-DDE-001.ECOSYSTEM.SERVICOS</t>
        </is>
      </c>
      <c r="B25" s="2" t="inlineStr">
        <is>
          <t>servicos</t>
        </is>
      </c>
      <c r="C25" s="14">
        <f>IFERROR(IF(INDEX('01_Formulario_A00'!$D:$D,MATCH("D01-DOC-DDE-001.ECOSYSTEM.SERVICOS",'01_Formulario_A00'!$A:$A,0))="","— (a preencher em 01_Formulario_A00)",INDEX('01_Formulario_A00'!$D:$D,MATCH("D01-DOC-DDE-001.ECOSYSTEM.SERVICOS",'01_Formulario_A00'!$A:$A,0))),"— (a preencher em 01_Formulario_A00)")</f>
        <v/>
      </c>
    </row>
    <row r="26">
      <c r="A26" s="13" t="inlineStr">
        <is>
          <t>D01-DOC-DDE-001.ECOSYSTEM.MARCAS</t>
        </is>
      </c>
      <c r="B26" s="2" t="inlineStr">
        <is>
          <t>marcas</t>
        </is>
      </c>
      <c r="C26" s="14">
        <f>IFERROR(IF(INDEX('01_Formulario_A00'!$D:$D,MATCH("D01-DOC-DDE-001.ECOSYSTEM.MARCAS",'01_Formulario_A00'!$A:$A,0))="","— (a preencher em 01_Formulario_A00)",INDEX('01_Formulario_A00'!$D:$D,MATCH("D01-DOC-DDE-001.ECOSYSTEM.MARCAS",'01_Formulario_A00'!$A:$A,0))),"— (a preencher em 01_Formulario_A00)")</f>
        <v/>
      </c>
    </row>
    <row r="27">
      <c r="A27" s="13" t="inlineStr">
        <is>
          <t>D01-DOC-DDE-001.ECOSYSTEM.AGENTES</t>
        </is>
      </c>
      <c r="B27" s="2" t="inlineStr">
        <is>
          <t>agentes</t>
        </is>
      </c>
      <c r="C27" s="14">
        <f>IFERROR(IF(INDEX('01_Formulario_A00'!$D:$D,MATCH("D01-DOC-DDE-001.ECOSYSTEM.AGENTES",'01_Formulario_A00'!$A:$A,0))="","— (a preencher em 01_Formulario_A00)",INDEX('01_Formulario_A00'!$D:$D,MATCH("D01-DOC-DDE-001.ECOSYSTEM.AGENTES",'01_Formulario_A00'!$A:$A,0))),"— (a preencher em 01_Formulario_A00)")</f>
        <v/>
      </c>
    </row>
    <row r="28">
      <c r="A28" s="13" t="inlineStr">
        <is>
          <t>D01-DOC-DDE-001.ECOSYSTEM.PLATAFORMAS</t>
        </is>
      </c>
      <c r="B28" s="2" t="inlineStr">
        <is>
          <t>plataformas</t>
        </is>
      </c>
      <c r="C28" s="14">
        <f>IFERROR(IF(INDEX('01_Formulario_A00'!$D:$D,MATCH("D01-DOC-DDE-001.ECOSYSTEM.PLATAFORMAS",'01_Formulario_A00'!$A:$A,0))="","— (a preencher em 01_Formulario_A00)",INDEX('01_Formulario_A00'!$D:$D,MATCH("D01-DOC-DDE-001.ECOSYSTEM.PLATAFORMAS",'01_Formulario_A00'!$A:$A,0))),"— (a preencher em 01_Formulario_A00)")</f>
        <v/>
      </c>
    </row>
    <row r="29">
      <c r="A29" s="13" t="inlineStr">
        <is>
          <t>D01-DOC-DDE-001.ECOSYSTEM.UNIDADES_DE_NEGOCIO</t>
        </is>
      </c>
      <c r="B29" s="2" t="inlineStr">
        <is>
          <t>unidades_de_negocio</t>
        </is>
      </c>
      <c r="C29" s="14">
        <f>IFERROR(IF(INDEX('01_Formulario_A00'!$D:$D,MATCH("D01-DOC-DDE-001.ECOSYSTEM.UNIDADES_DE_NEGOCIO",'01_Formulario_A00'!$A:$A,0))="","— (a preencher em 01_Formulario_A00)",INDEX('01_Formulario_A00'!$D:$D,MATCH("D01-DOC-DDE-001.ECOSYSTEM.UNIDADES_DE_NEGOCIO",'01_Formulario_A00'!$A:$A,0))),"— (a preencher em 01_Formulario_A00)")</f>
        <v/>
      </c>
    </row>
    <row r="30">
      <c r="A30" s="13" t="inlineStr">
        <is>
          <t>D01-DOC-DDE-001.GOVERNANCE.MODELO_DE_GOVERNANCA</t>
        </is>
      </c>
      <c r="B30" s="2" t="inlineStr">
        <is>
          <t>modelo_de_governanca</t>
        </is>
      </c>
      <c r="C30" s="14">
        <f>IFERROR(IF(INDEX('01_Formulario_A00'!$D:$D,MATCH("D01-DOC-DDE-001.GOVERNANCE.MODELO_DE_GOVERNANCA",'01_Formulario_A00'!$A:$A,0))="","— (a preencher em 01_Formulario_A00)",INDEX('01_Formulario_A00'!$D:$D,MATCH("D01-DOC-DDE-001.GOVERNANCE.MODELO_DE_GOVERNANCA",'01_Formulario_A00'!$A:$A,0))),"— (a preencher em 01_Formulario_A00)")</f>
        <v/>
      </c>
    </row>
    <row r="31">
      <c r="A31" s="13" t="inlineStr">
        <is>
          <t>D01-DOC-DDE-001.GOVERNANCE.PAPEIS_DECISORIOS</t>
        </is>
      </c>
      <c r="B31" s="2" t="inlineStr">
        <is>
          <t>papeis_decisorios</t>
        </is>
      </c>
      <c r="C31" s="14">
        <f>IFERROR(IF(INDEX('01_Formulario_A00'!$D:$D,MATCH("D01-DOC-DDE-001.GOVERNANCE.PAPEIS_DECISORIOS",'01_Formulario_A00'!$A:$A,0))="","— (a preencher em 01_Formulario_A00)",INDEX('01_Formulario_A00'!$D:$D,MATCH("D01-DOC-DDE-001.GOVERNANCE.PAPEIS_DECISORIOS",'01_Formulario_A00'!$A:$A,0))),"— (a preencher em 01_Formulario_A00)")</f>
        <v/>
      </c>
    </row>
    <row r="32">
      <c r="A32" s="13" t="inlineStr">
        <is>
          <t>D01-DOC-DDE-001.GOVERNANCE.DIREITOS_DE_DECISAO</t>
        </is>
      </c>
      <c r="B32" s="2" t="inlineStr">
        <is>
          <t>direitos_de_decisao</t>
        </is>
      </c>
      <c r="C32" s="14">
        <f>IFERROR(IF(INDEX('01_Formulario_A00'!$D:$D,MATCH("D01-DOC-DDE-001.GOVERNANCE.DIREITOS_DE_DECISAO",'01_Formulario_A00'!$A:$A,0))="","— (a preencher em 01_Formulario_A00)",INDEX('01_Formulario_A00'!$D:$D,MATCH("D01-DOC-DDE-001.GOVERNANCE.DIREITOS_DE_DECISAO",'01_Formulario_A00'!$A:$A,0))),"— (a preencher em 01_Formulario_A00)")</f>
        <v/>
      </c>
    </row>
    <row r="33">
      <c r="A33" s="13" t="inlineStr">
        <is>
          <t>D01-DOC-DDE-001.GOVERNANCE.GATES</t>
        </is>
      </c>
      <c r="B33" s="2" t="inlineStr">
        <is>
          <t>gates</t>
        </is>
      </c>
      <c r="C33" s="14">
        <f>IFERROR(IF(INDEX('01_Formulario_A00'!$D:$D,MATCH("D01-DOC-DDE-001.GOVERNANCE.GATES",'01_Formulario_A00'!$A:$A,0))="","— (a preencher em 01_Formulario_A00)",INDEX('01_Formulario_A00'!$D:$D,MATCH("D01-DOC-DDE-001.GOVERNANCE.GATES",'01_Formulario_A00'!$A:$A,0))),"— (a preencher em 01_Formulario_A00)")</f>
        <v/>
      </c>
    </row>
    <row r="34">
      <c r="A34" s="13" t="inlineStr">
        <is>
          <t>D01-DOC-DDE-001.GOVERNANCE.MECANISMOS_DE_CONTROLE</t>
        </is>
      </c>
      <c r="B34" s="2" t="inlineStr">
        <is>
          <t>mecanismos_de_controle</t>
        </is>
      </c>
      <c r="C34" s="14">
        <f>IFERROR(IF(INDEX('01_Formulario_A00'!$D:$D,MATCH("D01-DOC-DDE-001.GOVERNANCE.MECANISMOS_DE_CONTROLE",'01_Formulario_A00'!$A:$A,0))="","— (a preencher em 01_Formulario_A00)",INDEX('01_Formulario_A00'!$D:$D,MATCH("D01-DOC-DDE-001.GOVERNANCE.MECANISMOS_DE_CONTROLE",'01_Formulario_A00'!$A:$A,0))),"— (a preencher em 01_Formulario_A00)")</f>
        <v/>
      </c>
    </row>
    <row r="35">
      <c r="A35" s="13" t="inlineStr">
        <is>
          <t>D01-DOC-DDE-001.STAKEHOLDERS.STAKEHOLDERS</t>
        </is>
      </c>
      <c r="B35" s="2" t="inlineStr">
        <is>
          <t>stakeholders</t>
        </is>
      </c>
      <c r="C35" s="14">
        <f>IFERROR(IF(INDEX('01_Formulario_A00'!$D:$D,MATCH("D01-DOC-DDE-001.STAKEHOLDERS.STAKEHOLDERS",'01_Formulario_A00'!$A:$A,0))="","— (a preencher em 01_Formulario_A00)",INDEX('01_Formulario_A00'!$D:$D,MATCH("D01-DOC-DDE-001.STAKEHOLDERS.STAKEHOLDERS",'01_Formulario_A00'!$A:$A,0))),"— (a preencher em 01_Formulario_A00)")</f>
        <v/>
      </c>
    </row>
    <row r="36">
      <c r="A36" s="13" t="inlineStr">
        <is>
          <t>D01-DOC-DDE-001.STAKEHOLDERS.INTERESSE</t>
        </is>
      </c>
      <c r="B36" s="2" t="inlineStr">
        <is>
          <t>interesse</t>
        </is>
      </c>
      <c r="C36" s="14">
        <f>IFERROR(IF(INDEX('01_Formulario_A00'!$D:$D,MATCH("D01-DOC-DDE-001.STAKEHOLDERS.INTERESSE",'01_Formulario_A00'!$A:$A,0))="","— (a preencher em 01_Formulario_A00)",INDEX('01_Formulario_A00'!$D:$D,MATCH("D01-DOC-DDE-001.STAKEHOLDERS.INTERESSE",'01_Formulario_A00'!$A:$A,0))),"— (a preencher em 01_Formulario_A00)")</f>
        <v/>
      </c>
    </row>
    <row r="37">
      <c r="A37" s="13" t="inlineStr">
        <is>
          <t>D01-DOC-DDE-001.STAKEHOLDERS.INFLUENCIA</t>
        </is>
      </c>
      <c r="B37" s="2" t="inlineStr">
        <is>
          <t>influencia</t>
        </is>
      </c>
      <c r="C37" s="14">
        <f>IFERROR(IF(INDEX('01_Formulario_A00'!$D:$D,MATCH("D01-DOC-DDE-001.STAKEHOLDERS.INFLUENCIA",'01_Formulario_A00'!$A:$A,0))="","— (a preencher em 01_Formulario_A00)",INDEX('01_Formulario_A00'!$D:$D,MATCH("D01-DOC-DDE-001.STAKEHOLDERS.INFLUENCIA",'01_Formulario_A00'!$A:$A,0))),"— (a preencher em 01_Formulario_A00)")</f>
        <v/>
      </c>
    </row>
    <row r="38">
      <c r="A38" s="13" t="inlineStr">
        <is>
          <t>D01-DOC-DDE-001.STAKEHOLDERS.RELACIONAMENTO</t>
        </is>
      </c>
      <c r="B38" s="2" t="inlineStr">
        <is>
          <t>relacionamento</t>
        </is>
      </c>
      <c r="C38" s="14">
        <f>IFERROR(IF(INDEX('01_Formulario_A00'!$D:$D,MATCH("D01-DOC-DDE-001.STAKEHOLDERS.RELACIONAMENTO",'01_Formulario_A00'!$A:$A,0))="","— (a preencher em 01_Formulario_A00)",INDEX('01_Formulario_A00'!$D:$D,MATCH("D01-DOC-DDE-001.STAKEHOLDERS.RELACIONAMENTO",'01_Formulario_A00'!$A:$A,0))),"— (a preencher em 01_Formulario_A00)")</f>
        <v/>
      </c>
    </row>
    <row r="39">
      <c r="A39" s="13" t="inlineStr">
        <is>
          <t>D01-DOC-DDE-001.STRATEGIC_DEPENDENCIES.DEPENDENCIAS</t>
        </is>
      </c>
      <c r="B39" s="2" t="inlineStr">
        <is>
          <t>dependencias</t>
        </is>
      </c>
      <c r="C39" s="14">
        <f>IFERROR(IF(INDEX('01_Formulario_A00'!$D:$D,MATCH("D01-DOC-DDE-001.STRATEGIC_DEPENDENCIES.DEPENDENCIAS",'01_Formulario_A00'!$A:$A,0))="","— (a preencher em 01_Formulario_A00)",INDEX('01_Formulario_A00'!$D:$D,MATCH("D01-DOC-DDE-001.STRATEGIC_DEPENDENCIES.DEPENDENCIAS",'01_Formulario_A00'!$A:$A,0))),"— (a preencher em 01_Formulario_A00)")</f>
        <v/>
      </c>
    </row>
    <row r="40">
      <c r="A40" s="13" t="inlineStr">
        <is>
          <t>D01-DOC-DDE-001.STRATEGIC_DEPENDENCIES.RESTRICOES</t>
        </is>
      </c>
      <c r="B40" s="2" t="inlineStr">
        <is>
          <t>restricoes</t>
        </is>
      </c>
      <c r="C40" s="14">
        <f>IFERROR(IF(INDEX('01_Formulario_A00'!$D:$D,MATCH("D01-DOC-DDE-001.STRATEGIC_DEPENDENCIES.RESTRICOES",'01_Formulario_A00'!$A:$A,0))="","— (a preencher em 01_Formulario_A00)",INDEX('01_Formulario_A00'!$D:$D,MATCH("D01-DOC-DDE-001.STRATEGIC_DEPENDENCIES.RESTRICOES",'01_Formulario_A00'!$A:$A,0))),"— (a preencher em 01_Formulario_A00)")</f>
        <v/>
      </c>
    </row>
    <row r="41">
      <c r="A41" s="13" t="inlineStr">
        <is>
          <t>D01-DOC-DDE-001.STRATEGIC_DEPENDENCIES.PREMISSAS</t>
        </is>
      </c>
      <c r="B41" s="2" t="inlineStr">
        <is>
          <t>premissas</t>
        </is>
      </c>
      <c r="C41" s="14">
        <f>IFERROR(IF(INDEX('01_Formulario_A00'!$D:$D,MATCH("D01-DOC-DDE-001.STRATEGIC_DEPENDENCIES.PREMISSAS",'01_Formulario_A00'!$A:$A,0))="","— (a preencher em 01_Formulario_A00)",INDEX('01_Formulario_A00'!$D:$D,MATCH("D01-DOC-DDE-001.STRATEGIC_DEPENDENCIES.PREMISSAS",'01_Formulario_A00'!$A:$A,0))),"— (a preencher em 01_Formulario_A00)")</f>
        <v/>
      </c>
    </row>
    <row r="42">
      <c r="A42" s="13" t="inlineStr">
        <is>
          <t>D01-DOC-DDE-001.RISKS.RISCOS_ESTRATEGICOS</t>
        </is>
      </c>
      <c r="B42" s="2" t="inlineStr">
        <is>
          <t>riscos_estrategicos</t>
        </is>
      </c>
      <c r="C42" s="14">
        <f>IFERROR(IF(INDEX('01_Formulario_A00'!$D:$D,MATCH("D01-DOC-DDE-001.RISKS.RISCOS_ESTRATEGICOS",'01_Formulario_A00'!$A:$A,0))="","— (a preencher em 01_Formulario_A00)",INDEX('01_Formulario_A00'!$D:$D,MATCH("D01-DOC-DDE-001.RISKS.RISCOS_ESTRATEGICOS",'01_Formulario_A00'!$A:$A,0))),"— (a preencher em 01_Formulario_A00)")</f>
        <v/>
      </c>
    </row>
    <row r="43">
      <c r="A43" s="13" t="inlineStr">
        <is>
          <t>D01-DOC-DDE-001.RISKS.MITIGACOES_EXISTENTES</t>
        </is>
      </c>
      <c r="B43" s="2" t="inlineStr">
        <is>
          <t>mitigacoes_existentes</t>
        </is>
      </c>
      <c r="C43" s="14">
        <f>IFERROR(IF(INDEX('01_Formulario_A00'!$D:$D,MATCH("D01-DOC-DDE-001.RISKS.MITIGACOES_EXISTENTES",'01_Formulario_A00'!$A:$A,0))="","— (a preencher em 01_Formulario_A00)",INDEX('01_Formulario_A00'!$D:$D,MATCH("D01-DOC-DDE-001.RISKS.MITIGACOES_EXISTENTES",'01_Formulario_A00'!$A:$A,0))),"— (a preencher em 01_Formulario_A00)")</f>
        <v/>
      </c>
    </row>
    <row r="44">
      <c r="A44" s="13" t="inlineStr">
        <is>
          <t>D01-DOC-DDE-001.MEASUREMENT.INDICADORES</t>
        </is>
      </c>
      <c r="B44" s="2" t="inlineStr">
        <is>
          <t>indicadores</t>
        </is>
      </c>
      <c r="C44" s="14">
        <f>IFERROR(IF(INDEX('01_Formulario_A00'!$D:$D,MATCH("D01-DOC-DDE-001.MEASUREMENT.INDICADORES",'01_Formulario_A00'!$A:$A,0))="","— (a preencher em 01_Formulario_A00)",INDEX('01_Formulario_A00'!$D:$D,MATCH("D01-DOC-DDE-001.MEASUREMENT.INDICADORES",'01_Formulario_A00'!$A:$A,0))),"— (a preencher em 01_Formulario_A00)")</f>
        <v/>
      </c>
    </row>
    <row r="45">
      <c r="A45" s="13" t="inlineStr">
        <is>
          <t>D01-DOC-DDE-001.MEASUREMENT.METAS</t>
        </is>
      </c>
      <c r="B45" s="2" t="inlineStr">
        <is>
          <t>metas</t>
        </is>
      </c>
      <c r="C45" s="14">
        <f>IFERROR(IF(INDEX('01_Formulario_A00'!$D:$D,MATCH("D01-DOC-DDE-001.MEASUREMENT.METAS",'01_Formulario_A00'!$A:$A,0))="","— (a preencher em 01_Formulario_A00)",INDEX('01_Formulario_A00'!$D:$D,MATCH("D01-DOC-DDE-001.MEASUREMENT.METAS",'01_Formulario_A00'!$A:$A,0))),"— (a preencher em 01_Formulario_A00)")</f>
        <v/>
      </c>
    </row>
    <row r="46">
      <c r="A46" s="13" t="inlineStr">
        <is>
          <t>D01-DOC-DDE-001.MEASUREMENT.CRITERIOS_DE_SUCESSO</t>
        </is>
      </c>
      <c r="B46" s="2" t="inlineStr">
        <is>
          <t>criterios_de_sucesso</t>
        </is>
      </c>
      <c r="C46" s="14">
        <f>IFERROR(IF(INDEX('01_Formulario_A00'!$D:$D,MATCH("D01-DOC-DDE-001.MEASUREMENT.CRITERIOS_DE_SUCESSO",'01_Formulario_A00'!$A:$A,0))="","— (a preencher em 01_Formulario_A00)",INDEX('01_Formulario_A00'!$D:$D,MATCH("D01-DOC-DDE-001.MEASUREMENT.CRITERIOS_DE_SUCESSO",'01_Formulario_A00'!$A:$A,0))),"— (a preencher em 01_Formulario_A00)")</f>
        <v/>
      </c>
    </row>
    <row r="47">
      <c r="A47" s="13" t="inlineStr">
        <is>
          <t>D01-DOC-DDE-001.DECISIONS.DECISOES_VIGENTES</t>
        </is>
      </c>
      <c r="B47" s="2" t="inlineStr">
        <is>
          <t>decisoes_vigentes</t>
        </is>
      </c>
      <c r="C47" s="14">
        <f>IFERROR(IF(INDEX('01_Formulario_A00'!$D:$D,MATCH("D01-DOC-DDE-001.DECISIONS.DECISOES_VIGENTES",'01_Formulario_A00'!$A:$A,0))="","— (a preencher em 01_Formulario_A00)",INDEX('01_Formulario_A00'!$D:$D,MATCH("D01-DOC-DDE-001.DECISIONS.DECISOES_VIGENTES",'01_Formulario_A00'!$A:$A,0))),"— (a preencher em 01_Formulario_A00)")</f>
        <v/>
      </c>
    </row>
    <row r="48">
      <c r="A48" s="13" t="inlineStr">
        <is>
          <t>D01-DOC-DDE-001.DECISIONS.DECISOES_PENDENTES</t>
        </is>
      </c>
      <c r="B48" s="2" t="inlineStr">
        <is>
          <t>decisoes_pendentes</t>
        </is>
      </c>
      <c r="C48" s="14">
        <f>IFERROR(IF(INDEX('01_Formulario_A00'!$D:$D,MATCH("D01-DOC-DDE-001.DECISIONS.DECISOES_PENDENTES",'01_Formulario_A00'!$A:$A,0))="","— (a preencher em 01_Formulario_A00)",INDEX('01_Formulario_A00'!$D:$D,MATCH("D01-DOC-DDE-001.DECISIONS.DECISOES_PENDENTES",'01_Formulario_A00'!$A:$A,0))),"— (a preencher em 01_Formulario_A00)")</f>
        <v/>
      </c>
    </row>
    <row r="49">
      <c r="A49" s="5" t="inlineStr">
        <is>
          <t>D01-DOC-TAP-001 — Termo de Abertura do Ecossistema [PRE_PREENCHIDO/PENDENTE]</t>
        </is>
      </c>
      <c r="B49" s="6" t="n"/>
      <c r="C49" s="7" t="n"/>
    </row>
    <row r="50">
      <c r="A50" s="13" t="inlineStr">
        <is>
          <t>D01-DOC-TAP-001.IDENTIFICATION.TITULO</t>
        </is>
      </c>
      <c r="B50" s="2" t="inlineStr">
        <is>
          <t>titulo</t>
        </is>
      </c>
      <c r="C50" s="14">
        <f>IFERROR(IF(INDEX('01_Formulario_A00'!$D:$D,MATCH("D01-DOC-TAP-001.IDENTIFICATION.TITULO",'01_Formulario_A00'!$A:$A,0))="","— (a preencher em 01_Formulario_A00)",INDEX('01_Formulario_A00'!$D:$D,MATCH("D01-DOC-TAP-001.IDENTIFICATION.TITULO",'01_Formulario_A00'!$A:$A,0))),"— (a preencher em 01_Formulario_A00)")</f>
        <v/>
      </c>
    </row>
    <row r="51">
      <c r="A51" s="13" t="inlineStr">
        <is>
          <t>D01-DOC-TAP-001.IDENTIFICATION.JUSTIFICATIVA</t>
        </is>
      </c>
      <c r="B51" s="2" t="inlineStr">
        <is>
          <t>justificativa</t>
        </is>
      </c>
      <c r="C51" s="14">
        <f>IFERROR(IF(INDEX('01_Formulario_A00'!$D:$D,MATCH("D01-DOC-TAP-001.IDENTIFICATION.JUSTIFICATIVA",'01_Formulario_A00'!$A:$A,0))="","— (a preencher em 01_Formulario_A00)",INDEX('01_Formulario_A00'!$D:$D,MATCH("D01-DOC-TAP-001.IDENTIFICATION.JUSTIFICATIVA",'01_Formulario_A00'!$A:$A,0))),"— (a preencher em 01_Formulario_A00)")</f>
        <v/>
      </c>
    </row>
    <row r="52">
      <c r="A52" s="13" t="inlineStr">
        <is>
          <t>D01-DOC-TAP-001.IDENTIFICATION.CONTEXTO</t>
        </is>
      </c>
      <c r="B52" s="2" t="inlineStr">
        <is>
          <t>contexto</t>
        </is>
      </c>
      <c r="C52" s="14">
        <f>IFERROR(IF(INDEX('01_Formulario_A00'!$D:$D,MATCH("D01-DOC-TAP-001.IDENTIFICATION.CONTEXTO",'01_Formulario_A00'!$A:$A,0))="","— (a preencher em 01_Formulario_A00)",INDEX('01_Formulario_A00'!$D:$D,MATCH("D01-DOC-TAP-001.IDENTIFICATION.CONTEXTO",'01_Formulario_A00'!$A:$A,0))),"— (a preencher em 01_Formulario_A00)")</f>
        <v/>
      </c>
    </row>
    <row r="53">
      <c r="A53" s="13" t="inlineStr">
        <is>
          <t>D01-DOC-TAP-001.IDENTIFICATION.SPONSOR</t>
        </is>
      </c>
      <c r="B53" s="2" t="inlineStr">
        <is>
          <t>sponsor</t>
        </is>
      </c>
      <c r="C53" s="14">
        <f>IFERROR(IF(INDEX('01_Formulario_A00'!$D:$D,MATCH("D01-DOC-TAP-001.IDENTIFICATION.SPONSOR",'01_Formulario_A00'!$A:$A,0))="","— (a preencher em 01_Formulario_A00)",INDEX('01_Formulario_A00'!$D:$D,MATCH("D01-DOC-TAP-001.IDENTIFICATION.SPONSOR",'01_Formulario_A00'!$A:$A,0))),"— (a preencher em 01_Formulario_A00)")</f>
        <v/>
      </c>
    </row>
    <row r="54">
      <c r="A54" s="13" t="inlineStr">
        <is>
          <t>D01-DOC-TAP-001.IDENTIFICATION.OWNER</t>
        </is>
      </c>
      <c r="B54" s="2" t="inlineStr">
        <is>
          <t>owner</t>
        </is>
      </c>
      <c r="C54" s="14">
        <f>IFERROR(IF(INDEX('01_Formulario_A00'!$D:$D,MATCH("D01-DOC-TAP-001.IDENTIFICATION.OWNER",'01_Formulario_A00'!$A:$A,0))="","— (a preencher em 01_Formulario_A00)",INDEX('01_Formulario_A00'!$D:$D,MATCH("D01-DOC-TAP-001.IDENTIFICATION.OWNER",'01_Formulario_A00'!$A:$A,0))),"— (a preencher em 01_Formulario_A00)")</f>
        <v/>
      </c>
    </row>
    <row r="55">
      <c r="A55" s="13" t="inlineStr">
        <is>
          <t>D01-DOC-TAP-001.OBJECTIVE.OBJETIVO_GERAL</t>
        </is>
      </c>
      <c r="B55" s="2" t="inlineStr">
        <is>
          <t>objetivo_geral</t>
        </is>
      </c>
      <c r="C55" s="14">
        <f>IFERROR(IF(INDEX('01_Formulario_A00'!$D:$D,MATCH("D01-DOC-TAP-001.OBJECTIVE.OBJETIVO_GERAL",'01_Formulario_A00'!$A:$A,0))="","— (a preencher em 01_Formulario_A00)",INDEX('01_Formulario_A00'!$D:$D,MATCH("D01-DOC-TAP-001.OBJECTIVE.OBJETIVO_GERAL",'01_Formulario_A00'!$A:$A,0))),"— (a preencher em 01_Formulario_A00)")</f>
        <v/>
      </c>
    </row>
    <row r="56">
      <c r="A56" s="13" t="inlineStr">
        <is>
          <t>D01-DOC-TAP-001.OBJECTIVE.OBJETIVOS_ESPECIFICOS</t>
        </is>
      </c>
      <c r="B56" s="2" t="inlineStr">
        <is>
          <t>objetivos_especificos</t>
        </is>
      </c>
      <c r="C56" s="14">
        <f>IFERROR(IF(INDEX('01_Formulario_A00'!$D:$D,MATCH("D01-DOC-TAP-001.OBJECTIVE.OBJETIVOS_ESPECIFICOS",'01_Formulario_A00'!$A:$A,0))="","— (a preencher em 01_Formulario_A00)",INDEX('01_Formulario_A00'!$D:$D,MATCH("D01-DOC-TAP-001.OBJECTIVE.OBJETIVOS_ESPECIFICOS",'01_Formulario_A00'!$A:$A,0))),"— (a preencher em 01_Formulario_A00)")</f>
        <v/>
      </c>
    </row>
    <row r="57">
      <c r="A57" s="13" t="inlineStr">
        <is>
          <t>D01-DOC-TAP-001.OBJECTIVE.RESULTADO_FINAL_ESPERADO</t>
        </is>
      </c>
      <c r="B57" s="2" t="inlineStr">
        <is>
          <t>resultado_final_esperado</t>
        </is>
      </c>
      <c r="C57" s="14">
        <f>IFERROR(IF(INDEX('01_Formulario_A00'!$D:$D,MATCH("D01-DOC-TAP-001.OBJECTIVE.RESULTADO_FINAL_ESPERADO",'01_Formulario_A00'!$A:$A,0))="","— (a preencher em 01_Formulario_A00)",INDEX('01_Formulario_A00'!$D:$D,MATCH("D01-DOC-TAP-001.OBJECTIVE.RESULTADO_FINAL_ESPERADO",'01_Formulario_A00'!$A:$A,0))),"— (a preencher em 01_Formulario_A00)")</f>
        <v/>
      </c>
    </row>
    <row r="58">
      <c r="A58" s="13" t="inlineStr">
        <is>
          <t>D01-DOC-TAP-001.SCOPE.ESCOPO_INCLUIDO</t>
        </is>
      </c>
      <c r="B58" s="2" t="inlineStr">
        <is>
          <t>escopo_incluido</t>
        </is>
      </c>
      <c r="C58" s="14">
        <f>IFERROR(IF(INDEX('01_Formulario_A00'!$D:$D,MATCH("D01-DOC-TAP-001.SCOPE.ESCOPO_INCLUIDO",'01_Formulario_A00'!$A:$A,0))="","— (a preencher em 01_Formulario_A00)",INDEX('01_Formulario_A00'!$D:$D,MATCH("D01-DOC-TAP-001.SCOPE.ESCOPO_INCLUIDO",'01_Formulario_A00'!$A:$A,0))),"— (a preencher em 01_Formulario_A00)")</f>
        <v/>
      </c>
    </row>
    <row r="59">
      <c r="A59" s="13" t="inlineStr">
        <is>
          <t>D01-DOC-TAP-001.SCOPE.ESCOPO_EXCLUIDO</t>
        </is>
      </c>
      <c r="B59" s="2" t="inlineStr">
        <is>
          <t>escopo_excluido</t>
        </is>
      </c>
      <c r="C59" s="14">
        <f>IFERROR(IF(INDEX('01_Formulario_A00'!$D:$D,MATCH("D01-DOC-TAP-001.SCOPE.ESCOPO_EXCLUIDO",'01_Formulario_A00'!$A:$A,0))="","— (a preencher em 01_Formulario_A00)",INDEX('01_Formulario_A00'!$D:$D,MATCH("D01-DOC-TAP-001.SCOPE.ESCOPO_EXCLUIDO",'01_Formulario_A00'!$A:$A,0))),"— (a preencher em 01_Formulario_A00)")</f>
        <v/>
      </c>
    </row>
    <row r="60">
      <c r="A60" s="13" t="inlineStr">
        <is>
          <t>D01-DOC-TAP-001.SCOPE.FRONTEIRAS</t>
        </is>
      </c>
      <c r="B60" s="2" t="inlineStr">
        <is>
          <t>fronteiras</t>
        </is>
      </c>
      <c r="C60" s="14">
        <f>IFERROR(IF(INDEX('01_Formulario_A00'!$D:$D,MATCH("D01-DOC-TAP-001.SCOPE.FRONTEIRAS",'01_Formulario_A00'!$A:$A,0))="","— (a preencher em 01_Formulario_A00)",INDEX('01_Formulario_A00'!$D:$D,MATCH("D01-DOC-TAP-001.SCOPE.FRONTEIRAS",'01_Formulario_A00'!$A:$A,0))),"— (a preencher em 01_Formulario_A00)")</f>
        <v/>
      </c>
    </row>
    <row r="61">
      <c r="A61" s="13" t="inlineStr">
        <is>
          <t>D01-DOC-TAP-001.DELIVERABLES.ENTREGAVEIS_PRINCIPAIS</t>
        </is>
      </c>
      <c r="B61" s="2" t="inlineStr">
        <is>
          <t>entregaveis_principais</t>
        </is>
      </c>
      <c r="C61" s="14">
        <f>IFERROR(IF(INDEX('01_Formulario_A00'!$D:$D,MATCH("D01-DOC-TAP-001.DELIVERABLES.ENTREGAVEIS_PRINCIPAIS",'01_Formulario_A00'!$A:$A,0))="","— (a preencher em 01_Formulario_A00)",INDEX('01_Formulario_A00'!$D:$D,MATCH("D01-DOC-TAP-001.DELIVERABLES.ENTREGAVEIS_PRINCIPAIS",'01_Formulario_A00'!$A:$A,0))),"— (a preencher em 01_Formulario_A00)")</f>
        <v/>
      </c>
    </row>
    <row r="62">
      <c r="A62" s="13" t="inlineStr">
        <is>
          <t>D01-DOC-TAP-001.DELIVERABLES.DEFINITION_OF_DONE</t>
        </is>
      </c>
      <c r="B62" s="2" t="inlineStr">
        <is>
          <t>definition_of_done</t>
        </is>
      </c>
      <c r="C62" s="14">
        <f>IFERROR(IF(INDEX('01_Formulario_A00'!$D:$D,MATCH("D01-DOC-TAP-001.DELIVERABLES.DEFINITION_OF_DONE",'01_Formulario_A00'!$A:$A,0))="","— (a preencher em 01_Formulario_A00)",INDEX('01_Formulario_A00'!$D:$D,MATCH("D01-DOC-TAP-001.DELIVERABLES.DEFINITION_OF_DONE",'01_Formulario_A00'!$A:$A,0))),"— (a preencher em 01_Formulario_A00)")</f>
        <v/>
      </c>
    </row>
    <row r="63">
      <c r="A63" s="13" t="inlineStr">
        <is>
          <t>D01-DOC-TAP-001.MILESTONES.MARCOS</t>
        </is>
      </c>
      <c r="B63" s="2" t="inlineStr">
        <is>
          <t>marcos</t>
        </is>
      </c>
      <c r="C63" s="14">
        <f>IFERROR(IF(INDEX('01_Formulario_A00'!$D:$D,MATCH("D01-DOC-TAP-001.MILESTONES.MARCOS",'01_Formulario_A00'!$A:$A,0))="","— (a preencher em 01_Formulario_A00)",INDEX('01_Formulario_A00'!$D:$D,MATCH("D01-DOC-TAP-001.MILESTONES.MARCOS",'01_Formulario_A00'!$A:$A,0))),"— (a preencher em 01_Formulario_A00)")</f>
        <v/>
      </c>
    </row>
    <row r="64">
      <c r="A64" s="13" t="inlineStr">
        <is>
          <t>D01-DOC-TAP-001.MILESTONES.DATAS_EXISTENTES</t>
        </is>
      </c>
      <c r="B64" s="2" t="inlineStr">
        <is>
          <t>datas_existentes</t>
        </is>
      </c>
      <c r="C64" s="14">
        <f>IFERROR(IF(INDEX('01_Formulario_A00'!$D:$D,MATCH("D01-DOC-TAP-001.MILESTONES.DATAS_EXISTENTES",'01_Formulario_A00'!$A:$A,0))="","— (a preencher em 01_Formulario_A00)",INDEX('01_Formulario_A00'!$D:$D,MATCH("D01-DOC-TAP-001.MILESTONES.DATAS_EXISTENTES",'01_Formulario_A00'!$A:$A,0))),"— (a preencher em 01_Formulario_A00)")</f>
        <v/>
      </c>
    </row>
    <row r="65">
      <c r="A65" s="13" t="inlineStr">
        <is>
          <t>D01-DOC-TAP-001.STAKEHOLDERS.PARTICIPANTES</t>
        </is>
      </c>
      <c r="B65" s="2" t="inlineStr">
        <is>
          <t>participantes</t>
        </is>
      </c>
      <c r="C65" s="14">
        <f>IFERROR(IF(INDEX('01_Formulario_A00'!$D:$D,MATCH("D01-DOC-TAP-001.STAKEHOLDERS.PARTICIPANTES",'01_Formulario_A00'!$A:$A,0))="","— (a preencher em 01_Formulario_A00)",INDEX('01_Formulario_A00'!$D:$D,MATCH("D01-DOC-TAP-001.STAKEHOLDERS.PARTICIPANTES",'01_Formulario_A00'!$A:$A,0))),"— (a preencher em 01_Formulario_A00)")</f>
        <v/>
      </c>
    </row>
    <row r="66">
      <c r="A66" s="13" t="inlineStr">
        <is>
          <t>D01-DOC-TAP-001.STAKEHOLDERS.PAPEIS</t>
        </is>
      </c>
      <c r="B66" s="2" t="inlineStr">
        <is>
          <t>papeis</t>
        </is>
      </c>
      <c r="C66" s="14">
        <f>IFERROR(IF(INDEX('01_Formulario_A00'!$D:$D,MATCH("D01-DOC-TAP-001.STAKEHOLDERS.PAPEIS",'01_Formulario_A00'!$A:$A,0))="","— (a preencher em 01_Formulario_A00)",INDEX('01_Formulario_A00'!$D:$D,MATCH("D01-DOC-TAP-001.STAKEHOLDERS.PAPEIS",'01_Formulario_A00'!$A:$A,0))),"— (a preencher em 01_Formulario_A00)")</f>
        <v/>
      </c>
    </row>
    <row r="67">
      <c r="A67" s="13" t="inlineStr">
        <is>
          <t>D01-DOC-TAP-001.STAKEHOLDERS.RESPONSABILIDADES</t>
        </is>
      </c>
      <c r="B67" s="2" t="inlineStr">
        <is>
          <t>responsabilidades</t>
        </is>
      </c>
      <c r="C67" s="14">
        <f>IFERROR(IF(INDEX('01_Formulario_A00'!$D:$D,MATCH("D01-DOC-TAP-001.STAKEHOLDERS.RESPONSABILIDADES",'01_Formulario_A00'!$A:$A,0))="","— (a preencher em 01_Formulario_A00)",INDEX('01_Formulario_A00'!$D:$D,MATCH("D01-DOC-TAP-001.STAKEHOLDERS.RESPONSABILIDADES",'01_Formulario_A00'!$A:$A,0))),"— (a preencher em 01_Formulario_A00)")</f>
        <v/>
      </c>
    </row>
    <row r="68">
      <c r="A68" s="13" t="inlineStr">
        <is>
          <t>D01-DOC-TAP-001.CONSTRAINTS.RESTRICOES</t>
        </is>
      </c>
      <c r="B68" s="2" t="inlineStr">
        <is>
          <t>restricoes</t>
        </is>
      </c>
      <c r="C68" s="14">
        <f>IFERROR(IF(INDEX('01_Formulario_A00'!$D:$D,MATCH("D01-DOC-TAP-001.CONSTRAINTS.RESTRICOES",'01_Formulario_A00'!$A:$A,0))="","— (a preencher em 01_Formulario_A00)",INDEX('01_Formulario_A00'!$D:$D,MATCH("D01-DOC-TAP-001.CONSTRAINTS.RESTRICOES",'01_Formulario_A00'!$A:$A,0))),"— (a preencher em 01_Formulario_A00)")</f>
        <v/>
      </c>
    </row>
    <row r="69">
      <c r="A69" s="13" t="inlineStr">
        <is>
          <t>D01-DOC-TAP-001.CONSTRAINTS.PREMISSAS</t>
        </is>
      </c>
      <c r="B69" s="2" t="inlineStr">
        <is>
          <t>premissas</t>
        </is>
      </c>
      <c r="C69" s="14">
        <f>IFERROR(IF(INDEX('01_Formulario_A00'!$D:$D,MATCH("D01-DOC-TAP-001.CONSTRAINTS.PREMISSAS",'01_Formulario_A00'!$A:$A,0))="","— (a preencher em 01_Formulario_A00)",INDEX('01_Formulario_A00'!$D:$D,MATCH("D01-DOC-TAP-001.CONSTRAINTS.PREMISSAS",'01_Formulario_A00'!$A:$A,0))),"— (a preencher em 01_Formulario_A00)")</f>
        <v/>
      </c>
    </row>
    <row r="70">
      <c r="A70" s="13" t="inlineStr">
        <is>
          <t>D01-DOC-TAP-001.CONSTRAINTS.DEPENDENCIAS</t>
        </is>
      </c>
      <c r="B70" s="2" t="inlineStr">
        <is>
          <t>dependencias</t>
        </is>
      </c>
      <c r="C70" s="14">
        <f>IFERROR(IF(INDEX('01_Formulario_A00'!$D:$D,MATCH("D01-DOC-TAP-001.CONSTRAINTS.DEPENDENCIAS",'01_Formulario_A00'!$A:$A,0))="","— (a preencher em 01_Formulario_A00)",INDEX('01_Formulario_A00'!$D:$D,MATCH("D01-DOC-TAP-001.CONSTRAINTS.DEPENDENCIAS",'01_Formulario_A00'!$A:$A,0))),"— (a preencher em 01_Formulario_A00)")</f>
        <v/>
      </c>
    </row>
    <row r="71">
      <c r="A71" s="13" t="inlineStr">
        <is>
          <t>D01-DOC-TAP-001.RESOURCES.CAPACIDADE</t>
        </is>
      </c>
      <c r="B71" s="2" t="inlineStr">
        <is>
          <t>capacidade</t>
        </is>
      </c>
      <c r="C71" s="14">
        <f>IFERROR(IF(INDEX('01_Formulario_A00'!$D:$D,MATCH("D01-DOC-TAP-001.RESOURCES.CAPACIDADE",'01_Formulario_A00'!$A:$A,0))="","— (a preencher em 01_Formulario_A00)",INDEX('01_Formulario_A00'!$D:$D,MATCH("D01-DOC-TAP-001.RESOURCES.CAPACIDADE",'01_Formulario_A00'!$A:$A,0))),"— (a preencher em 01_Formulario_A00)")</f>
        <v/>
      </c>
    </row>
    <row r="72">
      <c r="A72" s="13" t="inlineStr">
        <is>
          <t>D01-DOC-TAP-001.RESOURCES.RECURSOS</t>
        </is>
      </c>
      <c r="B72" s="2" t="inlineStr">
        <is>
          <t>recursos</t>
        </is>
      </c>
      <c r="C72" s="14">
        <f>IFERROR(IF(INDEX('01_Formulario_A00'!$D:$D,MATCH("D01-DOC-TAP-001.RESOURCES.RECURSOS",'01_Formulario_A00'!$A:$A,0))="","— (a preencher em 01_Formulario_A00)",INDEX('01_Formulario_A00'!$D:$D,MATCH("D01-DOC-TAP-001.RESOURCES.RECURSOS",'01_Formulario_A00'!$A:$A,0))),"— (a preencher em 01_Formulario_A00)")</f>
        <v/>
      </c>
    </row>
    <row r="73">
      <c r="A73" s="13" t="inlineStr">
        <is>
          <t>D01-DOC-TAP-001.RESOURCES.ORCAMENTO</t>
        </is>
      </c>
      <c r="B73" s="2" t="inlineStr">
        <is>
          <t>orcamento</t>
        </is>
      </c>
      <c r="C73" s="14">
        <f>IFERROR(IF(INDEX('01_Formulario_A00'!$D:$D,MATCH("D01-DOC-TAP-001.RESOURCES.ORCAMENTO",'01_Formulario_A00'!$A:$A,0))="","— (a preencher em 01_Formulario_A00)",INDEX('01_Formulario_A00'!$D:$D,MATCH("D01-DOC-TAP-001.RESOURCES.ORCAMENTO",'01_Formulario_A00'!$A:$A,0))),"— (a preencher em 01_Formulario_A00)")</f>
        <v/>
      </c>
    </row>
    <row r="74">
      <c r="A74" s="13" t="inlineStr">
        <is>
          <t>D01-DOC-TAP-001.SUCCESS.CRITERIOS_DE_ACEITE</t>
        </is>
      </c>
      <c r="B74" s="2" t="inlineStr">
        <is>
          <t>criterios_de_aceite</t>
        </is>
      </c>
      <c r="C74" s="14">
        <f>IFERROR(IF(INDEX('01_Formulario_A00'!$D:$D,MATCH("D01-DOC-TAP-001.SUCCESS.CRITERIOS_DE_ACEITE",'01_Formulario_A00'!$A:$A,0))="","— (a preencher em 01_Formulario_A00)",INDEX('01_Formulario_A00'!$D:$D,MATCH("D01-DOC-TAP-001.SUCCESS.CRITERIOS_DE_ACEITE",'01_Formulario_A00'!$A:$A,0))),"— (a preencher em 01_Formulario_A00)")</f>
        <v/>
      </c>
    </row>
    <row r="75">
      <c r="A75" s="13" t="inlineStr">
        <is>
          <t>D01-DOC-TAP-001.SUCCESS.INDICADORES_DE_SUCESSO</t>
        </is>
      </c>
      <c r="B75" s="2" t="inlineStr">
        <is>
          <t>indicadores_de_sucesso</t>
        </is>
      </c>
      <c r="C75" s="14">
        <f>IFERROR(IF(INDEX('01_Formulario_A00'!$D:$D,MATCH("D01-DOC-TAP-001.SUCCESS.INDICADORES_DE_SUCESSO",'01_Formulario_A00'!$A:$A,0))="","— (a preencher em 01_Formulario_A00)",INDEX('01_Formulario_A00'!$D:$D,MATCH("D01-DOC-TAP-001.SUCCESS.INDICADORES_DE_SUCESSO",'01_Formulario_A00'!$A:$A,0))),"— (a preencher em 01_Formulario_A00)")</f>
        <v/>
      </c>
    </row>
    <row r="76">
      <c r="A76" s="13" t="inlineStr">
        <is>
          <t>D01-DOC-TAP-001.RISKS.RISCOS_INICIAIS</t>
        </is>
      </c>
      <c r="B76" s="2" t="inlineStr">
        <is>
          <t>riscos_iniciais</t>
        </is>
      </c>
      <c r="C76" s="14">
        <f>IFERROR(IF(INDEX('01_Formulario_A00'!$D:$D,MATCH("D01-DOC-TAP-001.RISKS.RISCOS_INICIAIS",'01_Formulario_A00'!$A:$A,0))="","— (a preencher em 01_Formulario_A00)",INDEX('01_Formulario_A00'!$D:$D,MATCH("D01-DOC-TAP-001.RISKS.RISCOS_INICIAIS",'01_Formulario_A00'!$A:$A,0))),"— (a preencher em 01_Formulario_A00)")</f>
        <v/>
      </c>
    </row>
    <row r="77">
      <c r="A77" s="13" t="inlineStr">
        <is>
          <t>D01-DOC-TAP-001.APPROVALS.APROVADORES</t>
        </is>
      </c>
      <c r="B77" s="2" t="inlineStr">
        <is>
          <t>aprovadores</t>
        </is>
      </c>
      <c r="C77" s="14">
        <f>IFERROR(IF(INDEX('01_Formulario_A00'!$D:$D,MATCH("D01-DOC-TAP-001.APPROVALS.APROVADORES",'01_Formulario_A00'!$A:$A,0))="","— (a preencher em 01_Formulario_A00)",INDEX('01_Formulario_A00'!$D:$D,MATCH("D01-DOC-TAP-001.APPROVALS.APROVADORES",'01_Formulario_A00'!$A:$A,0))),"— (a preencher em 01_Formulario_A00)")</f>
        <v/>
      </c>
    </row>
    <row r="78">
      <c r="A78" s="13" t="inlineStr">
        <is>
          <t>D01-DOC-TAP-001.APPROVALS.STATUS_APROVACAO</t>
        </is>
      </c>
      <c r="B78" s="2" t="inlineStr">
        <is>
          <t>status_aprovacao</t>
        </is>
      </c>
      <c r="C78" s="14">
        <f>IFERROR(IF(INDEX('01_Formulario_A00'!$D:$D,MATCH("D01-DOC-TAP-001.APPROVALS.STATUS_APROVACAO",'01_Formulario_A00'!$A:$A,0))="","— (a preencher em 01_Formulario_A00)",INDEX('01_Formulario_A00'!$D:$D,MATCH("D01-DOC-TAP-001.APPROVALS.STATUS_APROVACAO",'01_Formulario_A00'!$A:$A,0))),"— (a preencher em 01_Formulario_A00)")</f>
        <v/>
      </c>
    </row>
    <row r="79">
      <c r="A79" s="5" t="inlineStr">
        <is>
          <t>D01-DOC-MNE-001 — Modelo de Negócio do Ecossistema [PRE_PREENCHIDO/PENDENTE]</t>
        </is>
      </c>
      <c r="B79" s="6" t="n"/>
      <c r="C79" s="7" t="n"/>
    </row>
    <row r="80">
      <c r="A80" s="13" t="inlineStr">
        <is>
          <t>D01-DOC-MNE-001.CUSTOMER.SEGMENTOS</t>
        </is>
      </c>
      <c r="B80" s="2" t="inlineStr">
        <is>
          <t>segmentos</t>
        </is>
      </c>
      <c r="C80" s="14">
        <f>IFERROR(IF(INDEX('01_Formulario_A00'!$D:$D,MATCH("D01-DOC-MNE-001.CUSTOMER.SEGMENTOS",'01_Formulario_A00'!$A:$A,0))="","— (a preencher em 01_Formulario_A00)",INDEX('01_Formulario_A00'!$D:$D,MATCH("D01-DOC-MNE-001.CUSTOMER.SEGMENTOS",'01_Formulario_A00'!$A:$A,0))),"— (a preencher em 01_Formulario_A00)")</f>
        <v/>
      </c>
    </row>
    <row r="81">
      <c r="A81" s="13" t="inlineStr">
        <is>
          <t>D01-DOC-MNE-001.CUSTOMER.USUARIOS</t>
        </is>
      </c>
      <c r="B81" s="2" t="inlineStr">
        <is>
          <t>usuarios</t>
        </is>
      </c>
      <c r="C81" s="14">
        <f>IFERROR(IF(INDEX('01_Formulario_A00'!$D:$D,MATCH("D01-DOC-MNE-001.CUSTOMER.USUARIOS",'01_Formulario_A00'!$A:$A,0))="","— (a preencher em 01_Formulario_A00)",INDEX('01_Formulario_A00'!$D:$D,MATCH("D01-DOC-MNE-001.CUSTOMER.USUARIOS",'01_Formulario_A00'!$A:$A,0))),"— (a preencher em 01_Formulario_A00)")</f>
        <v/>
      </c>
    </row>
    <row r="82">
      <c r="A82" s="13" t="inlineStr">
        <is>
          <t>D01-DOC-MNE-001.CUSTOMER.CLIENTES</t>
        </is>
      </c>
      <c r="B82" s="2" t="inlineStr">
        <is>
          <t>clientes</t>
        </is>
      </c>
      <c r="C82" s="14">
        <f>IFERROR(IF(INDEX('01_Formulario_A00'!$D:$D,MATCH("D01-DOC-MNE-001.CUSTOMER.CLIENTES",'01_Formulario_A00'!$A:$A,0))="","— (a preencher em 01_Formulario_A00)",INDEX('01_Formulario_A00'!$D:$D,MATCH("D01-DOC-MNE-001.CUSTOMER.CLIENTES",'01_Formulario_A00'!$A:$A,0))),"— (a preencher em 01_Formulario_A00)")</f>
        <v/>
      </c>
    </row>
    <row r="83">
      <c r="A83" s="13" t="inlineStr">
        <is>
          <t>D01-DOC-MNE-001.CUSTOMER.PROBLEMAS</t>
        </is>
      </c>
      <c r="B83" s="2" t="inlineStr">
        <is>
          <t>problemas</t>
        </is>
      </c>
      <c r="C83" s="14">
        <f>IFERROR(IF(INDEX('01_Formulario_A00'!$D:$D,MATCH("D01-DOC-MNE-001.CUSTOMER.PROBLEMAS",'01_Formulario_A00'!$A:$A,0))="","— (a preencher em 01_Formulario_A00)",INDEX('01_Formulario_A00'!$D:$D,MATCH("D01-DOC-MNE-001.CUSTOMER.PROBLEMAS",'01_Formulario_A00'!$A:$A,0))),"— (a preencher em 01_Formulario_A00)")</f>
        <v/>
      </c>
    </row>
    <row r="84">
      <c r="A84" s="13" t="inlineStr">
        <is>
          <t>D01-DOC-MNE-001.CUSTOMER.JTBD</t>
        </is>
      </c>
      <c r="B84" s="2" t="inlineStr">
        <is>
          <t>jtbd</t>
        </is>
      </c>
      <c r="C84" s="14">
        <f>IFERROR(IF(INDEX('01_Formulario_A00'!$D:$D,MATCH("D01-DOC-MNE-001.CUSTOMER.JTBD",'01_Formulario_A00'!$A:$A,0))="","— (a preencher em 01_Formulario_A00)",INDEX('01_Formulario_A00'!$D:$D,MATCH("D01-DOC-MNE-001.CUSTOMER.JTBD",'01_Formulario_A00'!$A:$A,0))),"— (a preencher em 01_Formulario_A00)")</f>
        <v/>
      </c>
    </row>
    <row r="85">
      <c r="A85" s="13" t="inlineStr">
        <is>
          <t>D01-DOC-MNE-001.VALUE.PROPOSTAS_DE_VALOR</t>
        </is>
      </c>
      <c r="B85" s="2" t="inlineStr">
        <is>
          <t>propostas_de_valor</t>
        </is>
      </c>
      <c r="C85" s="14">
        <f>IFERROR(IF(INDEX('01_Formulario_A00'!$D:$D,MATCH("D01-DOC-MNE-001.VALUE.PROPOSTAS_DE_VALOR",'01_Formulario_A00'!$A:$A,0))="","— (a preencher em 01_Formulario_A00)",INDEX('01_Formulario_A00'!$D:$D,MATCH("D01-DOC-MNE-001.VALUE.PROPOSTAS_DE_VALOR",'01_Formulario_A00'!$A:$A,0))),"— (a preencher em 01_Formulario_A00)")</f>
        <v/>
      </c>
    </row>
    <row r="86">
      <c r="A86" s="13" t="inlineStr">
        <is>
          <t>D01-DOC-MNE-001.VALUE.BENEFICIOS</t>
        </is>
      </c>
      <c r="B86" s="2" t="inlineStr">
        <is>
          <t>beneficios</t>
        </is>
      </c>
      <c r="C86" s="14">
        <f>IFERROR(IF(INDEX('01_Formulario_A00'!$D:$D,MATCH("D01-DOC-MNE-001.VALUE.BENEFICIOS",'01_Formulario_A00'!$A:$A,0))="","— (a preencher em 01_Formulario_A00)",INDEX('01_Formulario_A00'!$D:$D,MATCH("D01-DOC-MNE-001.VALUE.BENEFICIOS",'01_Formulario_A00'!$A:$A,0))),"— (a preencher em 01_Formulario_A00)")</f>
        <v/>
      </c>
    </row>
    <row r="87">
      <c r="A87" s="13" t="inlineStr">
        <is>
          <t>D01-DOC-MNE-001.VALUE.DIFERENCIADORES</t>
        </is>
      </c>
      <c r="B87" s="2" t="inlineStr">
        <is>
          <t>diferenciadores</t>
        </is>
      </c>
      <c r="C87" s="14">
        <f>IFERROR(IF(INDEX('01_Formulario_A00'!$D:$D,MATCH("D01-DOC-MNE-001.VALUE.DIFERENCIADORES",'01_Formulario_A00'!$A:$A,0))="","— (a preencher em 01_Formulario_A00)",INDEX('01_Formulario_A00'!$D:$D,MATCH("D01-DOC-MNE-001.VALUE.DIFERENCIADORES",'01_Formulario_A00'!$A:$A,0))),"— (a preencher em 01_Formulario_A00)")</f>
        <v/>
      </c>
    </row>
    <row r="88">
      <c r="A88" s="13" t="inlineStr">
        <is>
          <t>D01-DOC-MNE-001.VALUE.ALTERNATIVAS_EXISTENTES</t>
        </is>
      </c>
      <c r="B88" s="2" t="inlineStr">
        <is>
          <t>alternativas_existentes</t>
        </is>
      </c>
      <c r="C88" s="14">
        <f>IFERROR(IF(INDEX('01_Formulario_A00'!$D:$D,MATCH("D01-DOC-MNE-001.VALUE.ALTERNATIVAS_EXISTENTES",'01_Formulario_A00'!$A:$A,0))="","— (a preencher em 01_Formulario_A00)",INDEX('01_Formulario_A00'!$D:$D,MATCH("D01-DOC-MNE-001.VALUE.ALTERNATIVAS_EXISTENTES",'01_Formulario_A00'!$A:$A,0))),"— (a preencher em 01_Formulario_A00)")</f>
        <v/>
      </c>
    </row>
    <row r="89">
      <c r="A89" s="13" t="inlineStr">
        <is>
          <t>D01-DOC-MNE-001.OFFERINGS.PRODUTOS</t>
        </is>
      </c>
      <c r="B89" s="2" t="inlineStr">
        <is>
          <t>produtos</t>
        </is>
      </c>
      <c r="C89" s="14">
        <f>IFERROR(IF(INDEX('01_Formulario_A00'!$D:$D,MATCH("D01-DOC-MNE-001.OFFERINGS.PRODUTOS",'01_Formulario_A00'!$A:$A,0))="","— (a preencher em 01_Formulario_A00)",INDEX('01_Formulario_A00'!$D:$D,MATCH("D01-DOC-MNE-001.OFFERINGS.PRODUTOS",'01_Formulario_A00'!$A:$A,0))),"— (a preencher em 01_Formulario_A00)")</f>
        <v/>
      </c>
    </row>
    <row r="90">
      <c r="A90" s="13" t="inlineStr">
        <is>
          <t>D01-DOC-MNE-001.OFFERINGS.SERVICOS</t>
        </is>
      </c>
      <c r="B90" s="2" t="inlineStr">
        <is>
          <t>servicos</t>
        </is>
      </c>
      <c r="C90" s="14">
        <f>IFERROR(IF(INDEX('01_Formulario_A00'!$D:$D,MATCH("D01-DOC-MNE-001.OFFERINGS.SERVICOS",'01_Formulario_A00'!$A:$A,0))="","— (a preencher em 01_Formulario_A00)",INDEX('01_Formulario_A00'!$D:$D,MATCH("D01-DOC-MNE-001.OFFERINGS.SERVICOS",'01_Formulario_A00'!$A:$A,0))),"— (a preencher em 01_Formulario_A00)")</f>
        <v/>
      </c>
    </row>
    <row r="91">
      <c r="A91" s="13" t="inlineStr">
        <is>
          <t>D01-DOC-MNE-001.OFFERINGS.PLANOS</t>
        </is>
      </c>
      <c r="B91" s="2" t="inlineStr">
        <is>
          <t>planos</t>
        </is>
      </c>
      <c r="C91" s="14">
        <f>IFERROR(IF(INDEX('01_Formulario_A00'!$D:$D,MATCH("D01-DOC-MNE-001.OFFERINGS.PLANOS",'01_Formulario_A00'!$A:$A,0))="","— (a preencher em 01_Formulario_A00)",INDEX('01_Formulario_A00'!$D:$D,MATCH("D01-DOC-MNE-001.OFFERINGS.PLANOS",'01_Formulario_A00'!$A:$A,0))),"— (a preencher em 01_Formulario_A00)")</f>
        <v/>
      </c>
    </row>
    <row r="92">
      <c r="A92" s="13" t="inlineStr">
        <is>
          <t>D01-DOC-MNE-001.OFFERINGS.OFERTAS</t>
        </is>
      </c>
      <c r="B92" s="2" t="inlineStr">
        <is>
          <t>ofertas</t>
        </is>
      </c>
      <c r="C92" s="14">
        <f>IFERROR(IF(INDEX('01_Formulario_A00'!$D:$D,MATCH("D01-DOC-MNE-001.OFFERINGS.OFERTAS",'01_Formulario_A00'!$A:$A,0))="","— (a preencher em 01_Formulario_A00)",INDEX('01_Formulario_A00'!$D:$D,MATCH("D01-DOC-MNE-001.OFFERINGS.OFERTAS",'01_Formulario_A00'!$A:$A,0))),"— (a preencher em 01_Formulario_A00)")</f>
        <v/>
      </c>
    </row>
    <row r="93">
      <c r="A93" s="13" t="inlineStr">
        <is>
          <t>D01-DOC-MNE-001.CHANNELS.AQUISICAO</t>
        </is>
      </c>
      <c r="B93" s="2" t="inlineStr">
        <is>
          <t>aquisicao</t>
        </is>
      </c>
      <c r="C93" s="14">
        <f>IFERROR(IF(INDEX('01_Formulario_A00'!$D:$D,MATCH("D01-DOC-MNE-001.CHANNELS.AQUISICAO",'01_Formulario_A00'!$A:$A,0))="","— (a preencher em 01_Formulario_A00)",INDEX('01_Formulario_A00'!$D:$D,MATCH("D01-DOC-MNE-001.CHANNELS.AQUISICAO",'01_Formulario_A00'!$A:$A,0))),"— (a preencher em 01_Formulario_A00)")</f>
        <v/>
      </c>
    </row>
    <row r="94">
      <c r="A94" s="13" t="inlineStr">
        <is>
          <t>D01-DOC-MNE-001.CHANNELS.DISTRIBUICAO</t>
        </is>
      </c>
      <c r="B94" s="2" t="inlineStr">
        <is>
          <t>distribuicao</t>
        </is>
      </c>
      <c r="C94" s="14">
        <f>IFERROR(IF(INDEX('01_Formulario_A00'!$D:$D,MATCH("D01-DOC-MNE-001.CHANNELS.DISTRIBUICAO",'01_Formulario_A00'!$A:$A,0))="","— (a preencher em 01_Formulario_A00)",INDEX('01_Formulario_A00'!$D:$D,MATCH("D01-DOC-MNE-001.CHANNELS.DISTRIBUICAO",'01_Formulario_A00'!$A:$A,0))),"— (a preencher em 01_Formulario_A00)")</f>
        <v/>
      </c>
    </row>
    <row r="95">
      <c r="A95" s="13" t="inlineStr">
        <is>
          <t>D01-DOC-MNE-001.CHANNELS.ENTREGA</t>
        </is>
      </c>
      <c r="B95" s="2" t="inlineStr">
        <is>
          <t>entrega</t>
        </is>
      </c>
      <c r="C95" s="14">
        <f>IFERROR(IF(INDEX('01_Formulario_A00'!$D:$D,MATCH("D01-DOC-MNE-001.CHANNELS.ENTREGA",'01_Formulario_A00'!$A:$A,0))="","— (a preencher em 01_Formulario_A00)",INDEX('01_Formulario_A00'!$D:$D,MATCH("D01-DOC-MNE-001.CHANNELS.ENTREGA",'01_Formulario_A00'!$A:$A,0))),"— (a preencher em 01_Formulario_A00)")</f>
        <v/>
      </c>
    </row>
    <row r="96">
      <c r="A96" s="13" t="inlineStr">
        <is>
          <t>D01-DOC-MNE-001.RELATIONSHIPS.RELACIONAMENTO_COM_CLIENTE</t>
        </is>
      </c>
      <c r="B96" s="2" t="inlineStr">
        <is>
          <t>relacionamento_com_cliente</t>
        </is>
      </c>
      <c r="C96" s="14">
        <f>IFERROR(IF(INDEX('01_Formulario_A00'!$D:$D,MATCH("D01-DOC-MNE-001.RELATIONSHIPS.RELACIONAMENTO_COM_CLIENTE",'01_Formulario_A00'!$A:$A,0))="","— (a preencher em 01_Formulario_A00)",INDEX('01_Formulario_A00'!$D:$D,MATCH("D01-DOC-MNE-001.RELATIONSHIPS.RELACIONAMENTO_COM_CLIENTE",'01_Formulario_A00'!$A:$A,0))),"— (a preencher em 01_Formulario_A00)")</f>
        <v/>
      </c>
    </row>
    <row r="97">
      <c r="A97" s="13" t="inlineStr">
        <is>
          <t>D01-DOC-MNE-001.RELATIONSHIPS.COMUNIDADE</t>
        </is>
      </c>
      <c r="B97" s="2" t="inlineStr">
        <is>
          <t>comunidade</t>
        </is>
      </c>
      <c r="C97" s="14">
        <f>IFERROR(IF(INDEX('01_Formulario_A00'!$D:$D,MATCH("D01-DOC-MNE-001.RELATIONSHIPS.COMUNIDADE",'01_Formulario_A00'!$A:$A,0))="","— (a preencher em 01_Formulario_A00)",INDEX('01_Formulario_A00'!$D:$D,MATCH("D01-DOC-MNE-001.RELATIONSHIPS.COMUNIDADE",'01_Formulario_A00'!$A:$A,0))),"— (a preencher em 01_Formulario_A00)")</f>
        <v/>
      </c>
    </row>
    <row r="98">
      <c r="A98" s="13" t="inlineStr">
        <is>
          <t>D01-DOC-MNE-001.RELATIONSHIPS.SUPORTE</t>
        </is>
      </c>
      <c r="B98" s="2" t="inlineStr">
        <is>
          <t>suporte</t>
        </is>
      </c>
      <c r="C98" s="14">
        <f>IFERROR(IF(INDEX('01_Formulario_A00'!$D:$D,MATCH("D01-DOC-MNE-001.RELATIONSHIPS.SUPORTE",'01_Formulario_A00'!$A:$A,0))="","— (a preencher em 01_Formulario_A00)",INDEX('01_Formulario_A00'!$D:$D,MATCH("D01-DOC-MNE-001.RELATIONSHIPS.SUPORTE",'01_Formulario_A00'!$A:$A,0))),"— (a preencher em 01_Formulario_A00)")</f>
        <v/>
      </c>
    </row>
    <row r="99">
      <c r="A99" s="13" t="inlineStr">
        <is>
          <t>D01-DOC-MNE-001.REVENUE.FONTES_DE_RECEITA</t>
        </is>
      </c>
      <c r="B99" s="2" t="inlineStr">
        <is>
          <t>fontes_de_receita</t>
        </is>
      </c>
      <c r="C99" s="14">
        <f>IFERROR(IF(INDEX('01_Formulario_A00'!$D:$D,MATCH("D01-DOC-MNE-001.REVENUE.FONTES_DE_RECEITA",'01_Formulario_A00'!$A:$A,0))="","— (a preencher em 01_Formulario_A00)",INDEX('01_Formulario_A00'!$D:$D,MATCH("D01-DOC-MNE-001.REVENUE.FONTES_DE_RECEITA",'01_Formulario_A00'!$A:$A,0))),"— (a preencher em 01_Formulario_A00)")</f>
        <v/>
      </c>
    </row>
    <row r="100">
      <c r="A100" s="13" t="inlineStr">
        <is>
          <t>D01-DOC-MNE-001.REVENUE.PRECIFICACAO</t>
        </is>
      </c>
      <c r="B100" s="2" t="inlineStr">
        <is>
          <t>precificacao</t>
        </is>
      </c>
      <c r="C100" s="14">
        <f>IFERROR(IF(INDEX('01_Formulario_A00'!$D:$D,MATCH("D01-DOC-MNE-001.REVENUE.PRECIFICACAO",'01_Formulario_A00'!$A:$A,0))="","— (a preencher em 01_Formulario_A00)",INDEX('01_Formulario_A00'!$D:$D,MATCH("D01-DOC-MNE-001.REVENUE.PRECIFICACAO",'01_Formulario_A00'!$A:$A,0))),"— (a preencher em 01_Formulario_A00)")</f>
        <v/>
      </c>
    </row>
    <row r="101">
      <c r="A101" s="13" t="inlineStr">
        <is>
          <t>D01-DOC-MNE-001.REVENUE.RECORRENCIA</t>
        </is>
      </c>
      <c r="B101" s="2" t="inlineStr">
        <is>
          <t>recorrencia</t>
        </is>
      </c>
      <c r="C101" s="14">
        <f>IFERROR(IF(INDEX('01_Formulario_A00'!$D:$D,MATCH("D01-DOC-MNE-001.REVENUE.RECORRENCIA",'01_Formulario_A00'!$A:$A,0))="","— (a preencher em 01_Formulario_A00)",INDEX('01_Formulario_A00'!$D:$D,MATCH("D01-DOC-MNE-001.REVENUE.RECORRENCIA",'01_Formulario_A00'!$A:$A,0))),"— (a preencher em 01_Formulario_A00)")</f>
        <v/>
      </c>
    </row>
    <row r="102">
      <c r="A102" s="13" t="inlineStr">
        <is>
          <t>D01-DOC-MNE-001.COSTS.ESTRUTURA_DE_CUSTOS</t>
        </is>
      </c>
      <c r="B102" s="2" t="inlineStr">
        <is>
          <t>estrutura_de_custos</t>
        </is>
      </c>
      <c r="C102" s="14">
        <f>IFERROR(IF(INDEX('01_Formulario_A00'!$D:$D,MATCH("D01-DOC-MNE-001.COSTS.ESTRUTURA_DE_CUSTOS",'01_Formulario_A00'!$A:$A,0))="","— (a preencher em 01_Formulario_A00)",INDEX('01_Formulario_A00'!$D:$D,MATCH("D01-DOC-MNE-001.COSTS.ESTRUTURA_DE_CUSTOS",'01_Formulario_A00'!$A:$A,0))),"— (a preencher em 01_Formulario_A00)")</f>
        <v/>
      </c>
    </row>
    <row r="103">
      <c r="A103" s="13" t="inlineStr">
        <is>
          <t>D01-DOC-MNE-001.COSTS.CAPEX</t>
        </is>
      </c>
      <c r="B103" s="2" t="inlineStr">
        <is>
          <t>capex</t>
        </is>
      </c>
      <c r="C103" s="14">
        <f>IFERROR(IF(INDEX('01_Formulario_A00'!$D:$D,MATCH("D01-DOC-MNE-001.COSTS.CAPEX",'01_Formulario_A00'!$A:$A,0))="","— (a preencher em 01_Formulario_A00)",INDEX('01_Formulario_A00'!$D:$D,MATCH("D01-DOC-MNE-001.COSTS.CAPEX",'01_Formulario_A00'!$A:$A,0))),"— (a preencher em 01_Formulario_A00)")</f>
        <v/>
      </c>
    </row>
    <row r="104">
      <c r="A104" s="13" t="inlineStr">
        <is>
          <t>D01-DOC-MNE-001.COSTS.OPEX</t>
        </is>
      </c>
      <c r="B104" s="2" t="inlineStr">
        <is>
          <t>opex</t>
        </is>
      </c>
      <c r="C104" s="14">
        <f>IFERROR(IF(INDEX('01_Formulario_A00'!$D:$D,MATCH("D01-DOC-MNE-001.COSTS.OPEX",'01_Formulario_A00'!$A:$A,0))="","— (a preencher em 01_Formulario_A00)",INDEX('01_Formulario_A00'!$D:$D,MATCH("D01-DOC-MNE-001.COSTS.OPEX",'01_Formulario_A00'!$A:$A,0))),"— (a preencher em 01_Formulario_A00)")</f>
        <v/>
      </c>
    </row>
    <row r="105">
      <c r="A105" s="13" t="inlineStr">
        <is>
          <t>D01-DOC-MNE-001.RESOURCES.RECURSOS_CHAVE</t>
        </is>
      </c>
      <c r="B105" s="2" t="inlineStr">
        <is>
          <t>recursos_chave</t>
        </is>
      </c>
      <c r="C105" s="14">
        <f>IFERROR(IF(INDEX('01_Formulario_A00'!$D:$D,MATCH("D01-DOC-MNE-001.RESOURCES.RECURSOS_CHAVE",'01_Formulario_A00'!$A:$A,0))="","— (a preencher em 01_Formulario_A00)",INDEX('01_Formulario_A00'!$D:$D,MATCH("D01-DOC-MNE-001.RESOURCES.RECURSOS_CHAVE",'01_Formulario_A00'!$A:$A,0))),"— (a preencher em 01_Formulario_A00)")</f>
        <v/>
      </c>
    </row>
    <row r="106">
      <c r="A106" s="13" t="inlineStr">
        <is>
          <t>D01-DOC-MNE-001.RESOURCES.CAPACIDADES_CHAVE</t>
        </is>
      </c>
      <c r="B106" s="2" t="inlineStr">
        <is>
          <t>capacidades_chave</t>
        </is>
      </c>
      <c r="C106" s="14">
        <f>IFERROR(IF(INDEX('01_Formulario_A00'!$D:$D,MATCH("D01-DOC-MNE-001.RESOURCES.CAPACIDADES_CHAVE",'01_Formulario_A00'!$A:$A,0))="","— (a preencher em 01_Formulario_A00)",INDEX('01_Formulario_A00'!$D:$D,MATCH("D01-DOC-MNE-001.RESOURCES.CAPACIDADES_CHAVE",'01_Formulario_A00'!$A:$A,0))),"— (a preencher em 01_Formulario_A00)")</f>
        <v/>
      </c>
    </row>
    <row r="107">
      <c r="A107" s="13" t="inlineStr">
        <is>
          <t>D01-DOC-MNE-001.ACTIVITIES.ATIVIDADES_CHAVE</t>
        </is>
      </c>
      <c r="B107" s="2" t="inlineStr">
        <is>
          <t>atividades_chave</t>
        </is>
      </c>
      <c r="C107" s="14">
        <f>IFERROR(IF(INDEX('01_Formulario_A00'!$D:$D,MATCH("D01-DOC-MNE-001.ACTIVITIES.ATIVIDADES_CHAVE",'01_Formulario_A00'!$A:$A,0))="","— (a preencher em 01_Formulario_A00)",INDEX('01_Formulario_A00'!$D:$D,MATCH("D01-DOC-MNE-001.ACTIVITIES.ATIVIDADES_CHAVE",'01_Formulario_A00'!$A:$A,0))),"— (a preencher em 01_Formulario_A00)")</f>
        <v/>
      </c>
    </row>
    <row r="108">
      <c r="A108" s="13" t="inlineStr">
        <is>
          <t>D01-DOC-MNE-001.PARTNERS.PARCEIROS</t>
        </is>
      </c>
      <c r="B108" s="2" t="inlineStr">
        <is>
          <t>parceiros</t>
        </is>
      </c>
      <c r="C108" s="14">
        <f>IFERROR(IF(INDEX('01_Formulario_A00'!$D:$D,MATCH("D01-DOC-MNE-001.PARTNERS.PARCEIROS",'01_Formulario_A00'!$A:$A,0))="","— (a preencher em 01_Formulario_A00)",INDEX('01_Formulario_A00'!$D:$D,MATCH("D01-DOC-MNE-001.PARTNERS.PARCEIROS",'01_Formulario_A00'!$A:$A,0))),"— (a preencher em 01_Formulario_A00)")</f>
        <v/>
      </c>
    </row>
    <row r="109">
      <c r="A109" s="13" t="inlineStr">
        <is>
          <t>D01-DOC-MNE-001.PARTNERS.FORNECEDORES</t>
        </is>
      </c>
      <c r="B109" s="2" t="inlineStr">
        <is>
          <t>fornecedores</t>
        </is>
      </c>
      <c r="C109" s="14">
        <f>IFERROR(IF(INDEX('01_Formulario_A00'!$D:$D,MATCH("D01-DOC-MNE-001.PARTNERS.FORNECEDORES",'01_Formulario_A00'!$A:$A,0))="","— (a preencher em 01_Formulario_A00)",INDEX('01_Formulario_A00'!$D:$D,MATCH("D01-DOC-MNE-001.PARTNERS.FORNECEDORES",'01_Formulario_A00'!$A:$A,0))),"— (a preencher em 01_Formulario_A00)")</f>
        <v/>
      </c>
    </row>
    <row r="110">
      <c r="A110" s="13" t="inlineStr">
        <is>
          <t>D01-DOC-MNE-001.ECONOMICS.MARGEM</t>
        </is>
      </c>
      <c r="B110" s="2" t="inlineStr">
        <is>
          <t>margem</t>
        </is>
      </c>
      <c r="C110" s="14">
        <f>IFERROR(IF(INDEX('01_Formulario_A00'!$D:$D,MATCH("D01-DOC-MNE-001.ECONOMICS.MARGEM",'01_Formulario_A00'!$A:$A,0))="","— (a preencher em 01_Formulario_A00)",INDEX('01_Formulario_A00'!$D:$D,MATCH("D01-DOC-MNE-001.ECONOMICS.MARGEM",'01_Formulario_A00'!$A:$A,0))),"— (a preencher em 01_Formulario_A00)")</f>
        <v/>
      </c>
    </row>
    <row r="111">
      <c r="A111" s="13" t="inlineStr">
        <is>
          <t>D01-DOC-MNE-001.ECONOMICS.CAC</t>
        </is>
      </c>
      <c r="B111" s="2" t="inlineStr">
        <is>
          <t>cac</t>
        </is>
      </c>
      <c r="C111" s="14">
        <f>IFERROR(IF(INDEX('01_Formulario_A00'!$D:$D,MATCH("D01-DOC-MNE-001.ECONOMICS.CAC",'01_Formulario_A00'!$A:$A,0))="","— (a preencher em 01_Formulario_A00)",INDEX('01_Formulario_A00'!$D:$D,MATCH("D01-DOC-MNE-001.ECONOMICS.CAC",'01_Formulario_A00'!$A:$A,0))),"— (a preencher em 01_Formulario_A00)")</f>
        <v/>
      </c>
    </row>
    <row r="112">
      <c r="A112" s="13" t="inlineStr">
        <is>
          <t>D01-DOC-MNE-001.ECONOMICS.LTV</t>
        </is>
      </c>
      <c r="B112" s="2" t="inlineStr">
        <is>
          <t>ltv</t>
        </is>
      </c>
      <c r="C112" s="14">
        <f>IFERROR(IF(INDEX('01_Formulario_A00'!$D:$D,MATCH("D01-DOC-MNE-001.ECONOMICS.LTV",'01_Formulario_A00'!$A:$A,0))="","— (a preencher em 01_Formulario_A00)",INDEX('01_Formulario_A00'!$D:$D,MATCH("D01-DOC-MNE-001.ECONOMICS.LTV",'01_Formulario_A00'!$A:$A,0))),"— (a preencher em 01_Formulario_A00)")</f>
        <v/>
      </c>
    </row>
    <row r="113">
      <c r="A113" s="13" t="inlineStr">
        <is>
          <t>D01-DOC-MNE-001.ECONOMICS.BREAK_EVEN</t>
        </is>
      </c>
      <c r="B113" s="2" t="inlineStr">
        <is>
          <t>break_even</t>
        </is>
      </c>
      <c r="C113" s="14">
        <f>IFERROR(IF(INDEX('01_Formulario_A00'!$D:$D,MATCH("D01-DOC-MNE-001.ECONOMICS.BREAK_EVEN",'01_Formulario_A00'!$A:$A,0))="","— (a preencher em 01_Formulario_A00)",INDEX('01_Formulario_A00'!$D:$D,MATCH("D01-DOC-MNE-001.ECONOMICS.BREAK_EVEN",'01_Formulario_A00'!$A:$A,0))),"— (a preencher em 01_Formulario_A00)")</f>
        <v/>
      </c>
    </row>
    <row r="114">
      <c r="A114" s="13" t="inlineStr">
        <is>
          <t>D01-DOC-MNE-001.ASSUMPTIONS.HIPOTESES</t>
        </is>
      </c>
      <c r="B114" s="2" t="inlineStr">
        <is>
          <t>hipoteses</t>
        </is>
      </c>
      <c r="C114" s="14">
        <f>IFERROR(IF(INDEX('01_Formulario_A00'!$D:$D,MATCH("D01-DOC-MNE-001.ASSUMPTIONS.HIPOTESES",'01_Formulario_A00'!$A:$A,0))="","— (a preencher em 01_Formulario_A00)",INDEX('01_Formulario_A00'!$D:$D,MATCH("D01-DOC-MNE-001.ASSUMPTIONS.HIPOTESES",'01_Formulario_A00'!$A:$A,0))),"— (a preencher em 01_Formulario_A00)")</f>
        <v/>
      </c>
    </row>
    <row r="115">
      <c r="A115" s="13" t="inlineStr">
        <is>
          <t>D01-DOC-MNE-001.ASSUMPTIONS.VALIDACOES_PENDENTES</t>
        </is>
      </c>
      <c r="B115" s="2" t="inlineStr">
        <is>
          <t>validacoes_pendentes</t>
        </is>
      </c>
      <c r="C115" s="14">
        <f>IFERROR(IF(INDEX('01_Formulario_A00'!$D:$D,MATCH("D01-DOC-MNE-001.ASSUMPTIONS.VALIDACOES_PENDENTES",'01_Formulario_A00'!$A:$A,0))="","— (a preencher em 01_Formulario_A00)",INDEX('01_Formulario_A00'!$D:$D,MATCH("D01-DOC-MNE-001.ASSUMPTIONS.VALIDACOES_PENDENTES",'01_Formulario_A00'!$A:$A,0))),"— (a preencher em 01_Formulario_A00)")</f>
        <v/>
      </c>
    </row>
    <row r="116">
      <c r="A116" s="5" t="inlineStr">
        <is>
          <t>D01-DOC-MRE-001 — Mapa de Relações do Ecossistema [PRE_PREENCHIDO/PENDENTE]</t>
        </is>
      </c>
      <c r="B116" s="6" t="n"/>
      <c r="C116" s="7" t="n"/>
    </row>
    <row r="117">
      <c r="A117" s="13" t="inlineStr">
        <is>
          <t>D01-DOC-MRE-001.NODES.COMPONENTES</t>
        </is>
      </c>
      <c r="B117" s="2" t="inlineStr">
        <is>
          <t>componentes</t>
        </is>
      </c>
      <c r="C117" s="14">
        <f>IFERROR(IF(INDEX('01_Formulario_A00'!$D:$D,MATCH("D01-DOC-MRE-001.NODES.COMPONENTES",'01_Formulario_A00'!$A:$A,0))="","— (a preencher em 01_Formulario_A00)",INDEX('01_Formulario_A00'!$D:$D,MATCH("D01-DOC-MRE-001.NODES.COMPONENTES",'01_Formulario_A00'!$A:$A,0))),"— (a preencher em 01_Formulario_A00)")</f>
        <v/>
      </c>
    </row>
    <row r="118">
      <c r="A118" s="13" t="inlineStr">
        <is>
          <t>D01-DOC-MRE-001.NODES.PRODUTOS</t>
        </is>
      </c>
      <c r="B118" s="2" t="inlineStr">
        <is>
          <t>produtos</t>
        </is>
      </c>
      <c r="C118" s="14">
        <f>IFERROR(IF(INDEX('01_Formulario_A00'!$D:$D,MATCH("D01-DOC-MRE-001.NODES.PRODUTOS",'01_Formulario_A00'!$A:$A,0))="","— (a preencher em 01_Formulario_A00)",INDEX('01_Formulario_A00'!$D:$D,MATCH("D01-DOC-MRE-001.NODES.PRODUTOS",'01_Formulario_A00'!$A:$A,0))),"— (a preencher em 01_Formulario_A00)")</f>
        <v/>
      </c>
    </row>
    <row r="119">
      <c r="A119" s="13" t="inlineStr">
        <is>
          <t>D01-DOC-MRE-001.NODES.SERVICOS</t>
        </is>
      </c>
      <c r="B119" s="2" t="inlineStr">
        <is>
          <t>servicos</t>
        </is>
      </c>
      <c r="C119" s="14">
        <f>IFERROR(IF(INDEX('01_Formulario_A00'!$D:$D,MATCH("D01-DOC-MRE-001.NODES.SERVICOS",'01_Formulario_A00'!$A:$A,0))="","— (a preencher em 01_Formulario_A00)",INDEX('01_Formulario_A00'!$D:$D,MATCH("D01-DOC-MRE-001.NODES.SERVICOS",'01_Formulario_A00'!$A:$A,0))),"— (a preencher em 01_Formulario_A00)")</f>
        <v/>
      </c>
    </row>
    <row r="120">
      <c r="A120" s="13" t="inlineStr">
        <is>
          <t>D01-DOC-MRE-001.NODES.AGENTES</t>
        </is>
      </c>
      <c r="B120" s="2" t="inlineStr">
        <is>
          <t>agentes</t>
        </is>
      </c>
      <c r="C120" s="14">
        <f>IFERROR(IF(INDEX('01_Formulario_A00'!$D:$D,MATCH("D01-DOC-MRE-001.NODES.AGENTES",'01_Formulario_A00'!$A:$A,0))="","— (a preencher em 01_Formulario_A00)",INDEX('01_Formulario_A00'!$D:$D,MATCH("D01-DOC-MRE-001.NODES.AGENTES",'01_Formulario_A00'!$A:$A,0))),"— (a preencher em 01_Formulario_A00)")</f>
        <v/>
      </c>
    </row>
    <row r="121">
      <c r="A121" s="13" t="inlineStr">
        <is>
          <t>D01-DOC-MRE-001.NODES.PLATAFORMAS</t>
        </is>
      </c>
      <c r="B121" s="2" t="inlineStr">
        <is>
          <t>plataformas</t>
        </is>
      </c>
      <c r="C121" s="14">
        <f>IFERROR(IF(INDEX('01_Formulario_A00'!$D:$D,MATCH("D01-DOC-MRE-001.NODES.PLATAFORMAS",'01_Formulario_A00'!$A:$A,0))="","— (a preencher em 01_Formulario_A00)",INDEX('01_Formulario_A00'!$D:$D,MATCH("D01-DOC-MRE-001.NODES.PLATAFORMAS",'01_Formulario_A00'!$A:$A,0))),"— (a preencher em 01_Formulario_A00)")</f>
        <v/>
      </c>
    </row>
    <row r="122">
      <c r="A122" s="13" t="inlineStr">
        <is>
          <t>D01-DOC-MRE-001.RELATIONSHIPS.ORIGEM</t>
        </is>
      </c>
      <c r="B122" s="2" t="inlineStr">
        <is>
          <t>origem</t>
        </is>
      </c>
      <c r="C122" s="14">
        <f>IFERROR(IF(INDEX('01_Formulario_A00'!$D:$D,MATCH("D01-DOC-MRE-001.RELATIONSHIPS.ORIGEM",'01_Formulario_A00'!$A:$A,0))="","— (a preencher em 01_Formulario_A00)",INDEX('01_Formulario_A00'!$D:$D,MATCH("D01-DOC-MRE-001.RELATIONSHIPS.ORIGEM",'01_Formulario_A00'!$A:$A,0))),"— (a preencher em 01_Formulario_A00)")</f>
        <v/>
      </c>
    </row>
    <row r="123">
      <c r="A123" s="13" t="inlineStr">
        <is>
          <t>D01-DOC-MRE-001.RELATIONSHIPS.DESTINO</t>
        </is>
      </c>
      <c r="B123" s="2" t="inlineStr">
        <is>
          <t>destino</t>
        </is>
      </c>
      <c r="C123" s="14">
        <f>IFERROR(IF(INDEX('01_Formulario_A00'!$D:$D,MATCH("D01-DOC-MRE-001.RELATIONSHIPS.DESTINO",'01_Formulario_A00'!$A:$A,0))="","— (a preencher em 01_Formulario_A00)",INDEX('01_Formulario_A00'!$D:$D,MATCH("D01-DOC-MRE-001.RELATIONSHIPS.DESTINO",'01_Formulario_A00'!$A:$A,0))),"— (a preencher em 01_Formulario_A00)")</f>
        <v/>
      </c>
    </row>
    <row r="124">
      <c r="A124" s="13" t="inlineStr">
        <is>
          <t>D01-DOC-MRE-001.RELATIONSHIPS.TIPO_DE_RELACAO</t>
        </is>
      </c>
      <c r="B124" s="2" t="inlineStr">
        <is>
          <t>tipo_de_relacao</t>
        </is>
      </c>
      <c r="C124" s="14">
        <f>IFERROR(IF(INDEX('01_Formulario_A00'!$D:$D,MATCH("D01-DOC-MRE-001.RELATIONSHIPS.TIPO_DE_RELACAO",'01_Formulario_A00'!$A:$A,0))="","— (a preencher em 01_Formulario_A00)",INDEX('01_Formulario_A00'!$D:$D,MATCH("D01-DOC-MRE-001.RELATIONSHIPS.TIPO_DE_RELACAO",'01_Formulario_A00'!$A:$A,0))),"— (a preencher em 01_Formulario_A00)")</f>
        <v/>
      </c>
    </row>
    <row r="125">
      <c r="A125" s="13" t="inlineStr">
        <is>
          <t>D01-DOC-MRE-001.RELATIONSHIPS.OBJETIVO</t>
        </is>
      </c>
      <c r="B125" s="2" t="inlineStr">
        <is>
          <t>objetivo</t>
        </is>
      </c>
      <c r="C125" s="14">
        <f>IFERROR(IF(INDEX('01_Formulario_A00'!$D:$D,MATCH("D01-DOC-MRE-001.RELATIONSHIPS.OBJETIVO",'01_Formulario_A00'!$A:$A,0))="","— (a preencher em 01_Formulario_A00)",INDEX('01_Formulario_A00'!$D:$D,MATCH("D01-DOC-MRE-001.RELATIONSHIPS.OBJETIVO",'01_Formulario_A00'!$A:$A,0))),"— (a preencher em 01_Formulario_A00)")</f>
        <v/>
      </c>
    </row>
    <row r="126">
      <c r="A126" s="13" t="inlineStr">
        <is>
          <t>D01-DOC-MRE-001.FLOWS.FLUXO_DE_VALOR</t>
        </is>
      </c>
      <c r="B126" s="2" t="inlineStr">
        <is>
          <t>fluxo_de_valor</t>
        </is>
      </c>
      <c r="C126" s="14">
        <f>IFERROR(IF(INDEX('01_Formulario_A00'!$D:$D,MATCH("D01-DOC-MRE-001.FLOWS.FLUXO_DE_VALOR",'01_Formulario_A00'!$A:$A,0))="","— (a preencher em 01_Formulario_A00)",INDEX('01_Formulario_A00'!$D:$D,MATCH("D01-DOC-MRE-001.FLOWS.FLUXO_DE_VALOR",'01_Formulario_A00'!$A:$A,0))),"— (a preencher em 01_Formulario_A00)")</f>
        <v/>
      </c>
    </row>
    <row r="127">
      <c r="A127" s="13" t="inlineStr">
        <is>
          <t>D01-DOC-MRE-001.FLOWS.FLUXO_DE_DADOS</t>
        </is>
      </c>
      <c r="B127" s="2" t="inlineStr">
        <is>
          <t>fluxo_de_dados</t>
        </is>
      </c>
      <c r="C127" s="14">
        <f>IFERROR(IF(INDEX('01_Formulario_A00'!$D:$D,MATCH("D01-DOC-MRE-001.FLOWS.FLUXO_DE_DADOS",'01_Formulario_A00'!$A:$A,0))="","— (a preencher em 01_Formulario_A00)",INDEX('01_Formulario_A00'!$D:$D,MATCH("D01-DOC-MRE-001.FLOWS.FLUXO_DE_DADOS",'01_Formulario_A00'!$A:$A,0))),"— (a preencher em 01_Formulario_A00)")</f>
        <v/>
      </c>
    </row>
    <row r="128">
      <c r="A128" s="13" t="inlineStr">
        <is>
          <t>D01-DOC-MRE-001.FLOWS.FLUXO_DE_CONHECIMENTO</t>
        </is>
      </c>
      <c r="B128" s="2" t="inlineStr">
        <is>
          <t>fluxo_de_conhecimento</t>
        </is>
      </c>
      <c r="C128" s="14">
        <f>IFERROR(IF(INDEX('01_Formulario_A00'!$D:$D,MATCH("D01-DOC-MRE-001.FLOWS.FLUXO_DE_CONHECIMENTO",'01_Formulario_A00'!$A:$A,0))="","— (a preencher em 01_Formulario_A00)",INDEX('01_Formulario_A00'!$D:$D,MATCH("D01-DOC-MRE-001.FLOWS.FLUXO_DE_CONHECIMENTO",'01_Formulario_A00'!$A:$A,0))),"— (a preencher em 01_Formulario_A00)")</f>
        <v/>
      </c>
    </row>
    <row r="129">
      <c r="A129" s="13" t="inlineStr">
        <is>
          <t>D01-DOC-MRE-001.FLOWS.FLUXO_COMERCIAL</t>
        </is>
      </c>
      <c r="B129" s="2" t="inlineStr">
        <is>
          <t>fluxo_comercial</t>
        </is>
      </c>
      <c r="C129" s="14">
        <f>IFERROR(IF(INDEX('01_Formulario_A00'!$D:$D,MATCH("D01-DOC-MRE-001.FLOWS.FLUXO_COMERCIAL",'01_Formulario_A00'!$A:$A,0))="","— (a preencher em 01_Formulario_A00)",INDEX('01_Formulario_A00'!$D:$D,MATCH("D01-DOC-MRE-001.FLOWS.FLUXO_COMERCIAL",'01_Formulario_A00'!$A:$A,0))),"— (a preencher em 01_Formulario_A00)")</f>
        <v/>
      </c>
    </row>
    <row r="130">
      <c r="A130" s="13" t="inlineStr">
        <is>
          <t>D01-DOC-MRE-001.FLOWS.FLUXO_DE_FEEDBACK</t>
        </is>
      </c>
      <c r="B130" s="2" t="inlineStr">
        <is>
          <t>fluxo_de_feedback</t>
        </is>
      </c>
      <c r="C130" s="14">
        <f>IFERROR(IF(INDEX('01_Formulario_A00'!$D:$D,MATCH("D01-DOC-MRE-001.FLOWS.FLUXO_DE_FEEDBACK",'01_Formulario_A00'!$A:$A,0))="","— (a preencher em 01_Formulario_A00)",INDEX('01_Formulario_A00'!$D:$D,MATCH("D01-DOC-MRE-001.FLOWS.FLUXO_DE_FEEDBACK",'01_Formulario_A00'!$A:$A,0))),"— (a preencher em 01_Formulario_A00)")</f>
        <v/>
      </c>
    </row>
    <row r="131">
      <c r="A131" s="13" t="inlineStr">
        <is>
          <t>D01-DOC-MRE-001.INTERFACES.ENTRADAS</t>
        </is>
      </c>
      <c r="B131" s="2" t="inlineStr">
        <is>
          <t>entradas</t>
        </is>
      </c>
      <c r="C131" s="14">
        <f>IFERROR(IF(INDEX('01_Formulario_A00'!$D:$D,MATCH("D01-DOC-MRE-001.INTERFACES.ENTRADAS",'01_Formulario_A00'!$A:$A,0))="","— (a preencher em 01_Formulario_A00)",INDEX('01_Formulario_A00'!$D:$D,MATCH("D01-DOC-MRE-001.INTERFACES.ENTRADAS",'01_Formulario_A00'!$A:$A,0))),"— (a preencher em 01_Formulario_A00)")</f>
        <v/>
      </c>
    </row>
    <row r="132">
      <c r="A132" s="13" t="inlineStr">
        <is>
          <t>D01-DOC-MRE-001.INTERFACES.SAIDAS</t>
        </is>
      </c>
      <c r="B132" s="2" t="inlineStr">
        <is>
          <t>saidas</t>
        </is>
      </c>
      <c r="C132" s="14">
        <f>IFERROR(IF(INDEX('01_Formulario_A00'!$D:$D,MATCH("D01-DOC-MRE-001.INTERFACES.SAIDAS",'01_Formulario_A00'!$A:$A,0))="","— (a preencher em 01_Formulario_A00)",INDEX('01_Formulario_A00'!$D:$D,MATCH("D01-DOC-MRE-001.INTERFACES.SAIDAS",'01_Formulario_A00'!$A:$A,0))),"— (a preencher em 01_Formulario_A00)")</f>
        <v/>
      </c>
    </row>
    <row r="133">
      <c r="A133" s="13" t="inlineStr">
        <is>
          <t>D01-DOC-MRE-001.INTERFACES.HANDOFFS</t>
        </is>
      </c>
      <c r="B133" s="2" t="inlineStr">
        <is>
          <t>handoffs</t>
        </is>
      </c>
      <c r="C133" s="14">
        <f>IFERROR(IF(INDEX('01_Formulario_A00'!$D:$D,MATCH("D01-DOC-MRE-001.INTERFACES.HANDOFFS",'01_Formulario_A00'!$A:$A,0))="","— (a preencher em 01_Formulario_A00)",INDEX('01_Formulario_A00'!$D:$D,MATCH("D01-DOC-MRE-001.INTERFACES.HANDOFFS",'01_Formulario_A00'!$A:$A,0))),"— (a preencher em 01_Formulario_A00)")</f>
        <v/>
      </c>
    </row>
    <row r="134">
      <c r="A134" s="13" t="inlineStr">
        <is>
          <t>D01-DOC-MRE-001.DEPENDENCIES.DEPENDENCIAS</t>
        </is>
      </c>
      <c r="B134" s="2" t="inlineStr">
        <is>
          <t>dependencias</t>
        </is>
      </c>
      <c r="C134" s="14">
        <f>IFERROR(IF(INDEX('01_Formulario_A00'!$D:$D,MATCH("D01-DOC-MRE-001.DEPENDENCIES.DEPENDENCIAS",'01_Formulario_A00'!$A:$A,0))="","— (a preencher em 01_Formulario_A00)",INDEX('01_Formulario_A00'!$D:$D,MATCH("D01-DOC-MRE-001.DEPENDENCIES.DEPENDENCIAS",'01_Formulario_A00'!$A:$A,0))),"— (a preencher em 01_Formulario_A00)")</f>
        <v/>
      </c>
    </row>
    <row r="135">
      <c r="A135" s="13" t="inlineStr">
        <is>
          <t>D01-DOC-MRE-001.DEPENDENCIES.GARGALOS</t>
        </is>
      </c>
      <c r="B135" s="2" t="inlineStr">
        <is>
          <t>gargalos</t>
        </is>
      </c>
      <c r="C135" s="14">
        <f>IFERROR(IF(INDEX('01_Formulario_A00'!$D:$D,MATCH("D01-DOC-MRE-001.DEPENDENCIES.GARGALOS",'01_Formulario_A00'!$A:$A,0))="","— (a preencher em 01_Formulario_A00)",INDEX('01_Formulario_A00'!$D:$D,MATCH("D01-DOC-MRE-001.DEPENDENCIES.GARGALOS",'01_Formulario_A00'!$A:$A,0))),"— (a preencher em 01_Formulario_A00)")</f>
        <v/>
      </c>
    </row>
    <row r="136">
      <c r="A136" s="13" t="inlineStr">
        <is>
          <t>D01-DOC-MRE-001.LOOPS.CICLOS_DE_APRENDIZADO</t>
        </is>
      </c>
      <c r="B136" s="2" t="inlineStr">
        <is>
          <t>ciclos_de_aprendizado</t>
        </is>
      </c>
      <c r="C136" s="14">
        <f>IFERROR(IF(INDEX('01_Formulario_A00'!$D:$D,MATCH("D01-DOC-MRE-001.LOOPS.CICLOS_DE_APRENDIZADO",'01_Formulario_A00'!$A:$A,0))="","— (a preencher em 01_Formulario_A00)",INDEX('01_Formulario_A00'!$D:$D,MATCH("D01-DOC-MRE-001.LOOPS.CICLOS_DE_APRENDIZADO",'01_Formulario_A00'!$A:$A,0))),"— (a preencher em 01_Formulario_A00)")</f>
        <v/>
      </c>
    </row>
    <row r="137">
      <c r="A137" s="13" t="inlineStr">
        <is>
          <t>D01-DOC-MRE-001.LOOPS.RETROALIMENTACAO</t>
        </is>
      </c>
      <c r="B137" s="2" t="inlineStr">
        <is>
          <t>retroalimentacao</t>
        </is>
      </c>
      <c r="C137" s="14">
        <f>IFERROR(IF(INDEX('01_Formulario_A00'!$D:$D,MATCH("D01-DOC-MRE-001.LOOPS.RETROALIMENTACAO",'01_Formulario_A00'!$A:$A,0))="","— (a preencher em 01_Formulario_A00)",INDEX('01_Formulario_A00'!$D:$D,MATCH("D01-DOC-MRE-001.LOOPS.RETROALIMENTACAO",'01_Formulario_A00'!$A:$A,0))),"— (a preencher em 01_Formulario_A00)")</f>
        <v/>
      </c>
    </row>
    <row r="138">
      <c r="A138" s="13" t="inlineStr">
        <is>
          <t>D01-DOC-MRE-001.RISKS.FALHAS_DE_INTEGRACAO</t>
        </is>
      </c>
      <c r="B138" s="2" t="inlineStr">
        <is>
          <t>falhas_de_integracao</t>
        </is>
      </c>
      <c r="C138" s="14">
        <f>IFERROR(IF(INDEX('01_Formulario_A00'!$D:$D,MATCH("D01-DOC-MRE-001.RISKS.FALHAS_DE_INTEGRACAO",'01_Formulario_A00'!$A:$A,0))="","— (a preencher em 01_Formulario_A00)",INDEX('01_Formulario_A00'!$D:$D,MATCH("D01-DOC-MRE-001.RISKS.FALHAS_DE_INTEGRACAO",'01_Formulario_A00'!$A:$A,0))),"— (a preencher em 01_Formulario_A00)")</f>
        <v/>
      </c>
    </row>
    <row r="139">
      <c r="A139" s="13" t="inlineStr">
        <is>
          <t>D01-DOC-MRE-001.RISKS.PONTOS_UNICOS_DE_FALHA</t>
        </is>
      </c>
      <c r="B139" s="2" t="inlineStr">
        <is>
          <t>pontos_unicos_de_falha</t>
        </is>
      </c>
      <c r="C139" s="14">
        <f>IFERROR(IF(INDEX('01_Formulario_A00'!$D:$D,MATCH("D01-DOC-MRE-001.RISKS.PONTOS_UNICOS_DE_FALHA",'01_Formulario_A00'!$A:$A,0))="","— (a preencher em 01_Formulario_A00)",INDEX('01_Formulario_A00'!$D:$D,MATCH("D01-DOC-MRE-001.RISKS.PONTOS_UNICOS_DE_FALHA",'01_Formulario_A00'!$A:$A,0))),"— (a preencher em 01_Formulario_A00)")</f>
        <v/>
      </c>
    </row>
    <row r="140">
      <c r="A140" s="5" t="inlineStr">
        <is>
          <t>D02-DOC-DGRC-001 — Documento de Governança, Riscos e Conformidade [PRE_PREENCHIDO/PENDENTE]</t>
        </is>
      </c>
      <c r="B140" s="6" t="n"/>
      <c r="C140" s="7" t="n"/>
    </row>
    <row r="141">
      <c r="A141" s="13" t="inlineStr">
        <is>
          <t>D02-DOC-DGRC-001.GOVERNANCE.ESTRUTURA_JURIDICA</t>
        </is>
      </c>
      <c r="B141" s="2" t="inlineStr">
        <is>
          <t>estrutura_juridica</t>
        </is>
      </c>
      <c r="C141" s="14">
        <f>IFERROR(IF(INDEX('01_Formulario_A00'!$D:$D,MATCH("D02-DOC-DGRC-001.GOVERNANCE.ESTRUTURA_JURIDICA",'01_Formulario_A00'!$A:$A,0))="","— (a preencher em 01_Formulario_A00)",INDEX('01_Formulario_A00'!$D:$D,MATCH("D02-DOC-DGRC-001.GOVERNANCE.ESTRUTURA_JURIDICA",'01_Formulario_A00'!$A:$A,0))),"— (a preencher em 01_Formulario_A00)")</f>
        <v/>
      </c>
    </row>
    <row r="142">
      <c r="A142" s="13" t="inlineStr">
        <is>
          <t>D02-DOC-DGRC-001.GOVERNANCE.PAPEIS</t>
        </is>
      </c>
      <c r="B142" s="2" t="inlineStr">
        <is>
          <t>papeis</t>
        </is>
      </c>
      <c r="C142" s="14">
        <f>IFERROR(IF(INDEX('01_Formulario_A00'!$D:$D,MATCH("D02-DOC-DGRC-001.GOVERNANCE.PAPEIS",'01_Formulario_A00'!$A:$A,0))="","— (a preencher em 01_Formulario_A00)",INDEX('01_Formulario_A00'!$D:$D,MATCH("D02-DOC-DGRC-001.GOVERNANCE.PAPEIS",'01_Formulario_A00'!$A:$A,0))),"— (a preencher em 01_Formulario_A00)")</f>
        <v/>
      </c>
    </row>
    <row r="143">
      <c r="A143" s="13" t="inlineStr">
        <is>
          <t>D02-DOC-DGRC-001.GOVERNANCE.AUTORIDADES</t>
        </is>
      </c>
      <c r="B143" s="2" t="inlineStr">
        <is>
          <t>autoridades</t>
        </is>
      </c>
      <c r="C143" s="14">
        <f>IFERROR(IF(INDEX('01_Formulario_A00'!$D:$D,MATCH("D02-DOC-DGRC-001.GOVERNANCE.AUTORIDADES",'01_Formulario_A00'!$A:$A,0))="","— (a preencher em 01_Formulario_A00)",INDEX('01_Formulario_A00'!$D:$D,MATCH("D02-DOC-DGRC-001.GOVERNANCE.AUTORIDADES",'01_Formulario_A00'!$A:$A,0))),"— (a preencher em 01_Formulario_A00)")</f>
        <v/>
      </c>
    </row>
    <row r="144">
      <c r="A144" s="13" t="inlineStr">
        <is>
          <t>D02-DOC-DGRC-001.GOVERNANCE.POLITICAS</t>
        </is>
      </c>
      <c r="B144" s="2" t="inlineStr">
        <is>
          <t>politicas</t>
        </is>
      </c>
      <c r="C144" s="14">
        <f>IFERROR(IF(INDEX('01_Formulario_A00'!$D:$D,MATCH("D02-DOC-DGRC-001.GOVERNANCE.POLITICAS",'01_Formulario_A00'!$A:$A,0))="","— (a preencher em 01_Formulario_A00)",INDEX('01_Formulario_A00'!$D:$D,MATCH("D02-DOC-DGRC-001.GOVERNANCE.POLITICAS",'01_Formulario_A00'!$A:$A,0))),"— (a preencher em 01_Formulario_A00)")</f>
        <v/>
      </c>
    </row>
    <row r="145">
      <c r="A145" s="13" t="inlineStr">
        <is>
          <t>D02-DOC-DGRC-001.OBLIGATIONS.LEIS_APLICAVEIS</t>
        </is>
      </c>
      <c r="B145" s="2" t="inlineStr">
        <is>
          <t>leis_aplicaveis</t>
        </is>
      </c>
      <c r="C145" s="14">
        <f>IFERROR(IF(INDEX('01_Formulario_A00'!$D:$D,MATCH("D02-DOC-DGRC-001.OBLIGATIONS.LEIS_APLICAVEIS",'01_Formulario_A00'!$A:$A,0))="","— (a preencher em 01_Formulario_A00)",INDEX('01_Formulario_A00'!$D:$D,MATCH("D02-DOC-DGRC-001.OBLIGATIONS.LEIS_APLICAVEIS",'01_Formulario_A00'!$A:$A,0))),"— (a preencher em 01_Formulario_A00)")</f>
        <v/>
      </c>
    </row>
    <row r="146">
      <c r="A146" s="13" t="inlineStr">
        <is>
          <t>D02-DOC-DGRC-001.OBLIGATIONS.REGULAMENTOS</t>
        </is>
      </c>
      <c r="B146" s="2" t="inlineStr">
        <is>
          <t>regulamentos</t>
        </is>
      </c>
      <c r="C146" s="14">
        <f>IFERROR(IF(INDEX('01_Formulario_A00'!$D:$D,MATCH("D02-DOC-DGRC-001.OBLIGATIONS.REGULAMENTOS",'01_Formulario_A00'!$A:$A,0))="","— (a preencher em 01_Formulario_A00)",INDEX('01_Formulario_A00'!$D:$D,MATCH("D02-DOC-DGRC-001.OBLIGATIONS.REGULAMENTOS",'01_Formulario_A00'!$A:$A,0))),"— (a preencher em 01_Formulario_A00)")</f>
        <v/>
      </c>
    </row>
    <row r="147">
      <c r="A147" s="13" t="inlineStr">
        <is>
          <t>D02-DOC-DGRC-001.OBLIGATIONS.OBRIGACOES</t>
        </is>
      </c>
      <c r="B147" s="2" t="inlineStr">
        <is>
          <t>obrigacoes</t>
        </is>
      </c>
      <c r="C147" s="14">
        <f>IFERROR(IF(INDEX('01_Formulario_A00'!$D:$D,MATCH("D02-DOC-DGRC-001.OBLIGATIONS.OBRIGACOES",'01_Formulario_A00'!$A:$A,0))="","— (a preencher em 01_Formulario_A00)",INDEX('01_Formulario_A00'!$D:$D,MATCH("D02-DOC-DGRC-001.OBLIGATIONS.OBRIGACOES",'01_Formulario_A00'!$A:$A,0))),"— (a preencher em 01_Formulario_A00)")</f>
        <v/>
      </c>
    </row>
    <row r="148">
      <c r="A148" s="13" t="inlineStr">
        <is>
          <t>D02-DOC-DGRC-001.OBLIGATIONS.LICENCAS</t>
        </is>
      </c>
      <c r="B148" s="2" t="inlineStr">
        <is>
          <t>licencas</t>
        </is>
      </c>
      <c r="C148" s="14">
        <f>IFERROR(IF(INDEX('01_Formulario_A00'!$D:$D,MATCH("D02-DOC-DGRC-001.OBLIGATIONS.LICENCAS",'01_Formulario_A00'!$A:$A,0))="","— (a preencher em 01_Formulario_A00)",INDEX('01_Formulario_A00'!$D:$D,MATCH("D02-DOC-DGRC-001.OBLIGATIONS.LICENCAS",'01_Formulario_A00'!$A:$A,0))),"— (a preencher em 01_Formulario_A00)")</f>
        <v/>
      </c>
    </row>
    <row r="149">
      <c r="A149" s="13" t="inlineStr">
        <is>
          <t>D02-DOC-DGRC-001.CONTRACTS.CONTRATOS_EXISTENTES</t>
        </is>
      </c>
      <c r="B149" s="2" t="inlineStr">
        <is>
          <t>contratos_existentes</t>
        </is>
      </c>
      <c r="C149" s="14">
        <f>IFERROR(IF(INDEX('01_Formulario_A00'!$D:$D,MATCH("D02-DOC-DGRC-001.CONTRACTS.CONTRATOS_EXISTENTES",'01_Formulario_A00'!$A:$A,0))="","— (a preencher em 01_Formulario_A00)",INDEX('01_Formulario_A00'!$D:$D,MATCH("D02-DOC-DGRC-001.CONTRACTS.CONTRATOS_EXISTENTES",'01_Formulario_A00'!$A:$A,0))),"— (a preencher em 01_Formulario_A00)")</f>
        <v/>
      </c>
    </row>
    <row r="150">
      <c r="A150" s="13" t="inlineStr">
        <is>
          <t>D02-DOC-DGRC-001.CONTRACTS.CONTRATOS_NECESSARIOS</t>
        </is>
      </c>
      <c r="B150" s="2" t="inlineStr">
        <is>
          <t>contratos_necessarios</t>
        </is>
      </c>
      <c r="C150" s="14">
        <f>IFERROR(IF(INDEX('01_Formulario_A00'!$D:$D,MATCH("D02-DOC-DGRC-001.CONTRACTS.CONTRATOS_NECESSARIOS",'01_Formulario_A00'!$A:$A,0))="","— (a preencher em 01_Formulario_A00)",INDEX('01_Formulario_A00'!$D:$D,MATCH("D02-DOC-DGRC-001.CONTRACTS.CONTRATOS_NECESSARIOS",'01_Formulario_A00'!$A:$A,0))),"— (a preencher em 01_Formulario_A00)")</f>
        <v/>
      </c>
    </row>
    <row r="151">
      <c r="A151" s="13" t="inlineStr">
        <is>
          <t>D02-DOC-DGRC-001.CONTRACTS.OBRIGACOES_CONTRATUAIS</t>
        </is>
      </c>
      <c r="B151" s="2" t="inlineStr">
        <is>
          <t>obrigacoes_contratuais</t>
        </is>
      </c>
      <c r="C151" s="14">
        <f>IFERROR(IF(INDEX('01_Formulario_A00'!$D:$D,MATCH("D02-DOC-DGRC-001.CONTRACTS.OBRIGACOES_CONTRATUAIS",'01_Formulario_A00'!$A:$A,0))="","— (a preencher em 01_Formulario_A00)",INDEX('01_Formulario_A00'!$D:$D,MATCH("D02-DOC-DGRC-001.CONTRACTS.OBRIGACOES_CONTRATUAIS",'01_Formulario_A00'!$A:$A,0))),"— (a preencher em 01_Formulario_A00)")</f>
        <v/>
      </c>
    </row>
    <row r="152">
      <c r="A152" s="13" t="inlineStr">
        <is>
          <t>D02-DOC-DGRC-001.PRIVACY.DADOS_PESSOAIS</t>
        </is>
      </c>
      <c r="B152" s="2" t="inlineStr">
        <is>
          <t>dados_pessoais</t>
        </is>
      </c>
      <c r="C152" s="14">
        <f>IFERROR(IF(INDEX('01_Formulario_A00'!$D:$D,MATCH("D02-DOC-DGRC-001.PRIVACY.DADOS_PESSOAIS",'01_Formulario_A00'!$A:$A,0))="","— (a preencher em 01_Formulario_A00)",INDEX('01_Formulario_A00'!$D:$D,MATCH("D02-DOC-DGRC-001.PRIVACY.DADOS_PESSOAIS",'01_Formulario_A00'!$A:$A,0))),"— (a preencher em 01_Formulario_A00)")</f>
        <v/>
      </c>
    </row>
    <row r="153">
      <c r="A153" s="13" t="inlineStr">
        <is>
          <t>D02-DOC-DGRC-001.PRIVACY.FINALIDADES</t>
        </is>
      </c>
      <c r="B153" s="2" t="inlineStr">
        <is>
          <t>finalidades</t>
        </is>
      </c>
      <c r="C153" s="14">
        <f>IFERROR(IF(INDEX('01_Formulario_A00'!$D:$D,MATCH("D02-DOC-DGRC-001.PRIVACY.FINALIDADES",'01_Formulario_A00'!$A:$A,0))="","— (a preencher em 01_Formulario_A00)",INDEX('01_Formulario_A00'!$D:$D,MATCH("D02-DOC-DGRC-001.PRIVACY.FINALIDADES",'01_Formulario_A00'!$A:$A,0))),"— (a preencher em 01_Formulario_A00)")</f>
        <v/>
      </c>
    </row>
    <row r="154">
      <c r="A154" s="13" t="inlineStr">
        <is>
          <t>D02-DOC-DGRC-001.PRIVACY.BASES_LEGAIS</t>
        </is>
      </c>
      <c r="B154" s="2" t="inlineStr">
        <is>
          <t>bases_legais</t>
        </is>
      </c>
      <c r="C154" s="14">
        <f>IFERROR(IF(INDEX('01_Formulario_A00'!$D:$D,MATCH("D02-DOC-DGRC-001.PRIVACY.BASES_LEGAIS",'01_Formulario_A00'!$A:$A,0))="","— (a preencher em 01_Formulario_A00)",INDEX('01_Formulario_A00'!$D:$D,MATCH("D02-DOC-DGRC-001.PRIVACY.BASES_LEGAIS",'01_Formulario_A00'!$A:$A,0))),"— (a preencher em 01_Formulario_A00)")</f>
        <v/>
      </c>
    </row>
    <row r="155">
      <c r="A155" s="13" t="inlineStr">
        <is>
          <t>D02-DOC-DGRC-001.PRIVACY.DIREITOS</t>
        </is>
      </c>
      <c r="B155" s="2" t="inlineStr">
        <is>
          <t>direitos</t>
        </is>
      </c>
      <c r="C155" s="14">
        <f>IFERROR(IF(INDEX('01_Formulario_A00'!$D:$D,MATCH("D02-DOC-DGRC-001.PRIVACY.DIREITOS",'01_Formulario_A00'!$A:$A,0))="","— (a preencher em 01_Formulario_A00)",INDEX('01_Formulario_A00'!$D:$D,MATCH("D02-DOC-DGRC-001.PRIVACY.DIREITOS",'01_Formulario_A00'!$A:$A,0))),"— (a preencher em 01_Formulario_A00)")</f>
        <v/>
      </c>
    </row>
    <row r="156">
      <c r="A156" s="13" t="inlineStr">
        <is>
          <t>D02-DOC-DGRC-001.PRIVACY.RETENCAO</t>
        </is>
      </c>
      <c r="B156" s="2" t="inlineStr">
        <is>
          <t>retencao</t>
        </is>
      </c>
      <c r="C156" s="14">
        <f>IFERROR(IF(INDEX('01_Formulario_A00'!$D:$D,MATCH("D02-DOC-DGRC-001.PRIVACY.RETENCAO",'01_Formulario_A00'!$A:$A,0))="","— (a preencher em 01_Formulario_A00)",INDEX('01_Formulario_A00'!$D:$D,MATCH("D02-DOC-DGRC-001.PRIVACY.RETENCAO",'01_Formulario_A00'!$A:$A,0))),"— (a preencher em 01_Formulario_A00)")</f>
        <v/>
      </c>
    </row>
    <row r="157">
      <c r="A157" s="13" t="inlineStr">
        <is>
          <t>D02-DOC-DGRC-001.INTELLECTUAL_PROPERTY.MARCAS</t>
        </is>
      </c>
      <c r="B157" s="2" t="inlineStr">
        <is>
          <t>marcas</t>
        </is>
      </c>
      <c r="C157" s="14">
        <f>IFERROR(IF(INDEX('01_Formulario_A00'!$D:$D,MATCH("D02-DOC-DGRC-001.INTELLECTUAL_PROPERTY.MARCAS",'01_Formulario_A00'!$A:$A,0))="","— (a preencher em 01_Formulario_A00)",INDEX('01_Formulario_A00'!$D:$D,MATCH("D02-DOC-DGRC-001.INTELLECTUAL_PROPERTY.MARCAS",'01_Formulario_A00'!$A:$A,0))),"— (a preencher em 01_Formulario_A00)")</f>
        <v/>
      </c>
    </row>
    <row r="158">
      <c r="A158" s="13" t="inlineStr">
        <is>
          <t>D02-DOC-DGRC-001.INTELLECTUAL_PROPERTY.DIREITOS_AUTORAIS</t>
        </is>
      </c>
      <c r="B158" s="2" t="inlineStr">
        <is>
          <t>direitos_autorais</t>
        </is>
      </c>
      <c r="C158" s="14">
        <f>IFERROR(IF(INDEX('01_Formulario_A00'!$D:$D,MATCH("D02-DOC-DGRC-001.INTELLECTUAL_PROPERTY.DIREITOS_AUTORAIS",'01_Formulario_A00'!$A:$A,0))="","— (a preencher em 01_Formulario_A00)",INDEX('01_Formulario_A00'!$D:$D,MATCH("D02-DOC-DGRC-001.INTELLECTUAL_PROPERTY.DIREITOS_AUTORAIS",'01_Formulario_A00'!$A:$A,0))),"— (a preencher em 01_Formulario_A00)")</f>
        <v/>
      </c>
    </row>
    <row r="159">
      <c r="A159" s="13" t="inlineStr">
        <is>
          <t>D02-DOC-DGRC-001.INTELLECTUAL_PROPERTY.SOFTWARE</t>
        </is>
      </c>
      <c r="B159" s="2" t="inlineStr">
        <is>
          <t>software</t>
        </is>
      </c>
      <c r="C159" s="14">
        <f>IFERROR(IF(INDEX('01_Formulario_A00'!$D:$D,MATCH("D02-DOC-DGRC-001.INTELLECTUAL_PROPERTY.SOFTWARE",'01_Formulario_A00'!$A:$A,0))="","— (a preencher em 01_Formulario_A00)",INDEX('01_Formulario_A00'!$D:$D,MATCH("D02-DOC-DGRC-001.INTELLECTUAL_PROPERTY.SOFTWARE",'01_Formulario_A00'!$A:$A,0))),"— (a preencher em 01_Formulario_A00)")</f>
        <v/>
      </c>
    </row>
    <row r="160">
      <c r="A160" s="13" t="inlineStr">
        <is>
          <t>D02-DOC-DGRC-001.INTELLECTUAL_PROPERTY.LICENCAS</t>
        </is>
      </c>
      <c r="B160" s="2" t="inlineStr">
        <is>
          <t>licencas</t>
        </is>
      </c>
      <c r="C160" s="14">
        <f>IFERROR(IF(INDEX('01_Formulario_A00'!$D:$D,MATCH("D02-DOC-DGRC-001.INTELLECTUAL_PROPERTY.LICENCAS",'01_Formulario_A00'!$A:$A,0))="","— (a preencher em 01_Formulario_A00)",INDEX('01_Formulario_A00'!$D:$D,MATCH("D02-DOC-DGRC-001.INTELLECTUAL_PROPERTY.LICENCAS",'01_Formulario_A00'!$A:$A,0))),"— (a preencher em 01_Formulario_A00)")</f>
        <v/>
      </c>
    </row>
    <row r="161">
      <c r="A161" s="13" t="inlineStr">
        <is>
          <t>D02-DOC-DGRC-001.RISK_MANAGEMENT.RISCOS</t>
        </is>
      </c>
      <c r="B161" s="2" t="inlineStr">
        <is>
          <t>riscos</t>
        </is>
      </c>
      <c r="C161" s="14">
        <f>IFERROR(IF(INDEX('01_Formulario_A00'!$D:$D,MATCH("D02-DOC-DGRC-001.RISK_MANAGEMENT.RISCOS",'01_Formulario_A00'!$A:$A,0))="","— (a preencher em 01_Formulario_A00)",INDEX('01_Formulario_A00'!$D:$D,MATCH("D02-DOC-DGRC-001.RISK_MANAGEMENT.RISCOS",'01_Formulario_A00'!$A:$A,0))),"— (a preencher em 01_Formulario_A00)")</f>
        <v/>
      </c>
    </row>
    <row r="162">
      <c r="A162" s="13" t="inlineStr">
        <is>
          <t>D02-DOC-DGRC-001.RISK_MANAGEMENT.CONTROLES</t>
        </is>
      </c>
      <c r="B162" s="2" t="inlineStr">
        <is>
          <t>controles</t>
        </is>
      </c>
      <c r="C162" s="14">
        <f>IFERROR(IF(INDEX('01_Formulario_A00'!$D:$D,MATCH("D02-DOC-DGRC-001.RISK_MANAGEMENT.CONTROLES",'01_Formulario_A00'!$A:$A,0))="","— (a preencher em 01_Formulario_A00)",INDEX('01_Formulario_A00'!$D:$D,MATCH("D02-DOC-DGRC-001.RISK_MANAGEMENT.CONTROLES",'01_Formulario_A00'!$A:$A,0))),"— (a preencher em 01_Formulario_A00)")</f>
        <v/>
      </c>
    </row>
    <row r="163">
      <c r="A163" s="13" t="inlineStr">
        <is>
          <t>D02-DOC-DGRC-001.RISK_MANAGEMENT.OWNERS</t>
        </is>
      </c>
      <c r="B163" s="2" t="inlineStr">
        <is>
          <t>owners</t>
        </is>
      </c>
      <c r="C163" s="14">
        <f>IFERROR(IF(INDEX('01_Formulario_A00'!$D:$D,MATCH("D02-DOC-DGRC-001.RISK_MANAGEMENT.OWNERS",'01_Formulario_A00'!$A:$A,0))="","— (a preencher em 01_Formulario_A00)",INDEX('01_Formulario_A00'!$D:$D,MATCH("D02-DOC-DGRC-001.RISK_MANAGEMENT.OWNERS",'01_Formulario_A00'!$A:$A,0))),"— (a preencher em 01_Formulario_A00)")</f>
        <v/>
      </c>
    </row>
    <row r="164">
      <c r="A164" s="13" t="inlineStr">
        <is>
          <t>D02-DOC-DGRC-001.RISK_MANAGEMENT.RESPOSTA</t>
        </is>
      </c>
      <c r="B164" s="2" t="inlineStr">
        <is>
          <t>resposta</t>
        </is>
      </c>
      <c r="C164" s="14">
        <f>IFERROR(IF(INDEX('01_Formulario_A00'!$D:$D,MATCH("D02-DOC-DGRC-001.RISK_MANAGEMENT.RESPOSTA",'01_Formulario_A00'!$A:$A,0))="","— (a preencher em 01_Formulario_A00)",INDEX('01_Formulario_A00'!$D:$D,MATCH("D02-DOC-DGRC-001.RISK_MANAGEMENT.RESPOSTA",'01_Formulario_A00'!$A:$A,0))),"— (a preencher em 01_Formulario_A00)")</f>
        <v/>
      </c>
    </row>
    <row r="165">
      <c r="A165" s="13" t="inlineStr">
        <is>
          <t>D02-DOC-DGRC-001.COMPLIANCE.CONTROLES</t>
        </is>
      </c>
      <c r="B165" s="2" t="inlineStr">
        <is>
          <t>controles</t>
        </is>
      </c>
      <c r="C165" s="14">
        <f>IFERROR(IF(INDEX('01_Formulario_A00'!$D:$D,MATCH("D02-DOC-DGRC-001.COMPLIANCE.CONTROLES",'01_Formulario_A00'!$A:$A,0))="","— (a preencher em 01_Formulario_A00)",INDEX('01_Formulario_A00'!$D:$D,MATCH("D02-DOC-DGRC-001.COMPLIANCE.CONTROLES",'01_Formulario_A00'!$A:$A,0))),"— (a preencher em 01_Formulario_A00)")</f>
        <v/>
      </c>
    </row>
    <row r="166">
      <c r="A166" s="13" t="inlineStr">
        <is>
          <t>D02-DOC-DGRC-001.COMPLIANCE.AUDITORIAS</t>
        </is>
      </c>
      <c r="B166" s="2" t="inlineStr">
        <is>
          <t>auditorias</t>
        </is>
      </c>
      <c r="C166" s="14">
        <f>IFERROR(IF(INDEX('01_Formulario_A00'!$D:$D,MATCH("D02-DOC-DGRC-001.COMPLIANCE.AUDITORIAS",'01_Formulario_A00'!$A:$A,0))="","— (a preencher em 01_Formulario_A00)",INDEX('01_Formulario_A00'!$D:$D,MATCH("D02-DOC-DGRC-001.COMPLIANCE.AUDITORIAS",'01_Formulario_A00'!$A:$A,0))),"— (a preencher em 01_Formulario_A00)")</f>
        <v/>
      </c>
    </row>
    <row r="167">
      <c r="A167" s="13" t="inlineStr">
        <is>
          <t>D02-DOC-DGRC-001.COMPLIANCE.EVIDENCIAS</t>
        </is>
      </c>
      <c r="B167" s="2" t="inlineStr">
        <is>
          <t>evidencias</t>
        </is>
      </c>
      <c r="C167" s="14">
        <f>IFERROR(IF(INDEX('01_Formulario_A00'!$D:$D,MATCH("D02-DOC-DGRC-001.COMPLIANCE.EVIDENCIAS",'01_Formulario_A00'!$A:$A,0))="","— (a preencher em 01_Formulario_A00)",INDEX('01_Formulario_A00'!$D:$D,MATCH("D02-DOC-DGRC-001.COMPLIANCE.EVIDENCIAS",'01_Formulario_A00'!$A:$A,0))),"— (a preencher em 01_Formulario_A00)")</f>
        <v/>
      </c>
    </row>
    <row r="168">
      <c r="A168" s="13" t="inlineStr">
        <is>
          <t>D02-DOC-DGRC-001.COMPLIANCE.PERIODICIDADE</t>
        </is>
      </c>
      <c r="B168" s="2" t="inlineStr">
        <is>
          <t>periodicidade</t>
        </is>
      </c>
      <c r="C168" s="14">
        <f>IFERROR(IF(INDEX('01_Formulario_A00'!$D:$D,MATCH("D02-DOC-DGRC-001.COMPLIANCE.PERIODICIDADE",'01_Formulario_A00'!$A:$A,0))="","— (a preencher em 01_Formulario_A00)",INDEX('01_Formulario_A00'!$D:$D,MATCH("D02-DOC-DGRC-001.COMPLIANCE.PERIODICIDADE",'01_Formulario_A00'!$A:$A,0))),"— (a preencher em 01_Formulario_A00)")</f>
        <v/>
      </c>
    </row>
    <row r="169">
      <c r="A169" s="13" t="inlineStr">
        <is>
          <t>D02-DOC-DGRC-001.INCIDENTS.EVENTOS_REPORTAVEIS</t>
        </is>
      </c>
      <c r="B169" s="2" t="inlineStr">
        <is>
          <t>eventos_reportaveis</t>
        </is>
      </c>
      <c r="C169" s="14">
        <f>IFERROR(IF(INDEX('01_Formulario_A00'!$D:$D,MATCH("D02-DOC-DGRC-001.INCIDENTS.EVENTOS_REPORTAVEIS",'01_Formulario_A00'!$A:$A,0))="","— (a preencher em 01_Formulario_A00)",INDEX('01_Formulario_A00'!$D:$D,MATCH("D02-DOC-DGRC-001.INCIDENTS.EVENTOS_REPORTAVEIS",'01_Formulario_A00'!$A:$A,0))),"— (a preencher em 01_Formulario_A00)")</f>
        <v/>
      </c>
    </row>
    <row r="170">
      <c r="A170" s="13" t="inlineStr">
        <is>
          <t>D02-DOC-DGRC-001.INCIDENTS.RESPOSTA</t>
        </is>
      </c>
      <c r="B170" s="2" t="inlineStr">
        <is>
          <t>resposta</t>
        </is>
      </c>
      <c r="C170" s="14">
        <f>IFERROR(IF(INDEX('01_Formulario_A00'!$D:$D,MATCH("D02-DOC-DGRC-001.INCIDENTS.RESPOSTA",'01_Formulario_A00'!$A:$A,0))="","— (a preencher em 01_Formulario_A00)",INDEX('01_Formulario_A00'!$D:$D,MATCH("D02-DOC-DGRC-001.INCIDENTS.RESPOSTA",'01_Formulario_A00'!$A:$A,0))),"— (a preencher em 01_Formulario_A00)")</f>
        <v/>
      </c>
    </row>
    <row r="171">
      <c r="A171" s="13" t="inlineStr">
        <is>
          <t>D02-DOC-DGRC-001.INCIDENTS.ESCALACAO</t>
        </is>
      </c>
      <c r="B171" s="2" t="inlineStr">
        <is>
          <t>escalacao</t>
        </is>
      </c>
      <c r="C171" s="14">
        <f>IFERROR(IF(INDEX('01_Formulario_A00'!$D:$D,MATCH("D02-DOC-DGRC-001.INCIDENTS.ESCALACAO",'01_Formulario_A00'!$A:$A,0))="","— (a preencher em 01_Formulario_A00)",INDEX('01_Formulario_A00'!$D:$D,MATCH("D02-DOC-DGRC-001.INCIDENTS.ESCALACAO",'01_Formulario_A00'!$A:$A,0))),"— (a preencher em 01_Formulario_A00)")</f>
        <v/>
      </c>
    </row>
    <row r="172">
      <c r="A172" s="13" t="inlineStr">
        <is>
          <t>D02-DOC-DGRC-001.APPROVALS.APROVADORES</t>
        </is>
      </c>
      <c r="B172" s="2" t="inlineStr">
        <is>
          <t>aprovadores</t>
        </is>
      </c>
      <c r="C172" s="14">
        <f>IFERROR(IF(INDEX('01_Formulario_A00'!$D:$D,MATCH("D02-DOC-DGRC-001.APPROVALS.APROVADORES",'01_Formulario_A00'!$A:$A,0))="","— (a preencher em 01_Formulario_A00)",INDEX('01_Formulario_A00'!$D:$D,MATCH("D02-DOC-DGRC-001.APPROVALS.APROVADORES",'01_Formulario_A00'!$A:$A,0))),"— (a preencher em 01_Formulario_A00)")</f>
        <v/>
      </c>
    </row>
    <row r="173">
      <c r="A173" s="13" t="inlineStr">
        <is>
          <t>D02-DOC-DGRC-001.APPROVALS.GATES_JURIDICOS</t>
        </is>
      </c>
      <c r="B173" s="2" t="inlineStr">
        <is>
          <t>gates_juridicos</t>
        </is>
      </c>
      <c r="C173" s="14">
        <f>IFERROR(IF(INDEX('01_Formulario_A00'!$D:$D,MATCH("D02-DOC-DGRC-001.APPROVALS.GATES_JURIDICOS",'01_Formulario_A00'!$A:$A,0))="","— (a preencher em 01_Formulario_A00)",INDEX('01_Formulario_A00'!$D:$D,MATCH("D02-DOC-DGRC-001.APPROVALS.GATES_JURIDICOS",'01_Formulario_A00'!$A:$A,0))),"— (a preencher em 01_Formulario_A00)")</f>
        <v/>
      </c>
    </row>
    <row r="174">
      <c r="A174" s="5" t="inlineStr">
        <is>
          <t>D02-DOC-MRC-001 — Matriz de Riscos e Controles [PRE_PREENCHIDO/PENDENTE]</t>
        </is>
      </c>
      <c r="B174" s="6" t="n"/>
      <c r="C174" s="7" t="n"/>
    </row>
    <row r="175">
      <c r="A175" s="13" t="inlineStr">
        <is>
          <t>D02-DOC-MRC-001.SCHEMA.RISK_ID</t>
        </is>
      </c>
      <c r="B175" s="2" t="inlineStr">
        <is>
          <t>risk_id</t>
        </is>
      </c>
      <c r="C175" s="14">
        <f>IFERROR(IF(INDEX('01_Formulario_A00'!$D:$D,MATCH("D02-DOC-MRC-001.SCHEMA.RISK_ID",'01_Formulario_A00'!$A:$A,0))="","— (a preencher em 01_Formulario_A00)",INDEX('01_Formulario_A00'!$D:$D,MATCH("D02-DOC-MRC-001.SCHEMA.RISK_ID",'01_Formulario_A00'!$A:$A,0))),"— (a preencher em 01_Formulario_A00)")</f>
        <v/>
      </c>
    </row>
    <row r="176">
      <c r="A176" s="13" t="inlineStr">
        <is>
          <t>D02-DOC-MRC-001.SCHEMA.CATEGORIA</t>
        </is>
      </c>
      <c r="B176" s="2" t="inlineStr">
        <is>
          <t>categoria</t>
        </is>
      </c>
      <c r="C176" s="14">
        <f>IFERROR(IF(INDEX('01_Formulario_A00'!$D:$D,MATCH("D02-DOC-MRC-001.SCHEMA.CATEGORIA",'01_Formulario_A00'!$A:$A,0))="","— (a preencher em 01_Formulario_A00)",INDEX('01_Formulario_A00'!$D:$D,MATCH("D02-DOC-MRC-001.SCHEMA.CATEGORIA",'01_Formulario_A00'!$A:$A,0))),"— (a preencher em 01_Formulario_A00)")</f>
        <v/>
      </c>
    </row>
    <row r="177">
      <c r="A177" s="13" t="inlineStr">
        <is>
          <t>D02-DOC-MRC-001.SCHEMA.ATIVO_PROCESSO_AFETADO</t>
        </is>
      </c>
      <c r="B177" s="2" t="inlineStr">
        <is>
          <t>ativo_processo_afetado</t>
        </is>
      </c>
      <c r="C177" s="14">
        <f>IFERROR(IF(INDEX('01_Formulario_A00'!$D:$D,MATCH("D02-DOC-MRC-001.SCHEMA.ATIVO_PROCESSO_AFETADO",'01_Formulario_A00'!$A:$A,0))="","— (a preencher em 01_Formulario_A00)",INDEX('01_Formulario_A00'!$D:$D,MATCH("D02-DOC-MRC-001.SCHEMA.ATIVO_PROCESSO_AFETADO",'01_Formulario_A00'!$A:$A,0))),"— (a preencher em 01_Formulario_A00)")</f>
        <v/>
      </c>
    </row>
    <row r="178">
      <c r="A178" s="13" t="inlineStr">
        <is>
          <t>D02-DOC-MRC-001.SCHEMA.EVENTO_DE_RISCO</t>
        </is>
      </c>
      <c r="B178" s="2" t="inlineStr">
        <is>
          <t>evento_de_risco</t>
        </is>
      </c>
      <c r="C178" s="14">
        <f>IFERROR(IF(INDEX('01_Formulario_A00'!$D:$D,MATCH("D02-DOC-MRC-001.SCHEMA.EVENTO_DE_RISCO",'01_Formulario_A00'!$A:$A,0))="","— (a preencher em 01_Formulario_A00)",INDEX('01_Formulario_A00'!$D:$D,MATCH("D02-DOC-MRC-001.SCHEMA.EVENTO_DE_RISCO",'01_Formulario_A00'!$A:$A,0))),"— (a preencher em 01_Formulario_A00)")</f>
        <v/>
      </c>
    </row>
    <row r="179">
      <c r="A179" s="13" t="inlineStr">
        <is>
          <t>D02-DOC-MRC-001.SCHEMA.CAUSA</t>
        </is>
      </c>
      <c r="B179" s="2" t="inlineStr">
        <is>
          <t>causa</t>
        </is>
      </c>
      <c r="C179" s="14">
        <f>IFERROR(IF(INDEX('01_Formulario_A00'!$D:$D,MATCH("D02-DOC-MRC-001.SCHEMA.CAUSA",'01_Formulario_A00'!$A:$A,0))="","— (a preencher em 01_Formulario_A00)",INDEX('01_Formulario_A00'!$D:$D,MATCH("D02-DOC-MRC-001.SCHEMA.CAUSA",'01_Formulario_A00'!$A:$A,0))),"— (a preencher em 01_Formulario_A00)")</f>
        <v/>
      </c>
    </row>
    <row r="180">
      <c r="A180" s="13" t="inlineStr">
        <is>
          <t>D02-DOC-MRC-001.SCHEMA.IMPACTO</t>
        </is>
      </c>
      <c r="B180" s="2" t="inlineStr">
        <is>
          <t>impacto</t>
        </is>
      </c>
      <c r="C180" s="14">
        <f>IFERROR(IF(INDEX('01_Formulario_A00'!$D:$D,MATCH("D02-DOC-MRC-001.SCHEMA.IMPACTO",'01_Formulario_A00'!$A:$A,0))="","— (a preencher em 01_Formulario_A00)",INDEX('01_Formulario_A00'!$D:$D,MATCH("D02-DOC-MRC-001.SCHEMA.IMPACTO",'01_Formulario_A00'!$A:$A,0))),"— (a preencher em 01_Formulario_A00)")</f>
        <v/>
      </c>
    </row>
    <row r="181">
      <c r="A181" s="13" t="inlineStr">
        <is>
          <t>D02-DOC-MRC-001.SCHEMA.PROBABILIDADE</t>
        </is>
      </c>
      <c r="B181" s="2" t="inlineStr">
        <is>
          <t>probabilidade</t>
        </is>
      </c>
      <c r="C181" s="14">
        <f>IFERROR(IF(INDEX('01_Formulario_A00'!$D:$D,MATCH("D02-DOC-MRC-001.SCHEMA.PROBABILIDADE",'01_Formulario_A00'!$A:$A,0))="","— (a preencher em 01_Formulario_A00)",INDEX('01_Formulario_A00'!$D:$D,MATCH("D02-DOC-MRC-001.SCHEMA.PROBABILIDADE",'01_Formulario_A00'!$A:$A,0))),"— (a preencher em 01_Formulario_A00)")</f>
        <v/>
      </c>
    </row>
    <row r="182">
      <c r="A182" s="13" t="inlineStr">
        <is>
          <t>D02-DOC-MRC-001.SCHEMA.SEVERIDADE</t>
        </is>
      </c>
      <c r="B182" s="2" t="inlineStr">
        <is>
          <t>severidade</t>
        </is>
      </c>
      <c r="C182" s="14">
        <f>IFERROR(IF(INDEX('01_Formulario_A00'!$D:$D,MATCH("D02-DOC-MRC-001.SCHEMA.SEVERIDADE",'01_Formulario_A00'!$A:$A,0))="","— (a preencher em 01_Formulario_A00)",INDEX('01_Formulario_A00'!$D:$D,MATCH("D02-DOC-MRC-001.SCHEMA.SEVERIDADE",'01_Formulario_A00'!$A:$A,0))),"— (a preencher em 01_Formulario_A00)")</f>
        <v/>
      </c>
    </row>
    <row r="183">
      <c r="A183" s="13" t="inlineStr">
        <is>
          <t>D02-DOC-MRC-001.SCHEMA.RISCO_INERENTE</t>
        </is>
      </c>
      <c r="B183" s="2" t="inlineStr">
        <is>
          <t>risco_inerente</t>
        </is>
      </c>
      <c r="C183" s="14">
        <f>IFERROR(IF(INDEX('01_Formulario_A00'!$D:$D,MATCH("D02-DOC-MRC-001.SCHEMA.RISCO_INERENTE",'01_Formulario_A00'!$A:$A,0))="","— (a preencher em 01_Formulario_A00)",INDEX('01_Formulario_A00'!$D:$D,MATCH("D02-DOC-MRC-001.SCHEMA.RISCO_INERENTE",'01_Formulario_A00'!$A:$A,0))),"— (a preencher em 01_Formulario_A00)")</f>
        <v/>
      </c>
    </row>
    <row r="184">
      <c r="A184" s="13" t="inlineStr">
        <is>
          <t>D02-DOC-MRC-001.SCHEMA.CONTROLES_EXISTENTES</t>
        </is>
      </c>
      <c r="B184" s="2" t="inlineStr">
        <is>
          <t>controles_existentes</t>
        </is>
      </c>
      <c r="C184" s="14">
        <f>IFERROR(IF(INDEX('01_Formulario_A00'!$D:$D,MATCH("D02-DOC-MRC-001.SCHEMA.CONTROLES_EXISTENTES",'01_Formulario_A00'!$A:$A,0))="","— (a preencher em 01_Formulario_A00)",INDEX('01_Formulario_A00'!$D:$D,MATCH("D02-DOC-MRC-001.SCHEMA.CONTROLES_EXISTENTES",'01_Formulario_A00'!$A:$A,0))),"— (a preencher em 01_Formulario_A00)")</f>
        <v/>
      </c>
    </row>
    <row r="185">
      <c r="A185" s="13" t="inlineStr">
        <is>
          <t>D02-DOC-MRC-001.SCHEMA.EFETIVIDADE_CONTROLE</t>
        </is>
      </c>
      <c r="B185" s="2" t="inlineStr">
        <is>
          <t>efetividade_controle</t>
        </is>
      </c>
      <c r="C185" s="14">
        <f>IFERROR(IF(INDEX('01_Formulario_A00'!$D:$D,MATCH("D02-DOC-MRC-001.SCHEMA.EFETIVIDADE_CONTROLE",'01_Formulario_A00'!$A:$A,0))="","— (a preencher em 01_Formulario_A00)",INDEX('01_Formulario_A00'!$D:$D,MATCH("D02-DOC-MRC-001.SCHEMA.EFETIVIDADE_CONTROLE",'01_Formulario_A00'!$A:$A,0))),"— (a preencher em 01_Formulario_A00)")</f>
        <v/>
      </c>
    </row>
    <row r="186">
      <c r="A186" s="13" t="inlineStr">
        <is>
          <t>D02-DOC-MRC-001.SCHEMA.RISCO_RESIDUAL</t>
        </is>
      </c>
      <c r="B186" s="2" t="inlineStr">
        <is>
          <t>risco_residual</t>
        </is>
      </c>
      <c r="C186" s="14">
        <f>IFERROR(IF(INDEX('01_Formulario_A00'!$D:$D,MATCH("D02-DOC-MRC-001.SCHEMA.RISCO_RESIDUAL",'01_Formulario_A00'!$A:$A,0))="","— (a preencher em 01_Formulario_A00)",INDEX('01_Formulario_A00'!$D:$D,MATCH("D02-DOC-MRC-001.SCHEMA.RISCO_RESIDUAL",'01_Formulario_A00'!$A:$A,0))),"— (a preencher em 01_Formulario_A00)")</f>
        <v/>
      </c>
    </row>
    <row r="187">
      <c r="A187" s="13" t="inlineStr">
        <is>
          <t>D02-DOC-MRC-001.SCHEMA.RESPOSTA</t>
        </is>
      </c>
      <c r="B187" s="2" t="inlineStr">
        <is>
          <t>resposta</t>
        </is>
      </c>
      <c r="C187" s="14">
        <f>IFERROR(IF(INDEX('01_Formulario_A00'!$D:$D,MATCH("D02-DOC-MRC-001.SCHEMA.RESPOSTA",'01_Formulario_A00'!$A:$A,0))="","— (a preencher em 01_Formulario_A00)",INDEX('01_Formulario_A00'!$D:$D,MATCH("D02-DOC-MRC-001.SCHEMA.RESPOSTA",'01_Formulario_A00'!$A:$A,0))),"— (a preencher em 01_Formulario_A00)")</f>
        <v/>
      </c>
    </row>
    <row r="188">
      <c r="A188" s="13" t="inlineStr">
        <is>
          <t>D02-DOC-MRC-001.SCHEMA.OWNER</t>
        </is>
      </c>
      <c r="B188" s="2" t="inlineStr">
        <is>
          <t>owner</t>
        </is>
      </c>
      <c r="C188" s="14">
        <f>IFERROR(IF(INDEX('01_Formulario_A00'!$D:$D,MATCH("D02-DOC-MRC-001.SCHEMA.OWNER",'01_Formulario_A00'!$A:$A,0))="","— (a preencher em 01_Formulario_A00)",INDEX('01_Formulario_A00'!$D:$D,MATCH("D02-DOC-MRC-001.SCHEMA.OWNER",'01_Formulario_A00'!$A:$A,0))),"— (a preencher em 01_Formulario_A00)")</f>
        <v/>
      </c>
    </row>
    <row r="189">
      <c r="A189" s="13" t="inlineStr">
        <is>
          <t>D02-DOC-MRC-001.SCHEMA.TRIGGER</t>
        </is>
      </c>
      <c r="B189" s="2" t="inlineStr">
        <is>
          <t>trigger</t>
        </is>
      </c>
      <c r="C189" s="14">
        <f>IFERROR(IF(INDEX('01_Formulario_A00'!$D:$D,MATCH("D02-DOC-MRC-001.SCHEMA.TRIGGER",'01_Formulario_A00'!$A:$A,0))="","— (a preencher em 01_Formulario_A00)",INDEX('01_Formulario_A00'!$D:$D,MATCH("D02-DOC-MRC-001.SCHEMA.TRIGGER",'01_Formulario_A00'!$A:$A,0))),"— (a preencher em 01_Formulario_A00)")</f>
        <v/>
      </c>
    </row>
    <row r="190">
      <c r="A190" s="13" t="inlineStr">
        <is>
          <t>D02-DOC-MRC-001.SCHEMA.PRAZO</t>
        </is>
      </c>
      <c r="B190" s="2" t="inlineStr">
        <is>
          <t>prazo</t>
        </is>
      </c>
      <c r="C190" s="14">
        <f>IFERROR(IF(INDEX('01_Formulario_A00'!$D:$D,MATCH("D02-DOC-MRC-001.SCHEMA.PRAZO",'01_Formulario_A00'!$A:$A,0))="","— (a preencher em 01_Formulario_A00)",INDEX('01_Formulario_A00'!$D:$D,MATCH("D02-DOC-MRC-001.SCHEMA.PRAZO",'01_Formulario_A00'!$A:$A,0))),"— (a preencher em 01_Formulario_A00)")</f>
        <v/>
      </c>
    </row>
    <row r="191">
      <c r="A191" s="13" t="inlineStr">
        <is>
          <t>D02-DOC-MRC-001.SCHEMA.EVIDENCIA</t>
        </is>
      </c>
      <c r="B191" s="2" t="inlineStr">
        <is>
          <t>evidencia</t>
        </is>
      </c>
      <c r="C191" s="14">
        <f>IFERROR(IF(INDEX('01_Formulario_A00'!$D:$D,MATCH("D02-DOC-MRC-001.SCHEMA.EVIDENCIA",'01_Formulario_A00'!$A:$A,0))="","— (a preencher em 01_Formulario_A00)",INDEX('01_Formulario_A00'!$D:$D,MATCH("D02-DOC-MRC-001.SCHEMA.EVIDENCIA",'01_Formulario_A00'!$A:$A,0))),"— (a preencher em 01_Formulario_A00)")</f>
        <v/>
      </c>
    </row>
    <row r="192">
      <c r="A192" s="13" t="inlineStr">
        <is>
          <t>D02-DOC-MRC-001.SCHEMA.STATUS</t>
        </is>
      </c>
      <c r="B192" s="2" t="inlineStr">
        <is>
          <t>status</t>
        </is>
      </c>
      <c r="C192" s="14">
        <f>IFERROR(IF(INDEX('01_Formulario_A00'!$D:$D,MATCH("D02-DOC-MRC-001.SCHEMA.STATUS",'01_Formulario_A00'!$A:$A,0))="","— (a preencher em 01_Formulario_A00)",INDEX('01_Formulario_A00'!$D:$D,MATCH("D02-DOC-MRC-001.SCHEMA.STATUS",'01_Formulario_A00'!$A:$A,0))),"— (a preencher em 01_Formulario_A00)")</f>
        <v/>
      </c>
    </row>
    <row r="193">
      <c r="A193" s="5" t="inlineStr">
        <is>
          <t>D02-DOC-PPT-001 — Política de Privacidade e Termos [PRE_PREENCHIDO/PENDENTE]</t>
        </is>
      </c>
      <c r="B193" s="6" t="n"/>
      <c r="C193" s="7" t="n"/>
    </row>
    <row r="194">
      <c r="A194" s="13" t="inlineStr">
        <is>
          <t>D02-DOC-PPT-001.ORGANIZATION.CONTROLADOR</t>
        </is>
      </c>
      <c r="B194" s="2" t="inlineStr">
        <is>
          <t>controlador</t>
        </is>
      </c>
      <c r="C194" s="14">
        <f>IFERROR(IF(INDEX('01_Formulario_A00'!$D:$D,MATCH("D02-DOC-PPT-001.ORGANIZATION.CONTROLADOR",'01_Formulario_A00'!$A:$A,0))="","— (a preencher em 01_Formulario_A00)",INDEX('01_Formulario_A00'!$D:$D,MATCH("D02-DOC-PPT-001.ORGANIZATION.CONTROLADOR",'01_Formulario_A00'!$A:$A,0))),"— (a preencher em 01_Formulario_A00)")</f>
        <v/>
      </c>
    </row>
    <row r="195">
      <c r="A195" s="13" t="inlineStr">
        <is>
          <t>D02-DOC-PPT-001.ORGANIZATION.OPERADOR</t>
        </is>
      </c>
      <c r="B195" s="2" t="inlineStr">
        <is>
          <t>operador</t>
        </is>
      </c>
      <c r="C195" s="14">
        <f>IFERROR(IF(INDEX('01_Formulario_A00'!$D:$D,MATCH("D02-DOC-PPT-001.ORGANIZATION.OPERADOR",'01_Formulario_A00'!$A:$A,0))="","— (a preencher em 01_Formulario_A00)",INDEX('01_Formulario_A00'!$D:$D,MATCH("D02-DOC-PPT-001.ORGANIZATION.OPERADOR",'01_Formulario_A00'!$A:$A,0))),"— (a preencher em 01_Formulario_A00)")</f>
        <v/>
      </c>
    </row>
    <row r="196">
      <c r="A196" s="13" t="inlineStr">
        <is>
          <t>D02-DOC-PPT-001.ORGANIZATION.CONTATO</t>
        </is>
      </c>
      <c r="B196" s="2" t="inlineStr">
        <is>
          <t>contato</t>
        </is>
      </c>
      <c r="C196" s="14">
        <f>IFERROR(IF(INDEX('01_Formulario_A00'!$D:$D,MATCH("D02-DOC-PPT-001.ORGANIZATION.CONTATO",'01_Formulario_A00'!$A:$A,0))="","— (a preencher em 01_Formulario_A00)",INDEX('01_Formulario_A00'!$D:$D,MATCH("D02-DOC-PPT-001.ORGANIZATION.CONTATO",'01_Formulario_A00'!$A:$A,0))),"— (a preencher em 01_Formulario_A00)")</f>
        <v/>
      </c>
    </row>
    <row r="197">
      <c r="A197" s="13" t="inlineStr">
        <is>
          <t>D02-DOC-PPT-001.COLLECTED_DATA.CATEGORIAS_DE_DADOS</t>
        </is>
      </c>
      <c r="B197" s="2" t="inlineStr">
        <is>
          <t>categorias_de_dados</t>
        </is>
      </c>
      <c r="C197" s="14">
        <f>IFERROR(IF(INDEX('01_Formulario_A00'!$D:$D,MATCH("D02-DOC-PPT-001.COLLECTED_DATA.CATEGORIAS_DE_DADOS",'01_Formulario_A00'!$A:$A,0))="","— (a preencher em 01_Formulario_A00)",INDEX('01_Formulario_A00'!$D:$D,MATCH("D02-DOC-PPT-001.COLLECTED_DATA.CATEGORIAS_DE_DADOS",'01_Formulario_A00'!$A:$A,0))),"— (a preencher em 01_Formulario_A00)")</f>
        <v/>
      </c>
    </row>
    <row r="198">
      <c r="A198" s="13" t="inlineStr">
        <is>
          <t>D02-DOC-PPT-001.COLLECTED_DATA.ORIGEM</t>
        </is>
      </c>
      <c r="B198" s="2" t="inlineStr">
        <is>
          <t>origem</t>
        </is>
      </c>
      <c r="C198" s="14">
        <f>IFERROR(IF(INDEX('01_Formulario_A00'!$D:$D,MATCH("D02-DOC-PPT-001.COLLECTED_DATA.ORIGEM",'01_Formulario_A00'!$A:$A,0))="","— (a preencher em 01_Formulario_A00)",INDEX('01_Formulario_A00'!$D:$D,MATCH("D02-DOC-PPT-001.COLLECTED_DATA.ORIGEM",'01_Formulario_A00'!$A:$A,0))),"— (a preencher em 01_Formulario_A00)")</f>
        <v/>
      </c>
    </row>
    <row r="199">
      <c r="A199" s="13" t="inlineStr">
        <is>
          <t>D02-DOC-PPT-001.PURPOSES.FINALIDADE</t>
        </is>
      </c>
      <c r="B199" s="2" t="inlineStr">
        <is>
          <t>finalidade</t>
        </is>
      </c>
      <c r="C199" s="14">
        <f>IFERROR(IF(INDEX('01_Formulario_A00'!$D:$D,MATCH("D02-DOC-PPT-001.PURPOSES.FINALIDADE",'01_Formulario_A00'!$A:$A,0))="","— (a preencher em 01_Formulario_A00)",INDEX('01_Formulario_A00'!$D:$D,MATCH("D02-DOC-PPT-001.PURPOSES.FINALIDADE",'01_Formulario_A00'!$A:$A,0))),"— (a preencher em 01_Formulario_A00)")</f>
        <v/>
      </c>
    </row>
    <row r="200">
      <c r="A200" s="13" t="inlineStr">
        <is>
          <t>D02-DOC-PPT-001.PURPOSES.BASE_LEGAL</t>
        </is>
      </c>
      <c r="B200" s="2" t="inlineStr">
        <is>
          <t>base_legal</t>
        </is>
      </c>
      <c r="C200" s="14">
        <f>IFERROR(IF(INDEX('01_Formulario_A00'!$D:$D,MATCH("D02-DOC-PPT-001.PURPOSES.BASE_LEGAL",'01_Formulario_A00'!$A:$A,0))="","— (a preencher em 01_Formulario_A00)",INDEX('01_Formulario_A00'!$D:$D,MATCH("D02-DOC-PPT-001.PURPOSES.BASE_LEGAL",'01_Formulario_A00'!$A:$A,0))),"— (a preencher em 01_Formulario_A00)")</f>
        <v/>
      </c>
    </row>
    <row r="201">
      <c r="A201" s="13" t="inlineStr">
        <is>
          <t>D02-DOC-PPT-001.SHARING.TERCEIROS</t>
        </is>
      </c>
      <c r="B201" s="2" t="inlineStr">
        <is>
          <t>terceiros</t>
        </is>
      </c>
      <c r="C201" s="14">
        <f>IFERROR(IF(INDEX('01_Formulario_A00'!$D:$D,MATCH("D02-DOC-PPT-001.SHARING.TERCEIROS",'01_Formulario_A00'!$A:$A,0))="","— (a preencher em 01_Formulario_A00)",INDEX('01_Formulario_A00'!$D:$D,MATCH("D02-DOC-PPT-001.SHARING.TERCEIROS",'01_Formulario_A00'!$A:$A,0))),"— (a preencher em 01_Formulario_A00)")</f>
        <v/>
      </c>
    </row>
    <row r="202">
      <c r="A202" s="13" t="inlineStr">
        <is>
          <t>D02-DOC-PPT-001.SHARING.OPERADORES</t>
        </is>
      </c>
      <c r="B202" s="2" t="inlineStr">
        <is>
          <t>operadores</t>
        </is>
      </c>
      <c r="C202" s="14">
        <f>IFERROR(IF(INDEX('01_Formulario_A00'!$D:$D,MATCH("D02-DOC-PPT-001.SHARING.OPERADORES",'01_Formulario_A00'!$A:$A,0))="","— (a preencher em 01_Formulario_A00)",INDEX('01_Formulario_A00'!$D:$D,MATCH("D02-DOC-PPT-001.SHARING.OPERADORES",'01_Formulario_A00'!$A:$A,0))),"— (a preencher em 01_Formulario_A00)")</f>
        <v/>
      </c>
    </row>
    <row r="203">
      <c r="A203" s="13" t="inlineStr">
        <is>
          <t>D02-DOC-PPT-001.SHARING.TRANSFERENCIA</t>
        </is>
      </c>
      <c r="B203" s="2" t="inlineStr">
        <is>
          <t>transferencia</t>
        </is>
      </c>
      <c r="C203" s="14">
        <f>IFERROR(IF(INDEX('01_Formulario_A00'!$D:$D,MATCH("D02-DOC-PPT-001.SHARING.TRANSFERENCIA",'01_Formulario_A00'!$A:$A,0))="","— (a preencher em 01_Formulario_A00)",INDEX('01_Formulario_A00'!$D:$D,MATCH("D02-DOC-PPT-001.SHARING.TRANSFERENCIA",'01_Formulario_A00'!$A:$A,0))),"— (a preencher em 01_Formulario_A00)")</f>
        <v/>
      </c>
    </row>
    <row r="204">
      <c r="A204" s="13" t="inlineStr">
        <is>
          <t>D02-DOC-PPT-001.STORAGE.RETENCAO</t>
        </is>
      </c>
      <c r="B204" s="2" t="inlineStr">
        <is>
          <t>retencao</t>
        </is>
      </c>
      <c r="C204" s="14">
        <f>IFERROR(IF(INDEX('01_Formulario_A00'!$D:$D,MATCH("D02-DOC-PPT-001.STORAGE.RETENCAO",'01_Formulario_A00'!$A:$A,0))="","— (a preencher em 01_Formulario_A00)",INDEX('01_Formulario_A00'!$D:$D,MATCH("D02-DOC-PPT-001.STORAGE.RETENCAO",'01_Formulario_A00'!$A:$A,0))),"— (a preencher em 01_Formulario_A00)")</f>
        <v/>
      </c>
    </row>
    <row r="205">
      <c r="A205" s="13" t="inlineStr">
        <is>
          <t>D02-DOC-PPT-001.STORAGE.EXCLUSAO</t>
        </is>
      </c>
      <c r="B205" s="2" t="inlineStr">
        <is>
          <t>exclusao</t>
        </is>
      </c>
      <c r="C205" s="14">
        <f>IFERROR(IF(INDEX('01_Formulario_A00'!$D:$D,MATCH("D02-DOC-PPT-001.STORAGE.EXCLUSAO",'01_Formulario_A00'!$A:$A,0))="","— (a preencher em 01_Formulario_A00)",INDEX('01_Formulario_A00'!$D:$D,MATCH("D02-DOC-PPT-001.STORAGE.EXCLUSAO",'01_Formulario_A00'!$A:$A,0))),"— (a preencher em 01_Formulario_A00)")</f>
        <v/>
      </c>
    </row>
    <row r="206">
      <c r="A206" s="13" t="inlineStr">
        <is>
          <t>D02-DOC-PPT-001.RIGHTS.DIREITOS_DO_TITULAR</t>
        </is>
      </c>
      <c r="B206" s="2" t="inlineStr">
        <is>
          <t>direitos_do_titular</t>
        </is>
      </c>
      <c r="C206" s="14">
        <f>IFERROR(IF(INDEX('01_Formulario_A00'!$D:$D,MATCH("D02-DOC-PPT-001.RIGHTS.DIREITOS_DO_TITULAR",'01_Formulario_A00'!$A:$A,0))="","— (a preencher em 01_Formulario_A00)",INDEX('01_Formulario_A00'!$D:$D,MATCH("D02-DOC-PPT-001.RIGHTS.DIREITOS_DO_TITULAR",'01_Formulario_A00'!$A:$A,0))),"— (a preencher em 01_Formulario_A00)")</f>
        <v/>
      </c>
    </row>
    <row r="207">
      <c r="A207" s="13" t="inlineStr">
        <is>
          <t>D02-DOC-PPT-001.RIGHTS.CANAL_DE_SOLICITACAO</t>
        </is>
      </c>
      <c r="B207" s="2" t="inlineStr">
        <is>
          <t>canal_de_solicitacao</t>
        </is>
      </c>
      <c r="C207" s="14">
        <f>IFERROR(IF(INDEX('01_Formulario_A00'!$D:$D,MATCH("D02-DOC-PPT-001.RIGHTS.CANAL_DE_SOLICITACAO",'01_Formulario_A00'!$A:$A,0))="","— (a preencher em 01_Formulario_A00)",INDEX('01_Formulario_A00'!$D:$D,MATCH("D02-DOC-PPT-001.RIGHTS.CANAL_DE_SOLICITACAO",'01_Formulario_A00'!$A:$A,0))),"— (a preencher em 01_Formulario_A00)")</f>
        <v/>
      </c>
    </row>
    <row r="208">
      <c r="A208" s="13" t="inlineStr">
        <is>
          <t>D02-DOC-PPT-001.COOKIES.COOKIES</t>
        </is>
      </c>
      <c r="B208" s="2" t="inlineStr">
        <is>
          <t>cookies</t>
        </is>
      </c>
      <c r="C208" s="14">
        <f>IFERROR(IF(INDEX('01_Formulario_A00'!$D:$D,MATCH("D02-DOC-PPT-001.COOKIES.COOKIES",'01_Formulario_A00'!$A:$A,0))="","— (a preencher em 01_Formulario_A00)",INDEX('01_Formulario_A00'!$D:$D,MATCH("D02-DOC-PPT-001.COOKIES.COOKIES",'01_Formulario_A00'!$A:$A,0))),"— (a preencher em 01_Formulario_A00)")</f>
        <v/>
      </c>
    </row>
    <row r="209">
      <c r="A209" s="13" t="inlineStr">
        <is>
          <t>D02-DOC-PPT-001.COOKIES.ANALYTICS</t>
        </is>
      </c>
      <c r="B209" s="2" t="inlineStr">
        <is>
          <t>analytics</t>
        </is>
      </c>
      <c r="C209" s="14">
        <f>IFERROR(IF(INDEX('01_Formulario_A00'!$D:$D,MATCH("D02-DOC-PPT-001.COOKIES.ANALYTICS",'01_Formulario_A00'!$A:$A,0))="","— (a preencher em 01_Formulario_A00)",INDEX('01_Formulario_A00'!$D:$D,MATCH("D02-DOC-PPT-001.COOKIES.ANALYTICS",'01_Formulario_A00'!$A:$A,0))),"— (a preencher em 01_Formulario_A00)")</f>
        <v/>
      </c>
    </row>
    <row r="210">
      <c r="A210" s="13" t="inlineStr">
        <is>
          <t>D02-DOC-PPT-001.COOKIES.PREFERENCIAS</t>
        </is>
      </c>
      <c r="B210" s="2" t="inlineStr">
        <is>
          <t>preferencias</t>
        </is>
      </c>
      <c r="C210" s="14">
        <f>IFERROR(IF(INDEX('01_Formulario_A00'!$D:$D,MATCH("D02-DOC-PPT-001.COOKIES.PREFERENCIAS",'01_Formulario_A00'!$A:$A,0))="","— (a preencher em 01_Formulario_A00)",INDEX('01_Formulario_A00'!$D:$D,MATCH("D02-DOC-PPT-001.COOKIES.PREFERENCIAS",'01_Formulario_A00'!$A:$A,0))),"— (a preencher em 01_Formulario_A00)")</f>
        <v/>
      </c>
    </row>
    <row r="211">
      <c r="A211" s="13" t="inlineStr">
        <is>
          <t>D02-DOC-PPT-001.SECURITY.MEDIDAS_DE_SEGURANCA</t>
        </is>
      </c>
      <c r="B211" s="2" t="inlineStr">
        <is>
          <t>medidas_de_seguranca</t>
        </is>
      </c>
      <c r="C211" s="14">
        <f>IFERROR(IF(INDEX('01_Formulario_A00'!$D:$D,MATCH("D02-DOC-PPT-001.SECURITY.MEDIDAS_DE_SEGURANCA",'01_Formulario_A00'!$A:$A,0))="","— (a preencher em 01_Formulario_A00)",INDEX('01_Formulario_A00'!$D:$D,MATCH("D02-DOC-PPT-001.SECURITY.MEDIDAS_DE_SEGURANCA",'01_Formulario_A00'!$A:$A,0))),"— (a preencher em 01_Formulario_A00)")</f>
        <v/>
      </c>
    </row>
    <row r="212">
      <c r="A212" s="13" t="inlineStr">
        <is>
          <t>D02-DOC-PPT-001.TERMS.ELEGIBILIDADE</t>
        </is>
      </c>
      <c r="B212" s="2" t="inlineStr">
        <is>
          <t>elegibilidade</t>
        </is>
      </c>
      <c r="C212" s="14">
        <f>IFERROR(IF(INDEX('01_Formulario_A00'!$D:$D,MATCH("D02-DOC-PPT-001.TERMS.ELEGIBILIDADE",'01_Formulario_A00'!$A:$A,0))="","— (a preencher em 01_Formulario_A00)",INDEX('01_Formulario_A00'!$D:$D,MATCH("D02-DOC-PPT-001.TERMS.ELEGIBILIDADE",'01_Formulario_A00'!$A:$A,0))),"— (a preencher em 01_Formulario_A00)")</f>
        <v/>
      </c>
    </row>
    <row r="213">
      <c r="A213" s="13" t="inlineStr">
        <is>
          <t>D02-DOC-PPT-001.TERMS.USO_PERMITIDO</t>
        </is>
      </c>
      <c r="B213" s="2" t="inlineStr">
        <is>
          <t>uso_permitido</t>
        </is>
      </c>
      <c r="C213" s="14">
        <f>IFERROR(IF(INDEX('01_Formulario_A00'!$D:$D,MATCH("D02-DOC-PPT-001.TERMS.USO_PERMITIDO",'01_Formulario_A00'!$A:$A,0))="","— (a preencher em 01_Formulario_A00)",INDEX('01_Formulario_A00'!$D:$D,MATCH("D02-DOC-PPT-001.TERMS.USO_PERMITIDO",'01_Formulario_A00'!$A:$A,0))),"— (a preencher em 01_Formulario_A00)")</f>
        <v/>
      </c>
    </row>
    <row r="214">
      <c r="A214" s="13" t="inlineStr">
        <is>
          <t>D02-DOC-PPT-001.TERMS.USO_PROIBIDO</t>
        </is>
      </c>
      <c r="B214" s="2" t="inlineStr">
        <is>
          <t>uso_proibido</t>
        </is>
      </c>
      <c r="C214" s="14">
        <f>IFERROR(IF(INDEX('01_Formulario_A00'!$D:$D,MATCH("D02-DOC-PPT-001.TERMS.USO_PROIBIDO",'01_Formulario_A00'!$A:$A,0))="","— (a preencher em 01_Formulario_A00)",INDEX('01_Formulario_A00'!$D:$D,MATCH("D02-DOC-PPT-001.TERMS.USO_PROIBIDO",'01_Formulario_A00'!$A:$A,0))),"— (a preencher em 01_Formulario_A00)")</f>
        <v/>
      </c>
    </row>
    <row r="215">
      <c r="A215" s="13" t="inlineStr">
        <is>
          <t>D02-DOC-PPT-001.LIABILITY.LIMITACOES</t>
        </is>
      </c>
      <c r="B215" s="2" t="inlineStr">
        <is>
          <t>limitacoes</t>
        </is>
      </c>
      <c r="C215" s="14">
        <f>IFERROR(IF(INDEX('01_Formulario_A00'!$D:$D,MATCH("D02-DOC-PPT-001.LIABILITY.LIMITACOES",'01_Formulario_A00'!$A:$A,0))="","— (a preencher em 01_Formulario_A00)",INDEX('01_Formulario_A00'!$D:$D,MATCH("D02-DOC-PPT-001.LIABILITY.LIMITACOES",'01_Formulario_A00'!$A:$A,0))),"— (a preencher em 01_Formulario_A00)")</f>
        <v/>
      </c>
    </row>
    <row r="216">
      <c r="A216" s="13" t="inlineStr">
        <is>
          <t>D02-DOC-PPT-001.LIABILITY.RESPONSABILIDADES</t>
        </is>
      </c>
      <c r="B216" s="2" t="inlineStr">
        <is>
          <t>responsabilidades</t>
        </is>
      </c>
      <c r="C216" s="14">
        <f>IFERROR(IF(INDEX('01_Formulario_A00'!$D:$D,MATCH("D02-DOC-PPT-001.LIABILITY.RESPONSABILIDADES",'01_Formulario_A00'!$A:$A,0))="","— (a preencher em 01_Formulario_A00)",INDEX('01_Formulario_A00'!$D:$D,MATCH("D02-DOC-PPT-001.LIABILITY.RESPONSABILIDADES",'01_Formulario_A00'!$A:$A,0))),"— (a preencher em 01_Formulario_A00)")</f>
        <v/>
      </c>
    </row>
    <row r="217">
      <c r="A217" s="13" t="inlineStr">
        <is>
          <t>D02-DOC-PPT-001.IP.PROPRIEDADE_INTELECTUAL</t>
        </is>
      </c>
      <c r="B217" s="2" t="inlineStr">
        <is>
          <t>propriedade_intelectual</t>
        </is>
      </c>
      <c r="C217" s="14">
        <f>IFERROR(IF(INDEX('01_Formulario_A00'!$D:$D,MATCH("D02-DOC-PPT-001.IP.PROPRIEDADE_INTELECTUAL",'01_Formulario_A00'!$A:$A,0))="","— (a preencher em 01_Formulario_A00)",INDEX('01_Formulario_A00'!$D:$D,MATCH("D02-DOC-PPT-001.IP.PROPRIEDADE_INTELECTUAL",'01_Formulario_A00'!$A:$A,0))),"— (a preencher em 01_Formulario_A00)")</f>
        <v/>
      </c>
    </row>
    <row r="218">
      <c r="A218" s="13" t="inlineStr">
        <is>
          <t>D02-DOC-PPT-001.TERMINATION.SUSPENSAO</t>
        </is>
      </c>
      <c r="B218" s="2" t="inlineStr">
        <is>
          <t>suspensao</t>
        </is>
      </c>
      <c r="C218" s="14">
        <f>IFERROR(IF(INDEX('01_Formulario_A00'!$D:$D,MATCH("D02-DOC-PPT-001.TERMINATION.SUSPENSAO",'01_Formulario_A00'!$A:$A,0))="","— (a preencher em 01_Formulario_A00)",INDEX('01_Formulario_A00'!$D:$D,MATCH("D02-DOC-PPT-001.TERMINATION.SUSPENSAO",'01_Formulario_A00'!$A:$A,0))),"— (a preencher em 01_Formulario_A00)")</f>
        <v/>
      </c>
    </row>
    <row r="219">
      <c r="A219" s="13" t="inlineStr">
        <is>
          <t>D02-DOC-PPT-001.TERMINATION.ENCERRAMENTO</t>
        </is>
      </c>
      <c r="B219" s="2" t="inlineStr">
        <is>
          <t>encerramento</t>
        </is>
      </c>
      <c r="C219" s="14">
        <f>IFERROR(IF(INDEX('01_Formulario_A00'!$D:$D,MATCH("D02-DOC-PPT-001.TERMINATION.ENCERRAMENTO",'01_Formulario_A00'!$A:$A,0))="","— (a preencher em 01_Formulario_A00)",INDEX('01_Formulario_A00'!$D:$D,MATCH("D02-DOC-PPT-001.TERMINATION.ENCERRAMENTO",'01_Formulario_A00'!$A:$A,0))),"— (a preencher em 01_Formulario_A00)")</f>
        <v/>
      </c>
    </row>
    <row r="220">
      <c r="A220" s="13" t="inlineStr">
        <is>
          <t>D02-DOC-PPT-001.UPDATES.ALTERACOES_DA_POLITICA</t>
        </is>
      </c>
      <c r="B220" s="2" t="inlineStr">
        <is>
          <t>alteracoes_da_politica</t>
        </is>
      </c>
      <c r="C220" s="14">
        <f>IFERROR(IF(INDEX('01_Formulario_A00'!$D:$D,MATCH("D02-DOC-PPT-001.UPDATES.ALTERACOES_DA_POLITICA",'01_Formulario_A00'!$A:$A,0))="","— (a preencher em 01_Formulario_A00)",INDEX('01_Formulario_A00'!$D:$D,MATCH("D02-DOC-PPT-001.UPDATES.ALTERACOES_DA_POLITICA",'01_Formulario_A00'!$A:$A,0))),"— (a preencher em 01_Formulario_A00)")</f>
        <v/>
      </c>
    </row>
    <row r="221">
      <c r="A221" s="5" t="inlineStr">
        <is>
          <t>D03-DOC-PFO-001 — Plano Financeiro e Orçamentário [PRE_PREENCHIDO/PENDENTE]</t>
        </is>
      </c>
      <c r="B221" s="6" t="n"/>
      <c r="C221" s="7" t="n"/>
    </row>
    <row r="222">
      <c r="A222" s="13" t="inlineStr">
        <is>
          <t>D03-DOC-PFO-001.ASSUMPTIONS.PREMISSAS_FINANCEIRAS</t>
        </is>
      </c>
      <c r="B222" s="2" t="inlineStr">
        <is>
          <t>premissas_financeiras</t>
        </is>
      </c>
      <c r="C222" s="14">
        <f>IFERROR(IF(INDEX('01_Formulario_A00'!$D:$D,MATCH("D03-DOC-PFO-001.ASSUMPTIONS.PREMISSAS_FINANCEIRAS",'01_Formulario_A00'!$A:$A,0))="","— (a preencher em 01_Formulario_A00)",INDEX('01_Formulario_A00'!$D:$D,MATCH("D03-DOC-PFO-001.ASSUMPTIONS.PREMISSAS_FINANCEIRAS",'01_Formulario_A00'!$A:$A,0))),"— (a preencher em 01_Formulario_A00)")</f>
        <v/>
      </c>
    </row>
    <row r="223">
      <c r="A223" s="13" t="inlineStr">
        <is>
          <t>D03-DOC-PFO-001.ASSUMPTIONS.PERIODO</t>
        </is>
      </c>
      <c r="B223" s="2" t="inlineStr">
        <is>
          <t>periodo</t>
        </is>
      </c>
      <c r="C223" s="14">
        <f>IFERROR(IF(INDEX('01_Formulario_A00'!$D:$D,MATCH("D03-DOC-PFO-001.ASSUMPTIONS.PERIODO",'01_Formulario_A00'!$A:$A,0))="","— (a preencher em 01_Formulario_A00)",INDEX('01_Formulario_A00'!$D:$D,MATCH("D03-DOC-PFO-001.ASSUMPTIONS.PERIODO",'01_Formulario_A00'!$A:$A,0))),"— (a preencher em 01_Formulario_A00)")</f>
        <v/>
      </c>
    </row>
    <row r="224">
      <c r="A224" s="13" t="inlineStr">
        <is>
          <t>D03-DOC-PFO-001.ASSUMPTIONS.MOEDA</t>
        </is>
      </c>
      <c r="B224" s="2" t="inlineStr">
        <is>
          <t>moeda</t>
        </is>
      </c>
      <c r="C224" s="14">
        <f>IFERROR(IF(INDEX('01_Formulario_A00'!$D:$D,MATCH("D03-DOC-PFO-001.ASSUMPTIONS.MOEDA",'01_Formulario_A00'!$A:$A,0))="","— (a preencher em 01_Formulario_A00)",INDEX('01_Formulario_A00'!$D:$D,MATCH("D03-DOC-PFO-001.ASSUMPTIONS.MOEDA",'01_Formulario_A00'!$A:$A,0))),"— (a preencher em 01_Formulario_A00)")</f>
        <v/>
      </c>
    </row>
    <row r="225">
      <c r="A225" s="13" t="inlineStr">
        <is>
          <t>D03-DOC-PFO-001.REVENUE.FONTES</t>
        </is>
      </c>
      <c r="B225" s="2" t="inlineStr">
        <is>
          <t>fontes</t>
        </is>
      </c>
      <c r="C225" s="14">
        <f>IFERROR(IF(INDEX('01_Formulario_A00'!$D:$D,MATCH("D03-DOC-PFO-001.REVENUE.FONTES",'01_Formulario_A00'!$A:$A,0))="","— (a preencher em 01_Formulario_A00)",INDEX('01_Formulario_A00'!$D:$D,MATCH("D03-DOC-PFO-001.REVENUE.FONTES",'01_Formulario_A00'!$A:$A,0))),"— (a preencher em 01_Formulario_A00)")</f>
        <v/>
      </c>
    </row>
    <row r="226">
      <c r="A226" s="13" t="inlineStr">
        <is>
          <t>D03-DOC-PFO-001.REVENUE.PREVISOES</t>
        </is>
      </c>
      <c r="B226" s="2" t="inlineStr">
        <is>
          <t>previsoes</t>
        </is>
      </c>
      <c r="C226" s="14">
        <f>IFERROR(IF(INDEX('01_Formulario_A00'!$D:$D,MATCH("D03-DOC-PFO-001.REVENUE.PREVISOES",'01_Formulario_A00'!$A:$A,0))="","— (a preencher em 01_Formulario_A00)",INDEX('01_Formulario_A00'!$D:$D,MATCH("D03-DOC-PFO-001.REVENUE.PREVISOES",'01_Formulario_A00'!$A:$A,0))),"— (a preencher em 01_Formulario_A00)")</f>
        <v/>
      </c>
    </row>
    <row r="227">
      <c r="A227" s="13" t="inlineStr">
        <is>
          <t>D03-DOC-PFO-001.REVENUE.RECORRENCIA</t>
        </is>
      </c>
      <c r="B227" s="2" t="inlineStr">
        <is>
          <t>recorrencia</t>
        </is>
      </c>
      <c r="C227" s="14">
        <f>IFERROR(IF(INDEX('01_Formulario_A00'!$D:$D,MATCH("D03-DOC-PFO-001.REVENUE.RECORRENCIA",'01_Formulario_A00'!$A:$A,0))="","— (a preencher em 01_Formulario_A00)",INDEX('01_Formulario_A00'!$D:$D,MATCH("D03-DOC-PFO-001.REVENUE.RECORRENCIA",'01_Formulario_A00'!$A:$A,0))),"— (a preencher em 01_Formulario_A00)")</f>
        <v/>
      </c>
    </row>
    <row r="228">
      <c r="A228" s="13" t="inlineStr">
        <is>
          <t>D03-DOC-PFO-001.CAPEX.ITEM</t>
        </is>
      </c>
      <c r="B228" s="2" t="inlineStr">
        <is>
          <t>item</t>
        </is>
      </c>
      <c r="C228" s="14">
        <f>IFERROR(IF(INDEX('01_Formulario_A00'!$D:$D,MATCH("D03-DOC-PFO-001.CAPEX.ITEM",'01_Formulario_A00'!$A:$A,0))="","— (a preencher em 01_Formulario_A00)",INDEX('01_Formulario_A00'!$D:$D,MATCH("D03-DOC-PFO-001.CAPEX.ITEM",'01_Formulario_A00'!$A:$A,0))),"— (a preencher em 01_Formulario_A00)")</f>
        <v/>
      </c>
    </row>
    <row r="229">
      <c r="A229" s="13" t="inlineStr">
        <is>
          <t>D03-DOC-PFO-001.CAPEX.VALOR</t>
        </is>
      </c>
      <c r="B229" s="2" t="inlineStr">
        <is>
          <t>valor</t>
        </is>
      </c>
      <c r="C229" s="14">
        <f>IFERROR(IF(INDEX('01_Formulario_A00'!$D:$D,MATCH("D03-DOC-PFO-001.CAPEX.VALOR",'01_Formulario_A00'!$A:$A,0))="","— (a preencher em 01_Formulario_A00)",INDEX('01_Formulario_A00'!$D:$D,MATCH("D03-DOC-PFO-001.CAPEX.VALOR",'01_Formulario_A00'!$A:$A,0))),"— (a preencher em 01_Formulario_A00)")</f>
        <v/>
      </c>
    </row>
    <row r="230">
      <c r="A230" s="13" t="inlineStr">
        <is>
          <t>D03-DOC-PFO-001.CAPEX.PERIODO</t>
        </is>
      </c>
      <c r="B230" s="2" t="inlineStr">
        <is>
          <t>periodo</t>
        </is>
      </c>
      <c r="C230" s="14">
        <f>IFERROR(IF(INDEX('01_Formulario_A00'!$D:$D,MATCH("D03-DOC-PFO-001.CAPEX.PERIODO",'01_Formulario_A00'!$A:$A,0))="","— (a preencher em 01_Formulario_A00)",INDEX('01_Formulario_A00'!$D:$D,MATCH("D03-DOC-PFO-001.CAPEX.PERIODO",'01_Formulario_A00'!$A:$A,0))),"— (a preencher em 01_Formulario_A00)")</f>
        <v/>
      </c>
    </row>
    <row r="231">
      <c r="A231" s="13" t="inlineStr">
        <is>
          <t>D03-DOC-PFO-001.CAPEX.JUSTIFICATIVA</t>
        </is>
      </c>
      <c r="B231" s="2" t="inlineStr">
        <is>
          <t>justificativa</t>
        </is>
      </c>
      <c r="C231" s="14">
        <f>IFERROR(IF(INDEX('01_Formulario_A00'!$D:$D,MATCH("D03-DOC-PFO-001.CAPEX.JUSTIFICATIVA",'01_Formulario_A00'!$A:$A,0))="","— (a preencher em 01_Formulario_A00)",INDEX('01_Formulario_A00'!$D:$D,MATCH("D03-DOC-PFO-001.CAPEX.JUSTIFICATIVA",'01_Formulario_A00'!$A:$A,0))),"— (a preencher em 01_Formulario_A00)")</f>
        <v/>
      </c>
    </row>
    <row r="232">
      <c r="A232" s="13" t="inlineStr">
        <is>
          <t>D03-DOC-PFO-001.OPEX.CATEGORIA</t>
        </is>
      </c>
      <c r="B232" s="2" t="inlineStr">
        <is>
          <t>categoria</t>
        </is>
      </c>
      <c r="C232" s="14">
        <f>IFERROR(IF(INDEX('01_Formulario_A00'!$D:$D,MATCH("D03-DOC-PFO-001.OPEX.CATEGORIA",'01_Formulario_A00'!$A:$A,0))="","— (a preencher em 01_Formulario_A00)",INDEX('01_Formulario_A00'!$D:$D,MATCH("D03-DOC-PFO-001.OPEX.CATEGORIA",'01_Formulario_A00'!$A:$A,0))),"— (a preencher em 01_Formulario_A00)")</f>
        <v/>
      </c>
    </row>
    <row r="233">
      <c r="A233" s="13" t="inlineStr">
        <is>
          <t>D03-DOC-PFO-001.OPEX.VALOR</t>
        </is>
      </c>
      <c r="B233" s="2" t="inlineStr">
        <is>
          <t>valor</t>
        </is>
      </c>
      <c r="C233" s="14">
        <f>IFERROR(IF(INDEX('01_Formulario_A00'!$D:$D,MATCH("D03-DOC-PFO-001.OPEX.VALOR",'01_Formulario_A00'!$A:$A,0))="","— (a preencher em 01_Formulario_A00)",INDEX('01_Formulario_A00'!$D:$D,MATCH("D03-DOC-PFO-001.OPEX.VALOR",'01_Formulario_A00'!$A:$A,0))),"— (a preencher em 01_Formulario_A00)")</f>
        <v/>
      </c>
    </row>
    <row r="234">
      <c r="A234" s="13" t="inlineStr">
        <is>
          <t>D03-DOC-PFO-001.OPEX.PERIODICIDADE</t>
        </is>
      </c>
      <c r="B234" s="2" t="inlineStr">
        <is>
          <t>periodicidade</t>
        </is>
      </c>
      <c r="C234" s="14">
        <f>IFERROR(IF(INDEX('01_Formulario_A00'!$D:$D,MATCH("D03-DOC-PFO-001.OPEX.PERIODICIDADE",'01_Formulario_A00'!$A:$A,0))="","— (a preencher em 01_Formulario_A00)",INDEX('01_Formulario_A00'!$D:$D,MATCH("D03-DOC-PFO-001.OPEX.PERIODICIDADE",'01_Formulario_A00'!$A:$A,0))),"— (a preencher em 01_Formulario_A00)")</f>
        <v/>
      </c>
    </row>
    <row r="235">
      <c r="A235" s="13" t="inlineStr">
        <is>
          <t>D03-DOC-PFO-001.BUDGET.ORCAMENTO_POR_AREA</t>
        </is>
      </c>
      <c r="B235" s="2" t="inlineStr">
        <is>
          <t>orcamento_por_area</t>
        </is>
      </c>
      <c r="C235" s="14">
        <f>IFERROR(IF(INDEX('01_Formulario_A00'!$D:$D,MATCH("D03-DOC-PFO-001.BUDGET.ORCAMENTO_POR_AREA",'01_Formulario_A00'!$A:$A,0))="","— (a preencher em 01_Formulario_A00)",INDEX('01_Formulario_A00'!$D:$D,MATCH("D03-DOC-PFO-001.BUDGET.ORCAMENTO_POR_AREA",'01_Formulario_A00'!$A:$A,0))),"— (a preencher em 01_Formulario_A00)")</f>
        <v/>
      </c>
    </row>
    <row r="236">
      <c r="A236" s="13" t="inlineStr">
        <is>
          <t>D03-DOC-PFO-001.BUDGET.LIMITE</t>
        </is>
      </c>
      <c r="B236" s="2" t="inlineStr">
        <is>
          <t>limite</t>
        </is>
      </c>
      <c r="C236" s="14">
        <f>IFERROR(IF(INDEX('01_Formulario_A00'!$D:$D,MATCH("D03-DOC-PFO-001.BUDGET.LIMITE",'01_Formulario_A00'!$A:$A,0))="","— (a preencher em 01_Formulario_A00)",INDEX('01_Formulario_A00'!$D:$D,MATCH("D03-DOC-PFO-001.BUDGET.LIMITE",'01_Formulario_A00'!$A:$A,0))),"— (a preencher em 01_Formulario_A00)")</f>
        <v/>
      </c>
    </row>
    <row r="237">
      <c r="A237" s="13" t="inlineStr">
        <is>
          <t>D03-DOC-PFO-001.BUDGET.REALIZADO</t>
        </is>
      </c>
      <c r="B237" s="2" t="inlineStr">
        <is>
          <t>realizado</t>
        </is>
      </c>
      <c r="C237" s="14">
        <f>IFERROR(IF(INDEX('01_Formulario_A00'!$D:$D,MATCH("D03-DOC-PFO-001.BUDGET.REALIZADO",'01_Formulario_A00'!$A:$A,0))="","— (a preencher em 01_Formulario_A00)",INDEX('01_Formulario_A00'!$D:$D,MATCH("D03-DOC-PFO-001.BUDGET.REALIZADO",'01_Formulario_A00'!$A:$A,0))),"— (a preencher em 01_Formulario_A00)")</f>
        <v/>
      </c>
    </row>
    <row r="238">
      <c r="A238" s="13" t="inlineStr">
        <is>
          <t>D03-DOC-PFO-001.CASHFLOW.ENTRADAS</t>
        </is>
      </c>
      <c r="B238" s="2" t="inlineStr">
        <is>
          <t>entradas</t>
        </is>
      </c>
      <c r="C238" s="14">
        <f>IFERROR(IF(INDEX('01_Formulario_A00'!$D:$D,MATCH("D03-DOC-PFO-001.CASHFLOW.ENTRADAS",'01_Formulario_A00'!$A:$A,0))="","— (a preencher em 01_Formulario_A00)",INDEX('01_Formulario_A00'!$D:$D,MATCH("D03-DOC-PFO-001.CASHFLOW.ENTRADAS",'01_Formulario_A00'!$A:$A,0))),"— (a preencher em 01_Formulario_A00)")</f>
        <v/>
      </c>
    </row>
    <row r="239">
      <c r="A239" s="13" t="inlineStr">
        <is>
          <t>D03-DOC-PFO-001.CASHFLOW.SAIDAS</t>
        </is>
      </c>
      <c r="B239" s="2" t="inlineStr">
        <is>
          <t>saidas</t>
        </is>
      </c>
      <c r="C239" s="14">
        <f>IFERROR(IF(INDEX('01_Formulario_A00'!$D:$D,MATCH("D03-DOC-PFO-001.CASHFLOW.SAIDAS",'01_Formulario_A00'!$A:$A,0))="","— (a preencher em 01_Formulario_A00)",INDEX('01_Formulario_A00'!$D:$D,MATCH("D03-DOC-PFO-001.CASHFLOW.SAIDAS",'01_Formulario_A00'!$A:$A,0))),"— (a preencher em 01_Formulario_A00)")</f>
        <v/>
      </c>
    </row>
    <row r="240">
      <c r="A240" s="13" t="inlineStr">
        <is>
          <t>D03-DOC-PFO-001.CASHFLOW.SALDO</t>
        </is>
      </c>
      <c r="B240" s="2" t="inlineStr">
        <is>
          <t>saldo</t>
        </is>
      </c>
      <c r="C240" s="14">
        <f>IFERROR(IF(INDEX('01_Formulario_A00'!$D:$D,MATCH("D03-DOC-PFO-001.CASHFLOW.SALDO",'01_Formulario_A00'!$A:$A,0))="","— (a preencher em 01_Formulario_A00)",INDEX('01_Formulario_A00'!$D:$D,MATCH("D03-DOC-PFO-001.CASHFLOW.SALDO",'01_Formulario_A00'!$A:$A,0))),"— (a preencher em 01_Formulario_A00)")</f>
        <v/>
      </c>
    </row>
    <row r="241">
      <c r="A241" s="13" t="inlineStr">
        <is>
          <t>D03-DOC-PFO-001.RUNWAY.CAIXA_DISPONIVEL</t>
        </is>
      </c>
      <c r="B241" s="2" t="inlineStr">
        <is>
          <t>caixa_disponivel</t>
        </is>
      </c>
      <c r="C241" s="14">
        <f>IFERROR(IF(INDEX('01_Formulario_A00'!$D:$D,MATCH("D03-DOC-PFO-001.RUNWAY.CAIXA_DISPONIVEL",'01_Formulario_A00'!$A:$A,0))="","— (a preencher em 01_Formulario_A00)",INDEX('01_Formulario_A00'!$D:$D,MATCH("D03-DOC-PFO-001.RUNWAY.CAIXA_DISPONIVEL",'01_Formulario_A00'!$A:$A,0))),"— (a preencher em 01_Formulario_A00)")</f>
        <v/>
      </c>
    </row>
    <row r="242">
      <c r="A242" s="13" t="inlineStr">
        <is>
          <t>D03-DOC-PFO-001.RUNWAY.BURN_RATE</t>
        </is>
      </c>
      <c r="B242" s="2" t="inlineStr">
        <is>
          <t>burn_rate</t>
        </is>
      </c>
      <c r="C242" s="14">
        <f>IFERROR(IF(INDEX('01_Formulario_A00'!$D:$D,MATCH("D03-DOC-PFO-001.RUNWAY.BURN_RATE",'01_Formulario_A00'!$A:$A,0))="","— (a preencher em 01_Formulario_A00)",INDEX('01_Formulario_A00'!$D:$D,MATCH("D03-DOC-PFO-001.RUNWAY.BURN_RATE",'01_Formulario_A00'!$A:$A,0))),"— (a preencher em 01_Formulario_A00)")</f>
        <v/>
      </c>
    </row>
    <row r="243">
      <c r="A243" s="13" t="inlineStr">
        <is>
          <t>D03-DOC-PFO-001.RUNWAY.MESES</t>
        </is>
      </c>
      <c r="B243" s="2" t="inlineStr">
        <is>
          <t>meses</t>
        </is>
      </c>
      <c r="C243" s="14">
        <f>IFERROR(IF(INDEX('01_Formulario_A00'!$D:$D,MATCH("D03-DOC-PFO-001.RUNWAY.MESES",'01_Formulario_A00'!$A:$A,0))="","— (a preencher em 01_Formulario_A00)",INDEX('01_Formulario_A00'!$D:$D,MATCH("D03-DOC-PFO-001.RUNWAY.MESES",'01_Formulario_A00'!$A:$A,0))),"— (a preencher em 01_Formulario_A00)")</f>
        <v/>
      </c>
    </row>
    <row r="244">
      <c r="A244" s="13" t="inlineStr">
        <is>
          <t>D03-DOC-PFO-001.FINANCING.CAPITAL_PROPRIO</t>
        </is>
      </c>
      <c r="B244" s="2" t="inlineStr">
        <is>
          <t>capital_proprio</t>
        </is>
      </c>
      <c r="C244" s="14">
        <f>IFERROR(IF(INDEX('01_Formulario_A00'!$D:$D,MATCH("D03-DOC-PFO-001.FINANCING.CAPITAL_PROPRIO",'01_Formulario_A00'!$A:$A,0))="","— (a preencher em 01_Formulario_A00)",INDEX('01_Formulario_A00'!$D:$D,MATCH("D03-DOC-PFO-001.FINANCING.CAPITAL_PROPRIO",'01_Formulario_A00'!$A:$A,0))),"— (a preencher em 01_Formulario_A00)")</f>
        <v/>
      </c>
    </row>
    <row r="245">
      <c r="A245" s="13" t="inlineStr">
        <is>
          <t>D03-DOC-PFO-001.FINANCING.DIVIDA</t>
        </is>
      </c>
      <c r="B245" s="2" t="inlineStr">
        <is>
          <t>divida</t>
        </is>
      </c>
      <c r="C245" s="14">
        <f>IFERROR(IF(INDEX('01_Formulario_A00'!$D:$D,MATCH("D03-DOC-PFO-001.FINANCING.DIVIDA",'01_Formulario_A00'!$A:$A,0))="","— (a preencher em 01_Formulario_A00)",INDEX('01_Formulario_A00'!$D:$D,MATCH("D03-DOC-PFO-001.FINANCING.DIVIDA",'01_Formulario_A00'!$A:$A,0))),"— (a preencher em 01_Formulario_A00)")</f>
        <v/>
      </c>
    </row>
    <row r="246">
      <c r="A246" s="13" t="inlineStr">
        <is>
          <t>D03-DOC-PFO-001.FINANCING.INVESTIMENTO</t>
        </is>
      </c>
      <c r="B246" s="2" t="inlineStr">
        <is>
          <t>investimento</t>
        </is>
      </c>
      <c r="C246" s="14">
        <f>IFERROR(IF(INDEX('01_Formulario_A00'!$D:$D,MATCH("D03-DOC-PFO-001.FINANCING.INVESTIMENTO",'01_Formulario_A00'!$A:$A,0))="","— (a preencher em 01_Formulario_A00)",INDEX('01_Formulario_A00'!$D:$D,MATCH("D03-DOC-PFO-001.FINANCING.INVESTIMENTO",'01_Formulario_A00'!$A:$A,0))),"— (a preencher em 01_Formulario_A00)")</f>
        <v/>
      </c>
    </row>
    <row r="247">
      <c r="A247" s="13" t="inlineStr">
        <is>
          <t>D03-DOC-PFO-001.PRICING.PRECOS</t>
        </is>
      </c>
      <c r="B247" s="2" t="inlineStr">
        <is>
          <t>precos</t>
        </is>
      </c>
      <c r="C247" s="14">
        <f>IFERROR(IF(INDEX('01_Formulario_A00'!$D:$D,MATCH("D03-DOC-PFO-001.PRICING.PRECOS",'01_Formulario_A00'!$A:$A,0))="","— (a preencher em 01_Formulario_A00)",INDEX('01_Formulario_A00'!$D:$D,MATCH("D03-DOC-PFO-001.PRICING.PRECOS",'01_Formulario_A00'!$A:$A,0))),"— (a preencher em 01_Formulario_A00)")</f>
        <v/>
      </c>
    </row>
    <row r="248">
      <c r="A248" s="13" t="inlineStr">
        <is>
          <t>D03-DOC-PFO-001.PRICING.DESCONTOS</t>
        </is>
      </c>
      <c r="B248" s="2" t="inlineStr">
        <is>
          <t>descontos</t>
        </is>
      </c>
      <c r="C248" s="14">
        <f>IFERROR(IF(INDEX('01_Formulario_A00'!$D:$D,MATCH("D03-DOC-PFO-001.PRICING.DESCONTOS",'01_Formulario_A00'!$A:$A,0))="","— (a preencher em 01_Formulario_A00)",INDEX('01_Formulario_A00'!$D:$D,MATCH("D03-DOC-PFO-001.PRICING.DESCONTOS",'01_Formulario_A00'!$A:$A,0))),"— (a preencher em 01_Formulario_A00)")</f>
        <v/>
      </c>
    </row>
    <row r="249">
      <c r="A249" s="13" t="inlineStr">
        <is>
          <t>D03-DOC-PFO-001.PRICING.IMPOSTOS</t>
        </is>
      </c>
      <c r="B249" s="2" t="inlineStr">
        <is>
          <t>impostos</t>
        </is>
      </c>
      <c r="C249" s="14">
        <f>IFERROR(IF(INDEX('01_Formulario_A00'!$D:$D,MATCH("D03-DOC-PFO-001.PRICING.IMPOSTOS",'01_Formulario_A00'!$A:$A,0))="","— (a preencher em 01_Formulario_A00)",INDEX('01_Formulario_A00'!$D:$D,MATCH("D03-DOC-PFO-001.PRICING.IMPOSTOS",'01_Formulario_A00'!$A:$A,0))),"— (a preencher em 01_Formulario_A00)")</f>
        <v/>
      </c>
    </row>
    <row r="250">
      <c r="A250" s="13" t="inlineStr">
        <is>
          <t>D03-DOC-PFO-001.SCENARIOS.BASE</t>
        </is>
      </c>
      <c r="B250" s="2" t="inlineStr">
        <is>
          <t>base</t>
        </is>
      </c>
      <c r="C250" s="14">
        <f>IFERROR(IF(INDEX('01_Formulario_A00'!$D:$D,MATCH("D03-DOC-PFO-001.SCENARIOS.BASE",'01_Formulario_A00'!$A:$A,0))="","— (a preencher em 01_Formulario_A00)",INDEX('01_Formulario_A00'!$D:$D,MATCH("D03-DOC-PFO-001.SCENARIOS.BASE",'01_Formulario_A00'!$A:$A,0))),"— (a preencher em 01_Formulario_A00)")</f>
        <v/>
      </c>
    </row>
    <row r="251">
      <c r="A251" s="13" t="inlineStr">
        <is>
          <t>D03-DOC-PFO-001.SCENARIOS.OTIMISTA</t>
        </is>
      </c>
      <c r="B251" s="2" t="inlineStr">
        <is>
          <t>otimista</t>
        </is>
      </c>
      <c r="C251" s="14">
        <f>IFERROR(IF(INDEX('01_Formulario_A00'!$D:$D,MATCH("D03-DOC-PFO-001.SCENARIOS.OTIMISTA",'01_Formulario_A00'!$A:$A,0))="","— (a preencher em 01_Formulario_A00)",INDEX('01_Formulario_A00'!$D:$D,MATCH("D03-DOC-PFO-001.SCENARIOS.OTIMISTA",'01_Formulario_A00'!$A:$A,0))),"— (a preencher em 01_Formulario_A00)")</f>
        <v/>
      </c>
    </row>
    <row r="252">
      <c r="A252" s="13" t="inlineStr">
        <is>
          <t>D03-DOC-PFO-001.SCENARIOS.CONSERVADOR</t>
        </is>
      </c>
      <c r="B252" s="2" t="inlineStr">
        <is>
          <t>conservador</t>
        </is>
      </c>
      <c r="C252" s="14">
        <f>IFERROR(IF(INDEX('01_Formulario_A00'!$D:$D,MATCH("D03-DOC-PFO-001.SCENARIOS.CONSERVADOR",'01_Formulario_A00'!$A:$A,0))="","— (a preencher em 01_Formulario_A00)",INDEX('01_Formulario_A00'!$D:$D,MATCH("D03-DOC-PFO-001.SCENARIOS.CONSERVADOR",'01_Formulario_A00'!$A:$A,0))),"— (a preencher em 01_Formulario_A00)")</f>
        <v/>
      </c>
    </row>
    <row r="253">
      <c r="A253" s="13" t="inlineStr">
        <is>
          <t>D03-DOC-PFO-001.CONTROLS.APROVACAO_DE_GASTOS</t>
        </is>
      </c>
      <c r="B253" s="2" t="inlineStr">
        <is>
          <t>aprovacao_de_gastos</t>
        </is>
      </c>
      <c r="C253" s="14">
        <f>IFERROR(IF(INDEX('01_Formulario_A00'!$D:$D,MATCH("D03-DOC-PFO-001.CONTROLS.APROVACAO_DE_GASTOS",'01_Formulario_A00'!$A:$A,0))="","— (a preencher em 01_Formulario_A00)",INDEX('01_Formulario_A00'!$D:$D,MATCH("D03-DOC-PFO-001.CONTROLS.APROVACAO_DE_GASTOS",'01_Formulario_A00'!$A:$A,0))),"— (a preencher em 01_Formulario_A00)")</f>
        <v/>
      </c>
    </row>
    <row r="254">
      <c r="A254" s="13" t="inlineStr">
        <is>
          <t>D03-DOC-PFO-001.CONTROLS.CONCILIACAO</t>
        </is>
      </c>
      <c r="B254" s="2" t="inlineStr">
        <is>
          <t>conciliacao</t>
        </is>
      </c>
      <c r="C254" s="14">
        <f>IFERROR(IF(INDEX('01_Formulario_A00'!$D:$D,MATCH("D03-DOC-PFO-001.CONTROLS.CONCILIACAO",'01_Formulario_A00'!$A:$A,0))="","— (a preencher em 01_Formulario_A00)",INDEX('01_Formulario_A00'!$D:$D,MATCH("D03-DOC-PFO-001.CONTROLS.CONCILIACAO",'01_Formulario_A00'!$A:$A,0))),"— (a preencher em 01_Formulario_A00)")</f>
        <v/>
      </c>
    </row>
    <row r="255">
      <c r="A255" s="13" t="inlineStr">
        <is>
          <t>D03-DOC-PFO-001.INDICATORS.RECEITA</t>
        </is>
      </c>
      <c r="B255" s="2" t="inlineStr">
        <is>
          <t>receita</t>
        </is>
      </c>
      <c r="C255" s="14">
        <f>IFERROR(IF(INDEX('01_Formulario_A00'!$D:$D,MATCH("D03-DOC-PFO-001.INDICATORS.RECEITA",'01_Formulario_A00'!$A:$A,0))="","— (a preencher em 01_Formulario_A00)",INDEX('01_Formulario_A00'!$D:$D,MATCH("D03-DOC-PFO-001.INDICATORS.RECEITA",'01_Formulario_A00'!$A:$A,0))),"— (a preencher em 01_Formulario_A00)")</f>
        <v/>
      </c>
    </row>
    <row r="256">
      <c r="A256" s="13" t="inlineStr">
        <is>
          <t>D03-DOC-PFO-001.INDICATORS.MARGEM</t>
        </is>
      </c>
      <c r="B256" s="2" t="inlineStr">
        <is>
          <t>margem</t>
        </is>
      </c>
      <c r="C256" s="14">
        <f>IFERROR(IF(INDEX('01_Formulario_A00'!$D:$D,MATCH("D03-DOC-PFO-001.INDICATORS.MARGEM",'01_Formulario_A00'!$A:$A,0))="","— (a preencher em 01_Formulario_A00)",INDEX('01_Formulario_A00'!$D:$D,MATCH("D03-DOC-PFO-001.INDICATORS.MARGEM",'01_Formulario_A00'!$A:$A,0))),"— (a preencher em 01_Formulario_A00)")</f>
        <v/>
      </c>
    </row>
    <row r="257">
      <c r="A257" s="13" t="inlineStr">
        <is>
          <t>D03-DOC-PFO-001.INDICATORS.BURN</t>
        </is>
      </c>
      <c r="B257" s="2" t="inlineStr">
        <is>
          <t>burn</t>
        </is>
      </c>
      <c r="C257" s="14">
        <f>IFERROR(IF(INDEX('01_Formulario_A00'!$D:$D,MATCH("D03-DOC-PFO-001.INDICATORS.BURN",'01_Formulario_A00'!$A:$A,0))="","— (a preencher em 01_Formulario_A00)",INDEX('01_Formulario_A00'!$D:$D,MATCH("D03-DOC-PFO-001.INDICATORS.BURN",'01_Formulario_A00'!$A:$A,0))),"— (a preencher em 01_Formulario_A00)")</f>
        <v/>
      </c>
    </row>
    <row r="258">
      <c r="A258" s="13" t="inlineStr">
        <is>
          <t>D03-DOC-PFO-001.INDICATORS.RUNWAY</t>
        </is>
      </c>
      <c r="B258" s="2" t="inlineStr">
        <is>
          <t>runway</t>
        </is>
      </c>
      <c r="C258" s="14">
        <f>IFERROR(IF(INDEX('01_Formulario_A00'!$D:$D,MATCH("D03-DOC-PFO-001.INDICATORS.RUNWAY",'01_Formulario_A00'!$A:$A,0))="","— (a preencher em 01_Formulario_A00)",INDEX('01_Formulario_A00'!$D:$D,MATCH("D03-DOC-PFO-001.INDICATORS.RUNWAY",'01_Formulario_A00'!$A:$A,0))),"— (a preencher em 01_Formulario_A00)")</f>
        <v/>
      </c>
    </row>
    <row r="259">
      <c r="A259" s="13" t="inlineStr">
        <is>
          <t>D03-DOC-PFO-001.INDICATORS.RESULTADO</t>
        </is>
      </c>
      <c r="B259" s="2" t="inlineStr">
        <is>
          <t>resultado</t>
        </is>
      </c>
      <c r="C259" s="14">
        <f>IFERROR(IF(INDEX('01_Formulario_A00'!$D:$D,MATCH("D03-DOC-PFO-001.INDICATORS.RESULTADO",'01_Formulario_A00'!$A:$A,0))="","— (a preencher em 01_Formulario_A00)",INDEX('01_Formulario_A00'!$D:$D,MATCH("D03-DOC-PFO-001.INDICATORS.RESULTADO",'01_Formulario_A00'!$A:$A,0))),"— (a preencher em 01_Formulario_A00)")</f>
        <v/>
      </c>
    </row>
    <row r="260">
      <c r="A260" s="5" t="inlineStr">
        <is>
          <t>D03-DOC-MFO-001 — Modelo Financeiro do Ecossistema [PRE_PREENCHIDO/PENDENTE]</t>
        </is>
      </c>
      <c r="B260" s="6" t="n"/>
      <c r="C260" s="7" t="n"/>
    </row>
    <row r="261">
      <c r="A261" s="13" t="inlineStr">
        <is>
          <t>D03-DOC-MFO-001.MODEL_INPUTS.PREMISSAS</t>
        </is>
      </c>
      <c r="B261" s="2" t="inlineStr">
        <is>
          <t>premissas</t>
        </is>
      </c>
      <c r="C261" s="14">
        <f>IFERROR(IF(INDEX('01_Formulario_A00'!$D:$D,MATCH("D03-DOC-MFO-001.MODEL_INPUTS.PREMISSAS",'01_Formulario_A00'!$A:$A,0))="","— (a preencher em 01_Formulario_A00)",INDEX('01_Formulario_A00'!$D:$D,MATCH("D03-DOC-MFO-001.MODEL_INPUTS.PREMISSAS",'01_Formulario_A00'!$A:$A,0))),"— (a preencher em 01_Formulario_A00)")</f>
        <v/>
      </c>
    </row>
    <row r="262">
      <c r="A262" s="13" t="inlineStr">
        <is>
          <t>D03-DOC-MFO-001.MODEL_INPUTS.DRIVERS</t>
        </is>
      </c>
      <c r="B262" s="2" t="inlineStr">
        <is>
          <t>drivers</t>
        </is>
      </c>
      <c r="C262" s="14">
        <f>IFERROR(IF(INDEX('01_Formulario_A00'!$D:$D,MATCH("D03-DOC-MFO-001.MODEL_INPUTS.DRIVERS",'01_Formulario_A00'!$A:$A,0))="","— (a preencher em 01_Formulario_A00)",INDEX('01_Formulario_A00'!$D:$D,MATCH("D03-DOC-MFO-001.MODEL_INPUTS.DRIVERS",'01_Formulario_A00'!$A:$A,0))),"— (a preencher em 01_Formulario_A00)")</f>
        <v/>
      </c>
    </row>
    <row r="263">
      <c r="A263" s="13" t="inlineStr">
        <is>
          <t>D03-DOC-MFO-001.REVENUE_MODEL.PRODUTO</t>
        </is>
      </c>
      <c r="B263" s="2" t="inlineStr">
        <is>
          <t>produto</t>
        </is>
      </c>
      <c r="C263" s="14">
        <f>IFERROR(IF(INDEX('01_Formulario_A00'!$D:$D,MATCH("D03-DOC-MFO-001.REVENUE_MODEL.PRODUTO",'01_Formulario_A00'!$A:$A,0))="","— (a preencher em 01_Formulario_A00)",INDEX('01_Formulario_A00'!$D:$D,MATCH("D03-DOC-MFO-001.REVENUE_MODEL.PRODUTO",'01_Formulario_A00'!$A:$A,0))),"— (a preencher em 01_Formulario_A00)")</f>
        <v/>
      </c>
    </row>
    <row r="264">
      <c r="A264" s="13" t="inlineStr">
        <is>
          <t>D03-DOC-MFO-001.REVENUE_MODEL.UNIDADE</t>
        </is>
      </c>
      <c r="B264" s="2" t="inlineStr">
        <is>
          <t>unidade</t>
        </is>
      </c>
      <c r="C264" s="14">
        <f>IFERROR(IF(INDEX('01_Formulario_A00'!$D:$D,MATCH("D03-DOC-MFO-001.REVENUE_MODEL.UNIDADE",'01_Formulario_A00'!$A:$A,0))="","— (a preencher em 01_Formulario_A00)",INDEX('01_Formulario_A00'!$D:$D,MATCH("D03-DOC-MFO-001.REVENUE_MODEL.UNIDADE",'01_Formulario_A00'!$A:$A,0))),"— (a preencher em 01_Formulario_A00)")</f>
        <v/>
      </c>
    </row>
    <row r="265">
      <c r="A265" s="13" t="inlineStr">
        <is>
          <t>D03-DOC-MFO-001.REVENUE_MODEL.VOLUME</t>
        </is>
      </c>
      <c r="B265" s="2" t="inlineStr">
        <is>
          <t>volume</t>
        </is>
      </c>
      <c r="C265" s="14">
        <f>IFERROR(IF(INDEX('01_Formulario_A00'!$D:$D,MATCH("D03-DOC-MFO-001.REVENUE_MODEL.VOLUME",'01_Formulario_A00'!$A:$A,0))="","— (a preencher em 01_Formulario_A00)",INDEX('01_Formulario_A00'!$D:$D,MATCH("D03-DOC-MFO-001.REVENUE_MODEL.VOLUME",'01_Formulario_A00'!$A:$A,0))),"— (a preencher em 01_Formulario_A00)")</f>
        <v/>
      </c>
    </row>
    <row r="266">
      <c r="A266" s="13" t="inlineStr">
        <is>
          <t>D03-DOC-MFO-001.REVENUE_MODEL.PRECO</t>
        </is>
      </c>
      <c r="B266" s="2" t="inlineStr">
        <is>
          <t>preco</t>
        </is>
      </c>
      <c r="C266" s="14">
        <f>IFERROR(IF(INDEX('01_Formulario_A00'!$D:$D,MATCH("D03-DOC-MFO-001.REVENUE_MODEL.PRECO",'01_Formulario_A00'!$A:$A,0))="","— (a preencher em 01_Formulario_A00)",INDEX('01_Formulario_A00'!$D:$D,MATCH("D03-DOC-MFO-001.REVENUE_MODEL.PRECO",'01_Formulario_A00'!$A:$A,0))),"— (a preencher em 01_Formulario_A00)")</f>
        <v/>
      </c>
    </row>
    <row r="267">
      <c r="A267" s="13" t="inlineStr">
        <is>
          <t>D03-DOC-MFO-001.COST_MODEL.FIXOS</t>
        </is>
      </c>
      <c r="B267" s="2" t="inlineStr">
        <is>
          <t>fixos</t>
        </is>
      </c>
      <c r="C267" s="14">
        <f>IFERROR(IF(INDEX('01_Formulario_A00'!$D:$D,MATCH("D03-DOC-MFO-001.COST_MODEL.FIXOS",'01_Formulario_A00'!$A:$A,0))="","— (a preencher em 01_Formulario_A00)",INDEX('01_Formulario_A00'!$D:$D,MATCH("D03-DOC-MFO-001.COST_MODEL.FIXOS",'01_Formulario_A00'!$A:$A,0))),"— (a preencher em 01_Formulario_A00)")</f>
        <v/>
      </c>
    </row>
    <row r="268">
      <c r="A268" s="13" t="inlineStr">
        <is>
          <t>D03-DOC-MFO-001.COST_MODEL.VARIAVEIS</t>
        </is>
      </c>
      <c r="B268" s="2" t="inlineStr">
        <is>
          <t>variaveis</t>
        </is>
      </c>
      <c r="C268" s="14">
        <f>IFERROR(IF(INDEX('01_Formulario_A00'!$D:$D,MATCH("D03-DOC-MFO-001.COST_MODEL.VARIAVEIS",'01_Formulario_A00'!$A:$A,0))="","— (a preencher em 01_Formulario_A00)",INDEX('01_Formulario_A00'!$D:$D,MATCH("D03-DOC-MFO-001.COST_MODEL.VARIAVEIS",'01_Formulario_A00'!$A:$A,0))),"— (a preencher em 01_Formulario_A00)")</f>
        <v/>
      </c>
    </row>
    <row r="269">
      <c r="A269" s="13" t="inlineStr">
        <is>
          <t>D03-DOC-MFO-001.PNL.RECEITA</t>
        </is>
      </c>
      <c r="B269" s="2" t="inlineStr">
        <is>
          <t>receita</t>
        </is>
      </c>
      <c r="C269" s="14">
        <f>IFERROR(IF(INDEX('01_Formulario_A00'!$D:$D,MATCH("D03-DOC-MFO-001.PNL.RECEITA",'01_Formulario_A00'!$A:$A,0))="","— (a preencher em 01_Formulario_A00)",INDEX('01_Formulario_A00'!$D:$D,MATCH("D03-DOC-MFO-001.PNL.RECEITA",'01_Formulario_A00'!$A:$A,0))),"— (a preencher em 01_Formulario_A00)")</f>
        <v/>
      </c>
    </row>
    <row r="270">
      <c r="A270" s="13" t="inlineStr">
        <is>
          <t>D03-DOC-MFO-001.PNL.CUSTOS</t>
        </is>
      </c>
      <c r="B270" s="2" t="inlineStr">
        <is>
          <t>custos</t>
        </is>
      </c>
      <c r="C270" s="14">
        <f>IFERROR(IF(INDEX('01_Formulario_A00'!$D:$D,MATCH("D03-DOC-MFO-001.PNL.CUSTOS",'01_Formulario_A00'!$A:$A,0))="","— (a preencher em 01_Formulario_A00)",INDEX('01_Formulario_A00'!$D:$D,MATCH("D03-DOC-MFO-001.PNL.CUSTOS",'01_Formulario_A00'!$A:$A,0))),"— (a preencher em 01_Formulario_A00)")</f>
        <v/>
      </c>
    </row>
    <row r="271">
      <c r="A271" s="13" t="inlineStr">
        <is>
          <t>D03-DOC-MFO-001.PNL.MARGEM</t>
        </is>
      </c>
      <c r="B271" s="2" t="inlineStr">
        <is>
          <t>margem</t>
        </is>
      </c>
      <c r="C271" s="14">
        <f>IFERROR(IF(INDEX('01_Formulario_A00'!$D:$D,MATCH("D03-DOC-MFO-001.PNL.MARGEM",'01_Formulario_A00'!$A:$A,0))="","— (a preencher em 01_Formulario_A00)",INDEX('01_Formulario_A00'!$D:$D,MATCH("D03-DOC-MFO-001.PNL.MARGEM",'01_Formulario_A00'!$A:$A,0))),"— (a preencher em 01_Formulario_A00)")</f>
        <v/>
      </c>
    </row>
    <row r="272">
      <c r="A272" s="13" t="inlineStr">
        <is>
          <t>D03-DOC-MFO-001.PNL.DESPESAS</t>
        </is>
      </c>
      <c r="B272" s="2" t="inlineStr">
        <is>
          <t>despesas</t>
        </is>
      </c>
      <c r="C272" s="14">
        <f>IFERROR(IF(INDEX('01_Formulario_A00'!$D:$D,MATCH("D03-DOC-MFO-001.PNL.DESPESAS",'01_Formulario_A00'!$A:$A,0))="","— (a preencher em 01_Formulario_A00)",INDEX('01_Formulario_A00'!$D:$D,MATCH("D03-DOC-MFO-001.PNL.DESPESAS",'01_Formulario_A00'!$A:$A,0))),"— (a preencher em 01_Formulario_A00)")</f>
        <v/>
      </c>
    </row>
    <row r="273">
      <c r="A273" s="13" t="inlineStr">
        <is>
          <t>D03-DOC-MFO-001.PNL.RESULTADO</t>
        </is>
      </c>
      <c r="B273" s="2" t="inlineStr">
        <is>
          <t>resultado</t>
        </is>
      </c>
      <c r="C273" s="14">
        <f>IFERROR(IF(INDEX('01_Formulario_A00'!$D:$D,MATCH("D03-DOC-MFO-001.PNL.RESULTADO",'01_Formulario_A00'!$A:$A,0))="","— (a preencher em 01_Formulario_A00)",INDEX('01_Formulario_A00'!$D:$D,MATCH("D03-DOC-MFO-001.PNL.RESULTADO",'01_Formulario_A00'!$A:$A,0))),"— (a preencher em 01_Formulario_A00)")</f>
        <v/>
      </c>
    </row>
    <row r="274">
      <c r="A274" s="13" t="inlineStr">
        <is>
          <t>D03-DOC-MFO-001.CASHFLOW.OPERACIONAL</t>
        </is>
      </c>
      <c r="B274" s="2" t="inlineStr">
        <is>
          <t>operacional</t>
        </is>
      </c>
      <c r="C274" s="14">
        <f>IFERROR(IF(INDEX('01_Formulario_A00'!$D:$D,MATCH("D03-DOC-MFO-001.CASHFLOW.OPERACIONAL",'01_Formulario_A00'!$A:$A,0))="","— (a preencher em 01_Formulario_A00)",INDEX('01_Formulario_A00'!$D:$D,MATCH("D03-DOC-MFO-001.CASHFLOW.OPERACIONAL",'01_Formulario_A00'!$A:$A,0))),"— (a preencher em 01_Formulario_A00)")</f>
        <v/>
      </c>
    </row>
    <row r="275">
      <c r="A275" s="13" t="inlineStr">
        <is>
          <t>D03-DOC-MFO-001.CASHFLOW.INVESTIMENTO</t>
        </is>
      </c>
      <c r="B275" s="2" t="inlineStr">
        <is>
          <t>investimento</t>
        </is>
      </c>
      <c r="C275" s="14">
        <f>IFERROR(IF(INDEX('01_Formulario_A00'!$D:$D,MATCH("D03-DOC-MFO-001.CASHFLOW.INVESTIMENTO",'01_Formulario_A00'!$A:$A,0))="","— (a preencher em 01_Formulario_A00)",INDEX('01_Formulario_A00'!$D:$D,MATCH("D03-DOC-MFO-001.CASHFLOW.INVESTIMENTO",'01_Formulario_A00'!$A:$A,0))),"— (a preencher em 01_Formulario_A00)")</f>
        <v/>
      </c>
    </row>
    <row r="276">
      <c r="A276" s="13" t="inlineStr">
        <is>
          <t>D03-DOC-MFO-001.CASHFLOW.FINANCIAMENTO</t>
        </is>
      </c>
      <c r="B276" s="2" t="inlineStr">
        <is>
          <t>financiamento</t>
        </is>
      </c>
      <c r="C276" s="14">
        <f>IFERROR(IF(INDEX('01_Formulario_A00'!$D:$D,MATCH("D03-DOC-MFO-001.CASHFLOW.FINANCIAMENTO",'01_Formulario_A00'!$A:$A,0))="","— (a preencher em 01_Formulario_A00)",INDEX('01_Formulario_A00'!$D:$D,MATCH("D03-DOC-MFO-001.CASHFLOW.FINANCIAMENTO",'01_Formulario_A00'!$A:$A,0))),"— (a preencher em 01_Formulario_A00)")</f>
        <v/>
      </c>
    </row>
    <row r="277">
      <c r="A277" s="13" t="inlineStr">
        <is>
          <t>D03-DOC-MFO-001.UNIT_ECONOMICS.CAC</t>
        </is>
      </c>
      <c r="B277" s="2" t="inlineStr">
        <is>
          <t>cac</t>
        </is>
      </c>
      <c r="C277" s="14">
        <f>IFERROR(IF(INDEX('01_Formulario_A00'!$D:$D,MATCH("D03-DOC-MFO-001.UNIT_ECONOMICS.CAC",'01_Formulario_A00'!$A:$A,0))="","— (a preencher em 01_Formulario_A00)",INDEX('01_Formulario_A00'!$D:$D,MATCH("D03-DOC-MFO-001.UNIT_ECONOMICS.CAC",'01_Formulario_A00'!$A:$A,0))),"— (a preencher em 01_Formulario_A00)")</f>
        <v/>
      </c>
    </row>
    <row r="278">
      <c r="A278" s="13" t="inlineStr">
        <is>
          <t>D03-DOC-MFO-001.UNIT_ECONOMICS.LTV</t>
        </is>
      </c>
      <c r="B278" s="2" t="inlineStr">
        <is>
          <t>ltv</t>
        </is>
      </c>
      <c r="C278" s="14">
        <f>IFERROR(IF(INDEX('01_Formulario_A00'!$D:$D,MATCH("D03-DOC-MFO-001.UNIT_ECONOMICS.LTV",'01_Formulario_A00'!$A:$A,0))="","— (a preencher em 01_Formulario_A00)",INDEX('01_Formulario_A00'!$D:$D,MATCH("D03-DOC-MFO-001.UNIT_ECONOMICS.LTV",'01_Formulario_A00'!$A:$A,0))),"— (a preencher em 01_Formulario_A00)")</f>
        <v/>
      </c>
    </row>
    <row r="279">
      <c r="A279" s="13" t="inlineStr">
        <is>
          <t>D03-DOC-MFO-001.UNIT_ECONOMICS.ARPU</t>
        </is>
      </c>
      <c r="B279" s="2" t="inlineStr">
        <is>
          <t>arpu</t>
        </is>
      </c>
      <c r="C279" s="14">
        <f>IFERROR(IF(INDEX('01_Formulario_A00'!$D:$D,MATCH("D03-DOC-MFO-001.UNIT_ECONOMICS.ARPU",'01_Formulario_A00'!$A:$A,0))="","— (a preencher em 01_Formulario_A00)",INDEX('01_Formulario_A00'!$D:$D,MATCH("D03-DOC-MFO-001.UNIT_ECONOMICS.ARPU",'01_Formulario_A00'!$A:$A,0))),"— (a preencher em 01_Formulario_A00)")</f>
        <v/>
      </c>
    </row>
    <row r="280">
      <c r="A280" s="13" t="inlineStr">
        <is>
          <t>D03-DOC-MFO-001.UNIT_ECONOMICS.CHURN</t>
        </is>
      </c>
      <c r="B280" s="2" t="inlineStr">
        <is>
          <t>churn</t>
        </is>
      </c>
      <c r="C280" s="14">
        <f>IFERROR(IF(INDEX('01_Formulario_A00'!$D:$D,MATCH("D03-DOC-MFO-001.UNIT_ECONOMICS.CHURN",'01_Formulario_A00'!$A:$A,0))="","— (a preencher em 01_Formulario_A00)",INDEX('01_Formulario_A00'!$D:$D,MATCH("D03-DOC-MFO-001.UNIT_ECONOMICS.CHURN",'01_Formulario_A00'!$A:$A,0))),"— (a preencher em 01_Formulario_A00)")</f>
        <v/>
      </c>
    </row>
    <row r="281">
      <c r="A281" s="13" t="inlineStr">
        <is>
          <t>D03-DOC-MFO-001.UNIT_ECONOMICS.MARGEM</t>
        </is>
      </c>
      <c r="B281" s="2" t="inlineStr">
        <is>
          <t>margem</t>
        </is>
      </c>
      <c r="C281" s="14">
        <f>IFERROR(IF(INDEX('01_Formulario_A00'!$D:$D,MATCH("D03-DOC-MFO-001.UNIT_ECONOMICS.MARGEM",'01_Formulario_A00'!$A:$A,0))="","— (a preencher em 01_Formulario_A00)",INDEX('01_Formulario_A00'!$D:$D,MATCH("D03-DOC-MFO-001.UNIT_ECONOMICS.MARGEM",'01_Formulario_A00'!$A:$A,0))),"— (a preencher em 01_Formulario_A00)")</f>
        <v/>
      </c>
    </row>
    <row r="282">
      <c r="A282" s="13" t="inlineStr">
        <is>
          <t>D03-DOC-MFO-001.BREAK_EVEN.PONTO_DE_EQUILIBRIO</t>
        </is>
      </c>
      <c r="B282" s="2" t="inlineStr">
        <is>
          <t>ponto_de_equilibrio</t>
        </is>
      </c>
      <c r="C282" s="14">
        <f>IFERROR(IF(INDEX('01_Formulario_A00'!$D:$D,MATCH("D03-DOC-MFO-001.BREAK_EVEN.PONTO_DE_EQUILIBRIO",'01_Formulario_A00'!$A:$A,0))="","— (a preencher em 01_Formulario_A00)",INDEX('01_Formulario_A00'!$D:$D,MATCH("D03-DOC-MFO-001.BREAK_EVEN.PONTO_DE_EQUILIBRIO",'01_Formulario_A00'!$A:$A,0))),"— (a preencher em 01_Formulario_A00)")</f>
        <v/>
      </c>
    </row>
    <row r="283">
      <c r="A283" s="13" t="inlineStr">
        <is>
          <t>D03-DOC-MFO-001.SENSITIVITY.VARIAVEIS_CRITICAS</t>
        </is>
      </c>
      <c r="B283" s="2" t="inlineStr">
        <is>
          <t>variaveis_criticas</t>
        </is>
      </c>
      <c r="C283" s="14">
        <f>IFERROR(IF(INDEX('01_Formulario_A00'!$D:$D,MATCH("D03-DOC-MFO-001.SENSITIVITY.VARIAVEIS_CRITICAS",'01_Formulario_A00'!$A:$A,0))="","— (a preencher em 01_Formulario_A00)",INDEX('01_Formulario_A00'!$D:$D,MATCH("D03-DOC-MFO-001.SENSITIVITY.VARIAVEIS_CRITICAS",'01_Formulario_A00'!$A:$A,0))),"— (a preencher em 01_Formulario_A00)")</f>
        <v/>
      </c>
    </row>
    <row r="284">
      <c r="A284" s="13" t="inlineStr">
        <is>
          <t>D03-DOC-MFO-001.SENSITIVITY.IMPACTO</t>
        </is>
      </c>
      <c r="B284" s="2" t="inlineStr">
        <is>
          <t>impacto</t>
        </is>
      </c>
      <c r="C284" s="14">
        <f>IFERROR(IF(INDEX('01_Formulario_A00'!$D:$D,MATCH("D03-DOC-MFO-001.SENSITIVITY.IMPACTO",'01_Formulario_A00'!$A:$A,0))="","— (a preencher em 01_Formulario_A00)",INDEX('01_Formulario_A00'!$D:$D,MATCH("D03-DOC-MFO-001.SENSITIVITY.IMPACTO",'01_Formulario_A00'!$A:$A,0))),"— (a preencher em 01_Formulario_A00)")</f>
        <v/>
      </c>
    </row>
    <row r="285">
      <c r="A285" s="13" t="inlineStr">
        <is>
          <t>D03-DOC-MFO-001.SCENARIOS.CENARIO</t>
        </is>
      </c>
      <c r="B285" s="2" t="inlineStr">
        <is>
          <t>cenario</t>
        </is>
      </c>
      <c r="C285" s="14">
        <f>IFERROR(IF(INDEX('01_Formulario_A00'!$D:$D,MATCH("D03-DOC-MFO-001.SCENARIOS.CENARIO",'01_Formulario_A00'!$A:$A,0))="","— (a preencher em 01_Formulario_A00)",INDEX('01_Formulario_A00'!$D:$D,MATCH("D03-DOC-MFO-001.SCENARIOS.CENARIO",'01_Formulario_A00'!$A:$A,0))),"— (a preencher em 01_Formulario_A00)")</f>
        <v/>
      </c>
    </row>
    <row r="286">
      <c r="A286" s="13" t="inlineStr">
        <is>
          <t>D03-DOC-MFO-001.SCENARIOS.PREMISSAS</t>
        </is>
      </c>
      <c r="B286" s="2" t="inlineStr">
        <is>
          <t>premissas</t>
        </is>
      </c>
      <c r="C286" s="14">
        <f>IFERROR(IF(INDEX('01_Formulario_A00'!$D:$D,MATCH("D03-DOC-MFO-001.SCENARIOS.PREMISSAS",'01_Formulario_A00'!$A:$A,0))="","— (a preencher em 01_Formulario_A00)",INDEX('01_Formulario_A00'!$D:$D,MATCH("D03-DOC-MFO-001.SCENARIOS.PREMISSAS",'01_Formulario_A00'!$A:$A,0))),"— (a preencher em 01_Formulario_A00)")</f>
        <v/>
      </c>
    </row>
    <row r="287">
      <c r="A287" s="13" t="inlineStr">
        <is>
          <t>D03-DOC-MFO-001.SCENARIOS.RESULTADO</t>
        </is>
      </c>
      <c r="B287" s="2" t="inlineStr">
        <is>
          <t>resultado</t>
        </is>
      </c>
      <c r="C287" s="14">
        <f>IFERROR(IF(INDEX('01_Formulario_A00'!$D:$D,MATCH("D03-DOC-MFO-001.SCENARIOS.RESULTADO",'01_Formulario_A00'!$A:$A,0))="","— (a preencher em 01_Formulario_A00)",INDEX('01_Formulario_A00'!$D:$D,MATCH("D03-DOC-MFO-001.SCENARIOS.RESULTADO",'01_Formulario_A00'!$A:$A,0))),"— (a preencher em 01_Formulario_A00)")</f>
        <v/>
      </c>
    </row>
    <row r="288">
      <c r="A288" s="5" t="inlineStr">
        <is>
          <t>D04-DOC-PPC-001 — Plano de Pessoas e Capacidade [PRE_PREENCHIDO/PENDENTE]</t>
        </is>
      </c>
      <c r="B288" s="6" t="n"/>
      <c r="C288" s="7" t="n"/>
    </row>
    <row r="289">
      <c r="A289" s="13" t="inlineStr">
        <is>
          <t>D04-DOC-PPC-001.ORGANIZATION.ESTRUTURA</t>
        </is>
      </c>
      <c r="B289" s="2" t="inlineStr">
        <is>
          <t>estrutura</t>
        </is>
      </c>
      <c r="C289" s="14">
        <f>IFERROR(IF(INDEX('01_Formulario_A07'!$D:$D,MATCH("D04-DOC-PPC-001.ORGANIZATION.ESTRUTURA",'01_Formulario_A07'!$A:$A,0))="","— (a preencher em 01_Formulario_A07)",INDEX('01_Formulario_A07'!$D:$D,MATCH("D04-DOC-PPC-001.ORGANIZATION.ESTRUTURA",'01_Formulario_A07'!$A:$A,0))),"— (a preencher em 01_Formulario_A07)")</f>
        <v/>
      </c>
    </row>
    <row r="290">
      <c r="A290" s="13" t="inlineStr">
        <is>
          <t>D04-DOC-PPC-001.ORGANIZATION.EQUIPES</t>
        </is>
      </c>
      <c r="B290" s="2" t="inlineStr">
        <is>
          <t>equipes</t>
        </is>
      </c>
      <c r="C290" s="14">
        <f>IFERROR(IF(INDEX('01_Formulario_A07'!$D:$D,MATCH("D04-DOC-PPC-001.ORGANIZATION.EQUIPES",'01_Formulario_A07'!$A:$A,0))="","— (a preencher em 01_Formulario_A07)",INDEX('01_Formulario_A07'!$D:$D,MATCH("D04-DOC-PPC-001.ORGANIZATION.EQUIPES",'01_Formulario_A07'!$A:$A,0))),"— (a preencher em 01_Formulario_A07)")</f>
        <v/>
      </c>
    </row>
    <row r="291">
      <c r="A291" s="13" t="inlineStr">
        <is>
          <t>D04-DOC-PPC-001.ORGANIZATION.FUNCOES</t>
        </is>
      </c>
      <c r="B291" s="2" t="inlineStr">
        <is>
          <t>funcoes</t>
        </is>
      </c>
      <c r="C291" s="14">
        <f>IFERROR(IF(INDEX('01_Formulario_A07'!$D:$D,MATCH("D04-DOC-PPC-001.ORGANIZATION.FUNCOES",'01_Formulario_A07'!$A:$A,0))="","— (a preencher em 01_Formulario_A07)",INDEX('01_Formulario_A07'!$D:$D,MATCH("D04-DOC-PPC-001.ORGANIZATION.FUNCOES",'01_Formulario_A07'!$A:$A,0))),"— (a preencher em 01_Formulario_A07)")</f>
        <v/>
      </c>
    </row>
    <row r="292">
      <c r="A292" s="13" t="inlineStr">
        <is>
          <t>D04-DOC-PPC-001.ROLES.PAPEL</t>
        </is>
      </c>
      <c r="B292" s="2" t="inlineStr">
        <is>
          <t>papel</t>
        </is>
      </c>
      <c r="C292" s="14">
        <f>IFERROR(IF(INDEX('01_Formulario_A07'!$D:$D,MATCH("D04-DOC-PPC-001.ROLES.PAPEL",'01_Formulario_A07'!$A:$A,0))="","— (a preencher em 01_Formulario_A07)",INDEX('01_Formulario_A07'!$D:$D,MATCH("D04-DOC-PPC-001.ROLES.PAPEL",'01_Formulario_A07'!$A:$A,0))),"— (a preencher em 01_Formulario_A07)")</f>
        <v/>
      </c>
    </row>
    <row r="293">
      <c r="A293" s="13" t="inlineStr">
        <is>
          <t>D04-DOC-PPC-001.ROLES.RESPONSABILIDADES</t>
        </is>
      </c>
      <c r="B293" s="2" t="inlineStr">
        <is>
          <t>responsabilidades</t>
        </is>
      </c>
      <c r="C293" s="14">
        <f>IFERROR(IF(INDEX('01_Formulario_A07'!$D:$D,MATCH("D04-DOC-PPC-001.ROLES.RESPONSABILIDADES",'01_Formulario_A07'!$A:$A,0))="","— (a preencher em 01_Formulario_A07)",INDEX('01_Formulario_A07'!$D:$D,MATCH("D04-DOC-PPC-001.ROLES.RESPONSABILIDADES",'01_Formulario_A07'!$A:$A,0))),"— (a preencher em 01_Formulario_A07)")</f>
        <v/>
      </c>
    </row>
    <row r="294">
      <c r="A294" s="13" t="inlineStr">
        <is>
          <t>D04-DOC-PPC-001.ROLES.AUTORIDADE</t>
        </is>
      </c>
      <c r="B294" s="2" t="inlineStr">
        <is>
          <t>autoridade</t>
        </is>
      </c>
      <c r="C294" s="14">
        <f>IFERROR(IF(INDEX('01_Formulario_A07'!$D:$D,MATCH("D04-DOC-PPC-001.ROLES.AUTORIDADE",'01_Formulario_A07'!$A:$A,0))="","— (a preencher em 01_Formulario_A07)",INDEX('01_Formulario_A07'!$D:$D,MATCH("D04-DOC-PPC-001.ROLES.AUTORIDADE",'01_Formulario_A07'!$A:$A,0))),"— (a preencher em 01_Formulario_A07)")</f>
        <v/>
      </c>
    </row>
    <row r="295">
      <c r="A295" s="13" t="inlineStr">
        <is>
          <t>D04-DOC-PPC-001.RACI.ATIVIDADE</t>
        </is>
      </c>
      <c r="B295" s="2" t="inlineStr">
        <is>
          <t>atividade</t>
        </is>
      </c>
      <c r="C295" s="14">
        <f>IFERROR(IF(INDEX('01_Formulario_A07'!$D:$D,MATCH("D04-DOC-PPC-001.RACI.ATIVIDADE",'01_Formulario_A07'!$A:$A,0))="","— (a preencher em 01_Formulario_A07)",INDEX('01_Formulario_A07'!$D:$D,MATCH("D04-DOC-PPC-001.RACI.ATIVIDADE",'01_Formulario_A07'!$A:$A,0))),"— (a preencher em 01_Formulario_A07)")</f>
        <v/>
      </c>
    </row>
    <row r="296">
      <c r="A296" s="13" t="inlineStr">
        <is>
          <t>D04-DOC-PPC-001.RACI.RESPONSAVEL</t>
        </is>
      </c>
      <c r="B296" s="2" t="inlineStr">
        <is>
          <t>responsavel</t>
        </is>
      </c>
      <c r="C296" s="14">
        <f>IFERROR(IF(INDEX('01_Formulario_A07'!$D:$D,MATCH("D04-DOC-PPC-001.RACI.RESPONSAVEL",'01_Formulario_A07'!$A:$A,0))="","— (a preencher em 01_Formulario_A07)",INDEX('01_Formulario_A07'!$D:$D,MATCH("D04-DOC-PPC-001.RACI.RESPONSAVEL",'01_Formulario_A07'!$A:$A,0))),"— (a preencher em 01_Formulario_A07)")</f>
        <v/>
      </c>
    </row>
    <row r="297">
      <c r="A297" s="13" t="inlineStr">
        <is>
          <t>D04-DOC-PPC-001.RACI.APROVADOR</t>
        </is>
      </c>
      <c r="B297" s="2" t="inlineStr">
        <is>
          <t>aprovador</t>
        </is>
      </c>
      <c r="C297" s="14">
        <f>IFERROR(IF(INDEX('01_Formulario_A07'!$D:$D,MATCH("D04-DOC-PPC-001.RACI.APROVADOR",'01_Formulario_A07'!$A:$A,0))="","— (a preencher em 01_Formulario_A07)",INDEX('01_Formulario_A07'!$D:$D,MATCH("D04-DOC-PPC-001.RACI.APROVADOR",'01_Formulario_A07'!$A:$A,0))),"— (a preencher em 01_Formulario_A07)")</f>
        <v/>
      </c>
    </row>
    <row r="298">
      <c r="A298" s="13" t="inlineStr">
        <is>
          <t>D04-DOC-PPC-001.RACI.CONSULTADO</t>
        </is>
      </c>
      <c r="B298" s="2" t="inlineStr">
        <is>
          <t>consultado</t>
        </is>
      </c>
      <c r="C298" s="14">
        <f>IFERROR(IF(INDEX('01_Formulario_A07'!$D:$D,MATCH("D04-DOC-PPC-001.RACI.CONSULTADO",'01_Formulario_A07'!$A:$A,0))="","— (a preencher em 01_Formulario_A07)",INDEX('01_Formulario_A07'!$D:$D,MATCH("D04-DOC-PPC-001.RACI.CONSULTADO",'01_Formulario_A07'!$A:$A,0))),"— (a preencher em 01_Formulario_A07)")</f>
        <v/>
      </c>
    </row>
    <row r="299">
      <c r="A299" s="13" t="inlineStr">
        <is>
          <t>D04-DOC-PPC-001.RACI.INFORMADO</t>
        </is>
      </c>
      <c r="B299" s="2" t="inlineStr">
        <is>
          <t>informado</t>
        </is>
      </c>
      <c r="C299" s="14">
        <f>IFERROR(IF(INDEX('01_Formulario_A07'!$D:$D,MATCH("D04-DOC-PPC-001.RACI.INFORMADO",'01_Formulario_A07'!$A:$A,0))="","— (a preencher em 01_Formulario_A07)",INDEX('01_Formulario_A07'!$D:$D,MATCH("D04-DOC-PPC-001.RACI.INFORMADO",'01_Formulario_A07'!$A:$A,0))),"— (a preencher em 01_Formulario_A07)")</f>
        <v/>
      </c>
    </row>
    <row r="300">
      <c r="A300" s="13" t="inlineStr">
        <is>
          <t>D04-DOC-PPC-001.PEOPLE.PESSOA</t>
        </is>
      </c>
      <c r="B300" s="2" t="inlineStr">
        <is>
          <t>pessoa</t>
        </is>
      </c>
      <c r="C300" s="14">
        <f>IFERROR(IF(INDEX('01_Formulario_A07'!$D:$D,MATCH("D04-DOC-PPC-001.PEOPLE.PESSOA",'01_Formulario_A07'!$A:$A,0))="","— (a preencher em 01_Formulario_A07)",INDEX('01_Formulario_A07'!$D:$D,MATCH("D04-DOC-PPC-001.PEOPLE.PESSOA",'01_Formulario_A07'!$A:$A,0))),"— (a preencher em 01_Formulario_A07)")</f>
        <v/>
      </c>
    </row>
    <row r="301">
      <c r="A301" s="13" t="inlineStr">
        <is>
          <t>D04-DOC-PPC-001.PEOPLE.FUNCAO</t>
        </is>
      </c>
      <c r="B301" s="2" t="inlineStr">
        <is>
          <t>funcao</t>
        </is>
      </c>
      <c r="C301" s="14">
        <f>IFERROR(IF(INDEX('01_Formulario_A07'!$D:$D,MATCH("D04-DOC-PPC-001.PEOPLE.FUNCAO",'01_Formulario_A07'!$A:$A,0))="","— (a preencher em 01_Formulario_A07)",INDEX('01_Formulario_A07'!$D:$D,MATCH("D04-DOC-PPC-001.PEOPLE.FUNCAO",'01_Formulario_A07'!$A:$A,0))),"— (a preencher em 01_Formulario_A07)")</f>
        <v/>
      </c>
    </row>
    <row r="302">
      <c r="A302" s="13" t="inlineStr">
        <is>
          <t>D04-DOC-PPC-001.PEOPLE.DISPONIBILIDADE</t>
        </is>
      </c>
      <c r="B302" s="2" t="inlineStr">
        <is>
          <t>disponibilidade</t>
        </is>
      </c>
      <c r="C302" s="14">
        <f>IFERROR(IF(INDEX('01_Formulario_A07'!$D:$D,MATCH("D04-DOC-PPC-001.PEOPLE.DISPONIBILIDADE",'01_Formulario_A07'!$A:$A,0))="","— (a preencher em 01_Formulario_A07)",INDEX('01_Formulario_A07'!$D:$D,MATCH("D04-DOC-PPC-001.PEOPLE.DISPONIBILIDADE",'01_Formulario_A07'!$A:$A,0))),"— (a preencher em 01_Formulario_A07)")</f>
        <v/>
      </c>
    </row>
    <row r="303">
      <c r="A303" s="13" t="inlineStr">
        <is>
          <t>D04-DOC-PPC-001.COMPETENCIES.COMPETENCIA</t>
        </is>
      </c>
      <c r="B303" s="2" t="inlineStr">
        <is>
          <t>competencia</t>
        </is>
      </c>
      <c r="C303" s="14">
        <f>IFERROR(IF(INDEX('01_Formulario_A07'!$D:$D,MATCH("D04-DOC-PPC-001.COMPETENCIES.COMPETENCIA",'01_Formulario_A07'!$A:$A,0))="","— (a preencher em 01_Formulario_A07)",INDEX('01_Formulario_A07'!$D:$D,MATCH("D04-DOC-PPC-001.COMPETENCIES.COMPETENCIA",'01_Formulario_A07'!$A:$A,0))),"— (a preencher em 01_Formulario_A07)")</f>
        <v/>
      </c>
    </row>
    <row r="304">
      <c r="A304" s="13" t="inlineStr">
        <is>
          <t>D04-DOC-PPC-001.COMPETENCIES.NIVEL</t>
        </is>
      </c>
      <c r="B304" s="2" t="inlineStr">
        <is>
          <t>nivel</t>
        </is>
      </c>
      <c r="C304" s="14">
        <f>IFERROR(IF(INDEX('01_Formulario_A07'!$D:$D,MATCH("D04-DOC-PPC-001.COMPETENCIES.NIVEL",'01_Formulario_A07'!$A:$A,0))="","— (a preencher em 01_Formulario_A07)",INDEX('01_Formulario_A07'!$D:$D,MATCH("D04-DOC-PPC-001.COMPETENCIES.NIVEL",'01_Formulario_A07'!$A:$A,0))),"— (a preencher em 01_Formulario_A07)")</f>
        <v/>
      </c>
    </row>
    <row r="305">
      <c r="A305" s="13" t="inlineStr">
        <is>
          <t>D04-DOC-PPC-001.COMPETENCIES.NECESSIDADE</t>
        </is>
      </c>
      <c r="B305" s="2" t="inlineStr">
        <is>
          <t>necessidade</t>
        </is>
      </c>
      <c r="C305" s="14">
        <f>IFERROR(IF(INDEX('01_Formulario_A07'!$D:$D,MATCH("D04-DOC-PPC-001.COMPETENCIES.NECESSIDADE",'01_Formulario_A07'!$A:$A,0))="","— (a preencher em 01_Formulario_A07)",INDEX('01_Formulario_A07'!$D:$D,MATCH("D04-DOC-PPC-001.COMPETENCIES.NECESSIDADE",'01_Formulario_A07'!$A:$A,0))),"— (a preencher em 01_Formulario_A07)")</f>
        <v/>
      </c>
    </row>
    <row r="306">
      <c r="A306" s="13" t="inlineStr">
        <is>
          <t>D04-DOC-PPC-001.CAPACITY.HORAS_DISPONIVEIS</t>
        </is>
      </c>
      <c r="B306" s="2" t="inlineStr">
        <is>
          <t>horas_disponiveis</t>
        </is>
      </c>
      <c r="C306" s="14">
        <f>IFERROR(IF(INDEX('01_Formulario_A07'!$D:$D,MATCH("D04-DOC-PPC-001.CAPACITY.HORAS_DISPONIVEIS",'01_Formulario_A07'!$A:$A,0))="","— (a preencher em 01_Formulario_A07)",INDEX('01_Formulario_A07'!$D:$D,MATCH("D04-DOC-PPC-001.CAPACITY.HORAS_DISPONIVEIS",'01_Formulario_A07'!$A:$A,0))),"— (a preencher em 01_Formulario_A07)")</f>
        <v/>
      </c>
    </row>
    <row r="307">
      <c r="A307" s="13" t="inlineStr">
        <is>
          <t>D04-DOC-PPC-001.CAPACITY.CAPACIDADE_LIQUIDA</t>
        </is>
      </c>
      <c r="B307" s="2" t="inlineStr">
        <is>
          <t>capacidade_liquida</t>
        </is>
      </c>
      <c r="C307" s="14">
        <f>IFERROR(IF(INDEX('01_Formulario_A07'!$D:$D,MATCH("D04-DOC-PPC-001.CAPACITY.CAPACIDADE_LIQUIDA",'01_Formulario_A07'!$A:$A,0))="","— (a preencher em 01_Formulario_A07)",INDEX('01_Formulario_A07'!$D:$D,MATCH("D04-DOC-PPC-001.CAPACITY.CAPACIDADE_LIQUIDA",'01_Formulario_A07'!$A:$A,0))),"— (a preencher em 01_Formulario_A07)")</f>
        <v/>
      </c>
    </row>
    <row r="308">
      <c r="A308" s="13" t="inlineStr">
        <is>
          <t>D04-DOC-PPC-001.CAPACITY.RESTRICOES</t>
        </is>
      </c>
      <c r="B308" s="2" t="inlineStr">
        <is>
          <t>restricoes</t>
        </is>
      </c>
      <c r="C308" s="14">
        <f>IFERROR(IF(INDEX('01_Formulario_A07'!$D:$D,MATCH("D04-DOC-PPC-001.CAPACITY.RESTRICOES",'01_Formulario_A07'!$A:$A,0))="","— (a preencher em 01_Formulario_A07)",INDEX('01_Formulario_A07'!$D:$D,MATCH("D04-DOC-PPC-001.CAPACITY.RESTRICOES",'01_Formulario_A07'!$A:$A,0))),"— (a preencher em 01_Formulario_A07)")</f>
        <v/>
      </c>
    </row>
    <row r="309">
      <c r="A309" s="13" t="inlineStr">
        <is>
          <t>D04-DOC-PPC-001.WORKLOAD.DEMANDA</t>
        </is>
      </c>
      <c r="B309" s="2" t="inlineStr">
        <is>
          <t>demanda</t>
        </is>
      </c>
      <c r="C309" s="14">
        <f>IFERROR(IF(INDEX('01_Formulario_A07'!$D:$D,MATCH("D04-DOC-PPC-001.WORKLOAD.DEMANDA",'01_Formulario_A07'!$A:$A,0))="","— (a preencher em 01_Formulario_A07)",INDEX('01_Formulario_A07'!$D:$D,MATCH("D04-DOC-PPC-001.WORKLOAD.DEMANDA",'01_Formulario_A07'!$A:$A,0))),"— (a preencher em 01_Formulario_A07)")</f>
        <v/>
      </c>
    </row>
    <row r="310">
      <c r="A310" s="13" t="inlineStr">
        <is>
          <t>D04-DOC-PPC-001.WORKLOAD.CAPACIDADE</t>
        </is>
      </c>
      <c r="B310" s="2" t="inlineStr">
        <is>
          <t>capacidade</t>
        </is>
      </c>
      <c r="C310" s="14">
        <f>IFERROR(IF(INDEX('01_Formulario_A07'!$D:$D,MATCH("D04-DOC-PPC-001.WORKLOAD.CAPACIDADE",'01_Formulario_A07'!$A:$A,0))="","— (a preencher em 01_Formulario_A07)",INDEX('01_Formulario_A07'!$D:$D,MATCH("D04-DOC-PPC-001.WORKLOAD.CAPACIDADE",'01_Formulario_A07'!$A:$A,0))),"— (a preencher em 01_Formulario_A07)")</f>
        <v/>
      </c>
    </row>
    <row r="311">
      <c r="A311" s="13" t="inlineStr">
        <is>
          <t>D04-DOC-PPC-001.WORKLOAD.DEFICIT</t>
        </is>
      </c>
      <c r="B311" s="2" t="inlineStr">
        <is>
          <t>deficit</t>
        </is>
      </c>
      <c r="C311" s="14">
        <f>IFERROR(IF(INDEX('01_Formulario_A07'!$D:$D,MATCH("D04-DOC-PPC-001.WORKLOAD.DEFICIT",'01_Formulario_A07'!$A:$A,0))="","— (a preencher em 01_Formulario_A07)",INDEX('01_Formulario_A07'!$D:$D,MATCH("D04-DOC-PPC-001.WORKLOAD.DEFICIT",'01_Formulario_A07'!$A:$A,0))),"— (a preencher em 01_Formulario_A07)")</f>
        <v/>
      </c>
    </row>
    <row r="312">
      <c r="A312" s="13" t="inlineStr">
        <is>
          <t>D04-DOC-PPC-001.GAPS.LACUNA</t>
        </is>
      </c>
      <c r="B312" s="2" t="inlineStr">
        <is>
          <t>lacuna</t>
        </is>
      </c>
      <c r="C312" s="14">
        <f>IFERROR(IF(INDEX('01_Formulario_A07'!$D:$D,MATCH("D04-DOC-PPC-001.GAPS.LACUNA",'01_Formulario_A07'!$A:$A,0))="","— (a preencher em 01_Formulario_A07)",INDEX('01_Formulario_A07'!$D:$D,MATCH("D04-DOC-PPC-001.GAPS.LACUNA",'01_Formulario_A07'!$A:$A,0))),"— (a preencher em 01_Formulario_A07)")</f>
        <v/>
      </c>
    </row>
    <row r="313">
      <c r="A313" s="13" t="inlineStr">
        <is>
          <t>D04-DOC-PPC-001.GAPS.IMPACTO</t>
        </is>
      </c>
      <c r="B313" s="2" t="inlineStr">
        <is>
          <t>impacto</t>
        </is>
      </c>
      <c r="C313" s="14">
        <f>IFERROR(IF(INDEX('01_Formulario_A07'!$D:$D,MATCH("D04-DOC-PPC-001.GAPS.IMPACTO",'01_Formulario_A07'!$A:$A,0))="","— (a preencher em 01_Formulario_A07)",INDEX('01_Formulario_A07'!$D:$D,MATCH("D04-DOC-PPC-001.GAPS.IMPACTO",'01_Formulario_A07'!$A:$A,0))),"— (a preencher em 01_Formulario_A07)")</f>
        <v/>
      </c>
    </row>
    <row r="314">
      <c r="A314" s="13" t="inlineStr">
        <is>
          <t>D04-DOC-PPC-001.GAPS.PRIORIDADE</t>
        </is>
      </c>
      <c r="B314" s="2" t="inlineStr">
        <is>
          <t>prioridade</t>
        </is>
      </c>
      <c r="C314" s="14">
        <f>IFERROR(IF(INDEX('01_Formulario_A07'!$D:$D,MATCH("D04-DOC-PPC-001.GAPS.PRIORIDADE",'01_Formulario_A07'!$A:$A,0))="","— (a preencher em 01_Formulario_A07)",INDEX('01_Formulario_A07'!$D:$D,MATCH("D04-DOC-PPC-001.GAPS.PRIORIDADE",'01_Formulario_A07'!$A:$A,0))),"— (a preencher em 01_Formulario_A07)")</f>
        <v/>
      </c>
    </row>
    <row r="315">
      <c r="A315" s="13" t="inlineStr">
        <is>
          <t>D04-DOC-PPC-001.HIRING.NECESSIDADES_FUTURAS</t>
        </is>
      </c>
      <c r="B315" s="2" t="inlineStr">
        <is>
          <t>necessidades_futuras</t>
        </is>
      </c>
      <c r="C315" s="14">
        <f>IFERROR(IF(INDEX('01_Formulario_A07'!$D:$D,MATCH("D04-DOC-PPC-001.HIRING.NECESSIDADES_FUTURAS",'01_Formulario_A07'!$A:$A,0))="","— (a preencher em 01_Formulario_A07)",INDEX('01_Formulario_A07'!$D:$D,MATCH("D04-DOC-PPC-001.HIRING.NECESSIDADES_FUTURAS",'01_Formulario_A07'!$A:$A,0))),"— (a preencher em 01_Formulario_A07)")</f>
        <v/>
      </c>
    </row>
    <row r="316">
      <c r="A316" s="13" t="inlineStr">
        <is>
          <t>D04-DOC-PPC-001.HIRING.PERFIL</t>
        </is>
      </c>
      <c r="B316" s="2" t="inlineStr">
        <is>
          <t>perfil</t>
        </is>
      </c>
      <c r="C316" s="14">
        <f>IFERROR(IF(INDEX('01_Formulario_A07'!$D:$D,MATCH("D04-DOC-PPC-001.HIRING.PERFIL",'01_Formulario_A07'!$A:$A,0))="","— (a preencher em 01_Formulario_A07)",INDEX('01_Formulario_A07'!$D:$D,MATCH("D04-DOC-PPC-001.HIRING.PERFIL",'01_Formulario_A07'!$A:$A,0))),"— (a preencher em 01_Formulario_A07)")</f>
        <v/>
      </c>
    </row>
    <row r="317">
      <c r="A317" s="13" t="inlineStr">
        <is>
          <t>D04-DOC-PPC-001.ONBOARDING.ENTRADA</t>
        </is>
      </c>
      <c r="B317" s="2" t="inlineStr">
        <is>
          <t>entrada</t>
        </is>
      </c>
      <c r="C317" s="14">
        <f>IFERROR(IF(INDEX('01_Formulario_A07'!$D:$D,MATCH("D04-DOC-PPC-001.ONBOARDING.ENTRADA",'01_Formulario_A07'!$A:$A,0))="","— (a preencher em 01_Formulario_A07)",INDEX('01_Formulario_A07'!$D:$D,MATCH("D04-DOC-PPC-001.ONBOARDING.ENTRADA",'01_Formulario_A07'!$A:$A,0))),"— (a preencher em 01_Formulario_A07)")</f>
        <v/>
      </c>
    </row>
    <row r="318">
      <c r="A318" s="13" t="inlineStr">
        <is>
          <t>D04-DOC-PPC-001.ONBOARDING.TREINAMENTO</t>
        </is>
      </c>
      <c r="B318" s="2" t="inlineStr">
        <is>
          <t>treinamento</t>
        </is>
      </c>
      <c r="C318" s="14">
        <f>IFERROR(IF(INDEX('01_Formulario_A07'!$D:$D,MATCH("D04-DOC-PPC-001.ONBOARDING.TREINAMENTO",'01_Formulario_A07'!$A:$A,0))="","— (a preencher em 01_Formulario_A07)",INDEX('01_Formulario_A07'!$D:$D,MATCH("D04-DOC-PPC-001.ONBOARDING.TREINAMENTO",'01_Formulario_A07'!$A:$A,0))),"— (a preencher em 01_Formulario_A07)")</f>
        <v/>
      </c>
    </row>
    <row r="319">
      <c r="A319" s="13" t="inlineStr">
        <is>
          <t>D04-DOC-PPC-001.ONBOARDING.ACESSO</t>
        </is>
      </c>
      <c r="B319" s="2" t="inlineStr">
        <is>
          <t>acesso</t>
        </is>
      </c>
      <c r="C319" s="14">
        <f>IFERROR(IF(INDEX('01_Formulario_A07'!$D:$D,MATCH("D04-DOC-PPC-001.ONBOARDING.ACESSO",'01_Formulario_A07'!$A:$A,0))="","— (a preencher em 01_Formulario_A07)",INDEX('01_Formulario_A07'!$D:$D,MATCH("D04-DOC-PPC-001.ONBOARDING.ACESSO",'01_Formulario_A07'!$A:$A,0))),"— (a preencher em 01_Formulario_A07)")</f>
        <v/>
      </c>
    </row>
    <row r="320">
      <c r="A320" s="13" t="inlineStr">
        <is>
          <t>D04-DOC-PPC-001.DEVELOPMENT.FORMACAO</t>
        </is>
      </c>
      <c r="B320" s="2" t="inlineStr">
        <is>
          <t>formacao</t>
        </is>
      </c>
      <c r="C320" s="14">
        <f>IFERROR(IF(INDEX('01_Formulario_A07'!$D:$D,MATCH("D04-DOC-PPC-001.DEVELOPMENT.FORMACAO",'01_Formulario_A07'!$A:$A,0))="","— (a preencher em 01_Formulario_A07)",INDEX('01_Formulario_A07'!$D:$D,MATCH("D04-DOC-PPC-001.DEVELOPMENT.FORMACAO",'01_Formulario_A07'!$A:$A,0))),"— (a preencher em 01_Formulario_A07)")</f>
        <v/>
      </c>
    </row>
    <row r="321">
      <c r="A321" s="13" t="inlineStr">
        <is>
          <t>D04-DOC-PPC-001.DEVELOPMENT.CAPACITACAO</t>
        </is>
      </c>
      <c r="B321" s="2" t="inlineStr">
        <is>
          <t>capacitacao</t>
        </is>
      </c>
      <c r="C321" s="14">
        <f>IFERROR(IF(INDEX('01_Formulario_A07'!$D:$D,MATCH("D04-DOC-PPC-001.DEVELOPMENT.CAPACITACAO",'01_Formulario_A07'!$A:$A,0))="","— (a preencher em 01_Formulario_A07)",INDEX('01_Formulario_A07'!$D:$D,MATCH("D04-DOC-PPC-001.DEVELOPMENT.CAPACITACAO",'01_Formulario_A07'!$A:$A,0))),"— (a preencher em 01_Formulario_A07)")</f>
        <v/>
      </c>
    </row>
    <row r="322">
      <c r="A322" s="13" t="inlineStr">
        <is>
          <t>D04-DOC-PPC-001.CONTINUITY.DEPENDENCIA_DE_PESSOA</t>
        </is>
      </c>
      <c r="B322" s="2" t="inlineStr">
        <is>
          <t>dependencia_de_pessoa</t>
        </is>
      </c>
      <c r="C322" s="14">
        <f>IFERROR(IF(INDEX('01_Formulario_A07'!$D:$D,MATCH("D04-DOC-PPC-001.CONTINUITY.DEPENDENCIA_DE_PESSOA",'01_Formulario_A07'!$A:$A,0))="","— (a preencher em 01_Formulario_A07)",INDEX('01_Formulario_A07'!$D:$D,MATCH("D04-DOC-PPC-001.CONTINUITY.DEPENDENCIA_DE_PESSOA",'01_Formulario_A07'!$A:$A,0))),"— (a preencher em 01_Formulario_A07)")</f>
        <v/>
      </c>
    </row>
    <row r="323">
      <c r="A323" s="13" t="inlineStr">
        <is>
          <t>D04-DOC-PPC-001.CONTINUITY.SUBSTITUICAO</t>
        </is>
      </c>
      <c r="B323" s="2" t="inlineStr">
        <is>
          <t>substituicao</t>
        </is>
      </c>
      <c r="C323" s="14">
        <f>IFERROR(IF(INDEX('01_Formulario_A07'!$D:$D,MATCH("D04-DOC-PPC-001.CONTINUITY.SUBSTITUICAO",'01_Formulario_A07'!$A:$A,0))="","— (a preencher em 01_Formulario_A07)",INDEX('01_Formulario_A07'!$D:$D,MATCH("D04-DOC-PPC-001.CONTINUITY.SUBSTITUICAO",'01_Formulario_A07'!$A:$A,0))),"— (a preencher em 01_Formulario_A07)")</f>
        <v/>
      </c>
    </row>
    <row r="324">
      <c r="A324" s="13" t="inlineStr">
        <is>
          <t>D04-DOC-PPC-001.METRICS.UTILIZACAO</t>
        </is>
      </c>
      <c r="B324" s="2" t="inlineStr">
        <is>
          <t>utilizacao</t>
        </is>
      </c>
      <c r="C324" s="14">
        <f>IFERROR(IF(INDEX('01_Formulario_A07'!$D:$D,MATCH("D04-DOC-PPC-001.METRICS.UTILIZACAO",'01_Formulario_A07'!$A:$A,0))="","— (a preencher em 01_Formulario_A07)",INDEX('01_Formulario_A07'!$D:$D,MATCH("D04-DOC-PPC-001.METRICS.UTILIZACAO",'01_Formulario_A07'!$A:$A,0))),"— (a preencher em 01_Formulario_A07)")</f>
        <v/>
      </c>
    </row>
    <row r="325">
      <c r="A325" s="13" t="inlineStr">
        <is>
          <t>D04-DOC-PPC-001.METRICS.CAPACIDADE</t>
        </is>
      </c>
      <c r="B325" s="2" t="inlineStr">
        <is>
          <t>capacidade</t>
        </is>
      </c>
      <c r="C325" s="14">
        <f>IFERROR(IF(INDEX('01_Formulario_A07'!$D:$D,MATCH("D04-DOC-PPC-001.METRICS.CAPACIDADE",'01_Formulario_A07'!$A:$A,0))="","— (a preencher em 01_Formulario_A07)",INDEX('01_Formulario_A07'!$D:$D,MATCH("D04-DOC-PPC-001.METRICS.CAPACIDADE",'01_Formulario_A07'!$A:$A,0))),"— (a preencher em 01_Formulario_A07)")</f>
        <v/>
      </c>
    </row>
    <row r="326">
      <c r="A326" s="13" t="inlineStr">
        <is>
          <t>D04-DOC-PPC-001.METRICS.TURNOVER</t>
        </is>
      </c>
      <c r="B326" s="2" t="inlineStr">
        <is>
          <t>turnover</t>
        </is>
      </c>
      <c r="C326" s="14">
        <f>IFERROR(IF(INDEX('01_Formulario_A07'!$D:$D,MATCH("D04-DOC-PPC-001.METRICS.TURNOVER",'01_Formulario_A07'!$A:$A,0))="","— (a preencher em 01_Formulario_A07)",INDEX('01_Formulario_A07'!$D:$D,MATCH("D04-DOC-PPC-001.METRICS.TURNOVER",'01_Formulario_A07'!$A:$A,0))),"— (a preencher em 01_Formulario_A07)")</f>
        <v/>
      </c>
    </row>
    <row r="327">
      <c r="A327" s="13" t="inlineStr">
        <is>
          <t>D04-DOC-PPC-001.METRICS.GAPS</t>
        </is>
      </c>
      <c r="B327" s="2" t="inlineStr">
        <is>
          <t>gaps</t>
        </is>
      </c>
      <c r="C327" s="14">
        <f>IFERROR(IF(INDEX('01_Formulario_A07'!$D:$D,MATCH("D04-DOC-PPC-001.METRICS.GAPS",'01_Formulario_A07'!$A:$A,0))="","— (a preencher em 01_Formulario_A07)",INDEX('01_Formulario_A07'!$D:$D,MATCH("D04-DOC-PPC-001.METRICS.GAPS",'01_Formulario_A07'!$A:$A,0))),"— (a preencher em 01_Formulario_A07)")</f>
        <v/>
      </c>
    </row>
    <row r="328">
      <c r="A328" s="5" t="inlineStr">
        <is>
          <t>D05-DOC-EPGD-001 — Estratégia e Plano de Gestão de Dados [PRE_PREENCHIDO/PENDENTE]</t>
        </is>
      </c>
      <c r="B328" s="6" t="n"/>
      <c r="C328" s="7" t="n"/>
    </row>
    <row r="329">
      <c r="A329" s="13" t="inlineStr">
        <is>
          <t>D05-DOC-EPGD-001.DATA_DOMAINS.DOMINIO</t>
        </is>
      </c>
      <c r="B329" s="2" t="inlineStr">
        <is>
          <t>dominio</t>
        </is>
      </c>
      <c r="C329" s="14">
        <f>IFERROR(IF(INDEX('01_Formulario_A06'!$D:$D,MATCH("D05-DOC-EPGD-001.DATA_DOMAINS.DOMINIO",'01_Formulario_A06'!$A:$A,0))="","— (a preencher em 01_Formulario_A06)",INDEX('01_Formulario_A06'!$D:$D,MATCH("D05-DOC-EPGD-001.DATA_DOMAINS.DOMINIO",'01_Formulario_A06'!$A:$A,0))),"— (a preencher em 01_Formulario_A06)")</f>
        <v/>
      </c>
    </row>
    <row r="330">
      <c r="A330" s="13" t="inlineStr">
        <is>
          <t>D05-DOC-EPGD-001.DATA_DOMAINS.DESCRICAO</t>
        </is>
      </c>
      <c r="B330" s="2" t="inlineStr">
        <is>
          <t>descricao</t>
        </is>
      </c>
      <c r="C330" s="14">
        <f>IFERROR(IF(INDEX('01_Formulario_A06'!$D:$D,MATCH("D05-DOC-EPGD-001.DATA_DOMAINS.DESCRICAO",'01_Formulario_A06'!$A:$A,0))="","— (a preencher em 01_Formulario_A06)",INDEX('01_Formulario_A06'!$D:$D,MATCH("D05-DOC-EPGD-001.DATA_DOMAINS.DESCRICAO",'01_Formulario_A06'!$A:$A,0))),"— (a preencher em 01_Formulario_A06)")</f>
        <v/>
      </c>
    </row>
    <row r="331">
      <c r="A331" s="13" t="inlineStr">
        <is>
          <t>D05-DOC-EPGD-001.DATA_DOMAINS.OWNER</t>
        </is>
      </c>
      <c r="B331" s="2" t="inlineStr">
        <is>
          <t>owner</t>
        </is>
      </c>
      <c r="C331" s="14">
        <f>IFERROR(IF(INDEX('01_Formulario_A06'!$D:$D,MATCH("D05-DOC-EPGD-001.DATA_DOMAINS.OWNER",'01_Formulario_A06'!$A:$A,0))="","— (a preencher em 01_Formulario_A06)",INDEX('01_Formulario_A06'!$D:$D,MATCH("D05-DOC-EPGD-001.DATA_DOMAINS.OWNER",'01_Formulario_A06'!$A:$A,0))),"— (a preencher em 01_Formulario_A06)")</f>
        <v/>
      </c>
    </row>
    <row r="332">
      <c r="A332" s="13" t="inlineStr">
        <is>
          <t>D05-DOC-EPGD-001.SOURCES.FONTE</t>
        </is>
      </c>
      <c r="B332" s="2" t="inlineStr">
        <is>
          <t>fonte</t>
        </is>
      </c>
      <c r="C332" s="14">
        <f>IFERROR(IF(INDEX('01_Formulario_A06'!$D:$D,MATCH("D05-DOC-EPGD-001.SOURCES.FONTE",'01_Formulario_A06'!$A:$A,0))="","— (a preencher em 01_Formulario_A06)",INDEX('01_Formulario_A06'!$D:$D,MATCH("D05-DOC-EPGD-001.SOURCES.FONTE",'01_Formulario_A06'!$A:$A,0))),"— (a preencher em 01_Formulario_A06)")</f>
        <v/>
      </c>
    </row>
    <row r="333">
      <c r="A333" s="13" t="inlineStr">
        <is>
          <t>D05-DOC-EPGD-001.SOURCES.SISTEMA</t>
        </is>
      </c>
      <c r="B333" s="2" t="inlineStr">
        <is>
          <t>sistema</t>
        </is>
      </c>
      <c r="C333" s="14">
        <f>IFERROR(IF(INDEX('01_Formulario_A06'!$D:$D,MATCH("D05-DOC-EPGD-001.SOURCES.SISTEMA",'01_Formulario_A06'!$A:$A,0))="","— (a preencher em 01_Formulario_A06)",INDEX('01_Formulario_A06'!$D:$D,MATCH("D05-DOC-EPGD-001.SOURCES.SISTEMA",'01_Formulario_A06'!$A:$A,0))),"— (a preencher em 01_Formulario_A06)")</f>
        <v/>
      </c>
    </row>
    <row r="334">
      <c r="A334" s="13" t="inlineStr">
        <is>
          <t>D05-DOC-EPGD-001.SOURCES.ORIGEM</t>
        </is>
      </c>
      <c r="B334" s="2" t="inlineStr">
        <is>
          <t>origem</t>
        </is>
      </c>
      <c r="C334" s="14">
        <f>IFERROR(IF(INDEX('01_Formulario_A06'!$D:$D,MATCH("D05-DOC-EPGD-001.SOURCES.ORIGEM",'01_Formulario_A06'!$A:$A,0))="","— (a preencher em 01_Formulario_A06)",INDEX('01_Formulario_A06'!$D:$D,MATCH("D05-DOC-EPGD-001.SOURCES.ORIGEM",'01_Formulario_A06'!$A:$A,0))),"— (a preencher em 01_Formulario_A06)")</f>
        <v/>
      </c>
    </row>
    <row r="335">
      <c r="A335" s="13" t="inlineStr">
        <is>
          <t>D05-DOC-EPGD-001.INGESTION.METODO</t>
        </is>
      </c>
      <c r="B335" s="2" t="inlineStr">
        <is>
          <t>metodo</t>
        </is>
      </c>
      <c r="C335" s="14">
        <f>IFERROR(IF(INDEX('01_Formulario_A06'!$D:$D,MATCH("D05-DOC-EPGD-001.INGESTION.METODO",'01_Formulario_A06'!$A:$A,0))="","— (a preencher em 01_Formulario_A06)",INDEX('01_Formulario_A06'!$D:$D,MATCH("D05-DOC-EPGD-001.INGESTION.METODO",'01_Formulario_A06'!$A:$A,0))),"— (a preencher em 01_Formulario_A06)")</f>
        <v/>
      </c>
    </row>
    <row r="336">
      <c r="A336" s="13" t="inlineStr">
        <is>
          <t>D05-DOC-EPGD-001.INGESTION.FREQUENCIA</t>
        </is>
      </c>
      <c r="B336" s="2" t="inlineStr">
        <is>
          <t>frequencia</t>
        </is>
      </c>
      <c r="C336" s="14">
        <f>IFERROR(IF(INDEX('01_Formulario_A06'!$D:$D,MATCH("D05-DOC-EPGD-001.INGESTION.FREQUENCIA",'01_Formulario_A06'!$A:$A,0))="","— (a preencher em 01_Formulario_A06)",INDEX('01_Formulario_A06'!$D:$D,MATCH("D05-DOC-EPGD-001.INGESTION.FREQUENCIA",'01_Formulario_A06'!$A:$A,0))),"— (a preencher em 01_Formulario_A06)")</f>
        <v/>
      </c>
    </row>
    <row r="337">
      <c r="A337" s="13" t="inlineStr">
        <is>
          <t>D05-DOC-EPGD-001.STORAGE.BANCO</t>
        </is>
      </c>
      <c r="B337" s="2" t="inlineStr">
        <is>
          <t>banco</t>
        </is>
      </c>
      <c r="C337" s="14">
        <f>IFERROR(IF(INDEX('01_Formulario_A06'!$D:$D,MATCH("D05-DOC-EPGD-001.STORAGE.BANCO",'01_Formulario_A06'!$A:$A,0))="","— (a preencher em 01_Formulario_A06)",INDEX('01_Formulario_A06'!$D:$D,MATCH("D05-DOC-EPGD-001.STORAGE.BANCO",'01_Formulario_A06'!$A:$A,0))),"— (a preencher em 01_Formulario_A06)")</f>
        <v/>
      </c>
    </row>
    <row r="338">
      <c r="A338" s="13" t="inlineStr">
        <is>
          <t>D05-DOC-EPGD-001.STORAGE.REPOSITORIO</t>
        </is>
      </c>
      <c r="B338" s="2" t="inlineStr">
        <is>
          <t>repositorio</t>
        </is>
      </c>
      <c r="C338" s="14">
        <f>IFERROR(IF(INDEX('01_Formulario_A06'!$D:$D,MATCH("D05-DOC-EPGD-001.STORAGE.REPOSITORIO",'01_Formulario_A06'!$A:$A,0))="","— (a preencher em 01_Formulario_A06)",INDEX('01_Formulario_A06'!$D:$D,MATCH("D05-DOC-EPGD-001.STORAGE.REPOSITORIO",'01_Formulario_A06'!$A:$A,0))),"— (a preencher em 01_Formulario_A06)")</f>
        <v/>
      </c>
    </row>
    <row r="339">
      <c r="A339" s="13" t="inlineStr">
        <is>
          <t>D05-DOC-EPGD-001.STORAGE.FORMATO</t>
        </is>
      </c>
      <c r="B339" s="2" t="inlineStr">
        <is>
          <t>formato</t>
        </is>
      </c>
      <c r="C339" s="14">
        <f>IFERROR(IF(INDEX('01_Formulario_A06'!$D:$D,MATCH("D05-DOC-EPGD-001.STORAGE.FORMATO",'01_Formulario_A06'!$A:$A,0))="","— (a preencher em 01_Formulario_A06)",INDEX('01_Formulario_A06'!$D:$D,MATCH("D05-DOC-EPGD-001.STORAGE.FORMATO",'01_Formulario_A06'!$A:$A,0))),"— (a preencher em 01_Formulario_A06)")</f>
        <v/>
      </c>
    </row>
    <row r="340">
      <c r="A340" s="13" t="inlineStr">
        <is>
          <t>D05-DOC-EPGD-001.SCHEMAS.SCHEMA</t>
        </is>
      </c>
      <c r="B340" s="2" t="inlineStr">
        <is>
          <t>schema</t>
        </is>
      </c>
      <c r="C340" s="14">
        <f>IFERROR(IF(INDEX('01_Formulario_A06'!$D:$D,MATCH("D05-DOC-EPGD-001.SCHEMAS.SCHEMA",'01_Formulario_A06'!$A:$A,0))="","— (a preencher em 01_Formulario_A06)",INDEX('01_Formulario_A06'!$D:$D,MATCH("D05-DOC-EPGD-001.SCHEMAS.SCHEMA",'01_Formulario_A06'!$A:$A,0))),"— (a preencher em 01_Formulario_A06)")</f>
        <v/>
      </c>
    </row>
    <row r="341">
      <c r="A341" s="13" t="inlineStr">
        <is>
          <t>D05-DOC-EPGD-001.SCHEMAS.VERSAO</t>
        </is>
      </c>
      <c r="B341" s="2" t="inlineStr">
        <is>
          <t>versao</t>
        </is>
      </c>
      <c r="C341" s="14">
        <f>IFERROR(IF(INDEX('01_Formulario_A06'!$D:$D,MATCH("D05-DOC-EPGD-001.SCHEMAS.VERSAO",'01_Formulario_A06'!$A:$A,0))="","— (a preencher em 01_Formulario_A06)",INDEX('01_Formulario_A06'!$D:$D,MATCH("D05-DOC-EPGD-001.SCHEMAS.VERSAO",'01_Formulario_A06'!$A:$A,0))),"— (a preencher em 01_Formulario_A06)")</f>
        <v/>
      </c>
    </row>
    <row r="342">
      <c r="A342" s="13" t="inlineStr">
        <is>
          <t>D05-DOC-EPGD-001.SCHEMAS.CONTRATO</t>
        </is>
      </c>
      <c r="B342" s="2" t="inlineStr">
        <is>
          <t>contrato</t>
        </is>
      </c>
      <c r="C342" s="14">
        <f>IFERROR(IF(INDEX('01_Formulario_A06'!$D:$D,MATCH("D05-DOC-EPGD-001.SCHEMAS.CONTRATO",'01_Formulario_A06'!$A:$A,0))="","— (a preencher em 01_Formulario_A06)",INDEX('01_Formulario_A06'!$D:$D,MATCH("D05-DOC-EPGD-001.SCHEMAS.CONTRATO",'01_Formulario_A06'!$A:$A,0))),"— (a preencher em 01_Formulario_A06)")</f>
        <v/>
      </c>
    </row>
    <row r="343">
      <c r="A343" s="13" t="inlineStr">
        <is>
          <t>D05-DOC-EPGD-001.QUALITY.COMPLETUDE</t>
        </is>
      </c>
      <c r="B343" s="2" t="inlineStr">
        <is>
          <t>completude</t>
        </is>
      </c>
      <c r="C343" s="14">
        <f>IFERROR(IF(INDEX('01_Formulario_A06'!$D:$D,MATCH("D05-DOC-EPGD-001.QUALITY.COMPLETUDE",'01_Formulario_A06'!$A:$A,0))="","— (a preencher em 01_Formulario_A06)",INDEX('01_Formulario_A06'!$D:$D,MATCH("D05-DOC-EPGD-001.QUALITY.COMPLETUDE",'01_Formulario_A06'!$A:$A,0))),"— (a preencher em 01_Formulario_A06)")</f>
        <v/>
      </c>
    </row>
    <row r="344">
      <c r="A344" s="13" t="inlineStr">
        <is>
          <t>D05-DOC-EPGD-001.QUALITY.VALIDADE</t>
        </is>
      </c>
      <c r="B344" s="2" t="inlineStr">
        <is>
          <t>validade</t>
        </is>
      </c>
      <c r="C344" s="14">
        <f>IFERROR(IF(INDEX('01_Formulario_A06'!$D:$D,MATCH("D05-DOC-EPGD-001.QUALITY.VALIDADE",'01_Formulario_A06'!$A:$A,0))="","— (a preencher em 01_Formulario_A06)",INDEX('01_Formulario_A06'!$D:$D,MATCH("D05-DOC-EPGD-001.QUALITY.VALIDADE",'01_Formulario_A06'!$A:$A,0))),"— (a preencher em 01_Formulario_A06)")</f>
        <v/>
      </c>
    </row>
    <row r="345">
      <c r="A345" s="13" t="inlineStr">
        <is>
          <t>D05-DOC-EPGD-001.QUALITY.CONSISTENCIA</t>
        </is>
      </c>
      <c r="B345" s="2" t="inlineStr">
        <is>
          <t>consistencia</t>
        </is>
      </c>
      <c r="C345" s="14">
        <f>IFERROR(IF(INDEX('01_Formulario_A06'!$D:$D,MATCH("D05-DOC-EPGD-001.QUALITY.CONSISTENCIA",'01_Formulario_A06'!$A:$A,0))="","— (a preencher em 01_Formulario_A06)",INDEX('01_Formulario_A06'!$D:$D,MATCH("D05-DOC-EPGD-001.QUALITY.CONSISTENCIA",'01_Formulario_A06'!$A:$A,0))),"— (a preencher em 01_Formulario_A06)")</f>
        <v/>
      </c>
    </row>
    <row r="346">
      <c r="A346" s="13" t="inlineStr">
        <is>
          <t>D05-DOC-EPGD-001.QUALITY.UNICIDADE</t>
        </is>
      </c>
      <c r="B346" s="2" t="inlineStr">
        <is>
          <t>unicidade</t>
        </is>
      </c>
      <c r="C346" s="14">
        <f>IFERROR(IF(INDEX('01_Formulario_A06'!$D:$D,MATCH("D05-DOC-EPGD-001.QUALITY.UNICIDADE",'01_Formulario_A06'!$A:$A,0))="","— (a preencher em 01_Formulario_A06)",INDEX('01_Formulario_A06'!$D:$D,MATCH("D05-DOC-EPGD-001.QUALITY.UNICIDADE",'01_Formulario_A06'!$A:$A,0))),"— (a preencher em 01_Formulario_A06)")</f>
        <v/>
      </c>
    </row>
    <row r="347">
      <c r="A347" s="13" t="inlineStr">
        <is>
          <t>D05-DOC-EPGD-001.LINEAGE.ORIGEM</t>
        </is>
      </c>
      <c r="B347" s="2" t="inlineStr">
        <is>
          <t>origem</t>
        </is>
      </c>
      <c r="C347" s="14">
        <f>IFERROR(IF(INDEX('01_Formulario_A06'!$D:$D,MATCH("D05-DOC-EPGD-001.LINEAGE.ORIGEM",'01_Formulario_A06'!$A:$A,0))="","— (a preencher em 01_Formulario_A06)",INDEX('01_Formulario_A06'!$D:$D,MATCH("D05-DOC-EPGD-001.LINEAGE.ORIGEM",'01_Formulario_A06'!$A:$A,0))),"— (a preencher em 01_Formulario_A06)")</f>
        <v/>
      </c>
    </row>
    <row r="348">
      <c r="A348" s="13" t="inlineStr">
        <is>
          <t>D05-DOC-EPGD-001.LINEAGE.TRANSFORMACOES</t>
        </is>
      </c>
      <c r="B348" s="2" t="inlineStr">
        <is>
          <t>transformacoes</t>
        </is>
      </c>
      <c r="C348" s="14">
        <f>IFERROR(IF(INDEX('01_Formulario_A06'!$D:$D,MATCH("D05-DOC-EPGD-001.LINEAGE.TRANSFORMACOES",'01_Formulario_A06'!$A:$A,0))="","— (a preencher em 01_Formulario_A06)",INDEX('01_Formulario_A06'!$D:$D,MATCH("D05-DOC-EPGD-001.LINEAGE.TRANSFORMACOES",'01_Formulario_A06'!$A:$A,0))),"— (a preencher em 01_Formulario_A06)")</f>
        <v/>
      </c>
    </row>
    <row r="349">
      <c r="A349" s="13" t="inlineStr">
        <is>
          <t>D05-DOC-EPGD-001.LINEAGE.DESTINO</t>
        </is>
      </c>
      <c r="B349" s="2" t="inlineStr">
        <is>
          <t>destino</t>
        </is>
      </c>
      <c r="C349" s="14">
        <f>IFERROR(IF(INDEX('01_Formulario_A06'!$D:$D,MATCH("D05-DOC-EPGD-001.LINEAGE.DESTINO",'01_Formulario_A06'!$A:$A,0))="","— (a preencher em 01_Formulario_A06)",INDEX('01_Formulario_A06'!$D:$D,MATCH("D05-DOC-EPGD-001.LINEAGE.DESTINO",'01_Formulario_A06'!$A:$A,0))),"— (a preencher em 01_Formulario_A06)")</f>
        <v/>
      </c>
    </row>
    <row r="350">
      <c r="A350" s="13" t="inlineStr">
        <is>
          <t>D05-DOC-EPGD-001.ACCESS.PERFIL</t>
        </is>
      </c>
      <c r="B350" s="2" t="inlineStr">
        <is>
          <t>perfil</t>
        </is>
      </c>
      <c r="C350" s="14">
        <f>IFERROR(IF(INDEX('01_Formulario_A06'!$D:$D,MATCH("D05-DOC-EPGD-001.ACCESS.PERFIL",'01_Formulario_A06'!$A:$A,0))="","— (a preencher em 01_Formulario_A06)",INDEX('01_Formulario_A06'!$D:$D,MATCH("D05-DOC-EPGD-001.ACCESS.PERFIL",'01_Formulario_A06'!$A:$A,0))),"— (a preencher em 01_Formulario_A06)")</f>
        <v/>
      </c>
    </row>
    <row r="351">
      <c r="A351" s="13" t="inlineStr">
        <is>
          <t>D05-DOC-EPGD-001.ACCESS.PERMISSAO</t>
        </is>
      </c>
      <c r="B351" s="2" t="inlineStr">
        <is>
          <t>permissao</t>
        </is>
      </c>
      <c r="C351" s="14">
        <f>IFERROR(IF(INDEX('01_Formulario_A06'!$D:$D,MATCH("D05-DOC-EPGD-001.ACCESS.PERMISSAO",'01_Formulario_A06'!$A:$A,0))="","— (a preencher em 01_Formulario_A06)",INDEX('01_Formulario_A06'!$D:$D,MATCH("D05-DOC-EPGD-001.ACCESS.PERMISSAO",'01_Formulario_A06'!$A:$A,0))),"— (a preencher em 01_Formulario_A06)")</f>
        <v/>
      </c>
    </row>
    <row r="352">
      <c r="A352" s="13" t="inlineStr">
        <is>
          <t>D05-DOC-EPGD-001.SECURITY.CLASSIFICACAO</t>
        </is>
      </c>
      <c r="B352" s="2" t="inlineStr">
        <is>
          <t>classificacao</t>
        </is>
      </c>
      <c r="C352" s="14">
        <f>IFERROR(IF(INDEX('01_Formulario_A06'!$D:$D,MATCH("D05-DOC-EPGD-001.SECURITY.CLASSIFICACAO",'01_Formulario_A06'!$A:$A,0))="","— (a preencher em 01_Formulario_A06)",INDEX('01_Formulario_A06'!$D:$D,MATCH("D05-DOC-EPGD-001.SECURITY.CLASSIFICACAO",'01_Formulario_A06'!$A:$A,0))),"— (a preencher em 01_Formulario_A06)")</f>
        <v/>
      </c>
    </row>
    <row r="353">
      <c r="A353" s="13" t="inlineStr">
        <is>
          <t>D05-DOC-EPGD-001.SECURITY.PROTECAO</t>
        </is>
      </c>
      <c r="B353" s="2" t="inlineStr">
        <is>
          <t>protecao</t>
        </is>
      </c>
      <c r="C353" s="14">
        <f>IFERROR(IF(INDEX('01_Formulario_A06'!$D:$D,MATCH("D05-DOC-EPGD-001.SECURITY.PROTECAO",'01_Formulario_A06'!$A:$A,0))="","— (a preencher em 01_Formulario_A06)",INDEX('01_Formulario_A06'!$D:$D,MATCH("D05-DOC-EPGD-001.SECURITY.PROTECAO",'01_Formulario_A06'!$A:$A,0))),"— (a preencher em 01_Formulario_A06)")</f>
        <v/>
      </c>
    </row>
    <row r="354">
      <c r="A354" s="13" t="inlineStr">
        <is>
          <t>D05-DOC-EPGD-001.PRIVACY.DADOS_PESSOAIS</t>
        </is>
      </c>
      <c r="B354" s="2" t="inlineStr">
        <is>
          <t>dados_pessoais</t>
        </is>
      </c>
      <c r="C354" s="14">
        <f>IFERROR(IF(INDEX('01_Formulario_A06'!$D:$D,MATCH("D05-DOC-EPGD-001.PRIVACY.DADOS_PESSOAIS",'01_Formulario_A06'!$A:$A,0))="","— (a preencher em 01_Formulario_A06)",INDEX('01_Formulario_A06'!$D:$D,MATCH("D05-DOC-EPGD-001.PRIVACY.DADOS_PESSOAIS",'01_Formulario_A06'!$A:$A,0))),"— (a preencher em 01_Formulario_A06)")</f>
        <v/>
      </c>
    </row>
    <row r="355">
      <c r="A355" s="13" t="inlineStr">
        <is>
          <t>D05-DOC-EPGD-001.PRIVACY.FINALIDADE</t>
        </is>
      </c>
      <c r="B355" s="2" t="inlineStr">
        <is>
          <t>finalidade</t>
        </is>
      </c>
      <c r="C355" s="14">
        <f>IFERROR(IF(INDEX('01_Formulario_A06'!$D:$D,MATCH("D05-DOC-EPGD-001.PRIVACY.FINALIDADE",'01_Formulario_A06'!$A:$A,0))="","— (a preencher em 01_Formulario_A06)",INDEX('01_Formulario_A06'!$D:$D,MATCH("D05-DOC-EPGD-001.PRIVACY.FINALIDADE",'01_Formulario_A06'!$A:$A,0))),"— (a preencher em 01_Formulario_A06)")</f>
        <v/>
      </c>
    </row>
    <row r="356">
      <c r="A356" s="13" t="inlineStr">
        <is>
          <t>D05-DOC-EPGD-001.LIFECYCLE.CRIACAO</t>
        </is>
      </c>
      <c r="B356" s="2" t="inlineStr">
        <is>
          <t>criacao</t>
        </is>
      </c>
      <c r="C356" s="14">
        <f>IFERROR(IF(INDEX('01_Formulario_A06'!$D:$D,MATCH("D05-DOC-EPGD-001.LIFECYCLE.CRIACAO",'01_Formulario_A06'!$A:$A,0))="","— (a preencher em 01_Formulario_A06)",INDEX('01_Formulario_A06'!$D:$D,MATCH("D05-DOC-EPGD-001.LIFECYCLE.CRIACAO",'01_Formulario_A06'!$A:$A,0))),"— (a preencher em 01_Formulario_A06)")</f>
        <v/>
      </c>
    </row>
    <row r="357">
      <c r="A357" s="13" t="inlineStr">
        <is>
          <t>D05-DOC-EPGD-001.LIFECYCLE.USO</t>
        </is>
      </c>
      <c r="B357" s="2" t="inlineStr">
        <is>
          <t>uso</t>
        </is>
      </c>
      <c r="C357" s="14">
        <f>IFERROR(IF(INDEX('01_Formulario_A06'!$D:$D,MATCH("D05-DOC-EPGD-001.LIFECYCLE.USO",'01_Formulario_A06'!$A:$A,0))="","— (a preencher em 01_Formulario_A06)",INDEX('01_Formulario_A06'!$D:$D,MATCH("D05-DOC-EPGD-001.LIFECYCLE.USO",'01_Formulario_A06'!$A:$A,0))),"— (a preencher em 01_Formulario_A06)")</f>
        <v/>
      </c>
    </row>
    <row r="358">
      <c r="A358" s="13" t="inlineStr">
        <is>
          <t>D05-DOC-EPGD-001.LIFECYCLE.RETENCAO</t>
        </is>
      </c>
      <c r="B358" s="2" t="inlineStr">
        <is>
          <t>retencao</t>
        </is>
      </c>
      <c r="C358" s="14">
        <f>IFERROR(IF(INDEX('01_Formulario_A06'!$D:$D,MATCH("D05-DOC-EPGD-001.LIFECYCLE.RETENCAO",'01_Formulario_A06'!$A:$A,0))="","— (a preencher em 01_Formulario_A06)",INDEX('01_Formulario_A06'!$D:$D,MATCH("D05-DOC-EPGD-001.LIFECYCLE.RETENCAO",'01_Formulario_A06'!$A:$A,0))),"— (a preencher em 01_Formulario_A06)")</f>
        <v/>
      </c>
    </row>
    <row r="359">
      <c r="A359" s="13" t="inlineStr">
        <is>
          <t>D05-DOC-EPGD-001.LIFECYCLE.DESCARTE</t>
        </is>
      </c>
      <c r="B359" s="2" t="inlineStr">
        <is>
          <t>descarte</t>
        </is>
      </c>
      <c r="C359" s="14">
        <f>IFERROR(IF(INDEX('01_Formulario_A06'!$D:$D,MATCH("D05-DOC-EPGD-001.LIFECYCLE.DESCARTE",'01_Formulario_A06'!$A:$A,0))="","— (a preencher em 01_Formulario_A06)",INDEX('01_Formulario_A06'!$D:$D,MATCH("D05-DOC-EPGD-001.LIFECYCLE.DESCARTE",'01_Formulario_A06'!$A:$A,0))),"— (a preencher em 01_Formulario_A06)")</f>
        <v/>
      </c>
    </row>
    <row r="360">
      <c r="A360" s="13" t="inlineStr">
        <is>
          <t>D05-DOC-EPGD-001.ANALYTICS.DATASETS</t>
        </is>
      </c>
      <c r="B360" s="2" t="inlineStr">
        <is>
          <t>datasets</t>
        </is>
      </c>
      <c r="C360" s="14">
        <f>IFERROR(IF(INDEX('01_Formulario_A06'!$D:$D,MATCH("D05-DOC-EPGD-001.ANALYTICS.DATASETS",'01_Formulario_A06'!$A:$A,0))="","— (a preencher em 01_Formulario_A06)",INDEX('01_Formulario_A06'!$D:$D,MATCH("D05-DOC-EPGD-001.ANALYTICS.DATASETS",'01_Formulario_A06'!$A:$A,0))),"— (a preencher em 01_Formulario_A06)")</f>
        <v/>
      </c>
    </row>
    <row r="361">
      <c r="A361" s="13" t="inlineStr">
        <is>
          <t>D05-DOC-EPGD-001.ANALYTICS.INDICADORES</t>
        </is>
      </c>
      <c r="B361" s="2" t="inlineStr">
        <is>
          <t>indicadores</t>
        </is>
      </c>
      <c r="C361" s="14">
        <f>IFERROR(IF(INDEX('01_Formulario_A06'!$D:$D,MATCH("D05-DOC-EPGD-001.ANALYTICS.INDICADORES",'01_Formulario_A06'!$A:$A,0))="","— (a preencher em 01_Formulario_A06)",INDEX('01_Formulario_A06'!$D:$D,MATCH("D05-DOC-EPGD-001.ANALYTICS.INDICADORES",'01_Formulario_A06'!$A:$A,0))),"— (a preencher em 01_Formulario_A06)")</f>
        <v/>
      </c>
    </row>
    <row r="362">
      <c r="A362" s="13" t="inlineStr">
        <is>
          <t>D05-DOC-EPGD-001.GOVERNANCE.OWNERS</t>
        </is>
      </c>
      <c r="B362" s="2" t="inlineStr">
        <is>
          <t>owners</t>
        </is>
      </c>
      <c r="C362" s="14">
        <f>IFERROR(IF(INDEX('01_Formulario_A06'!$D:$D,MATCH("D05-DOC-EPGD-001.GOVERNANCE.OWNERS",'01_Formulario_A06'!$A:$A,0))="","— (a preencher em 01_Formulario_A06)",INDEX('01_Formulario_A06'!$D:$D,MATCH("D05-DOC-EPGD-001.GOVERNANCE.OWNERS",'01_Formulario_A06'!$A:$A,0))),"— (a preencher em 01_Formulario_A06)")</f>
        <v/>
      </c>
    </row>
    <row r="363">
      <c r="A363" s="13" t="inlineStr">
        <is>
          <t>D05-DOC-EPGD-001.GOVERNANCE.STEWARDS</t>
        </is>
      </c>
      <c r="B363" s="2" t="inlineStr">
        <is>
          <t>stewards</t>
        </is>
      </c>
      <c r="C363" s="14">
        <f>IFERROR(IF(INDEX('01_Formulario_A06'!$D:$D,MATCH("D05-DOC-EPGD-001.GOVERNANCE.STEWARDS",'01_Formulario_A06'!$A:$A,0))="","— (a preencher em 01_Formulario_A06)",INDEX('01_Formulario_A06'!$D:$D,MATCH("D05-DOC-EPGD-001.GOVERNANCE.STEWARDS",'01_Formulario_A06'!$A:$A,0))),"— (a preencher em 01_Formulario_A06)")</f>
        <v/>
      </c>
    </row>
    <row r="364">
      <c r="A364" s="13" t="inlineStr">
        <is>
          <t>D05-DOC-EPGD-001.GOVERNANCE.APROVACAO</t>
        </is>
      </c>
      <c r="B364" s="2" t="inlineStr">
        <is>
          <t>aprovacao</t>
        </is>
      </c>
      <c r="C364" s="14">
        <f>IFERROR(IF(INDEX('01_Formulario_A06'!$D:$D,MATCH("D05-DOC-EPGD-001.GOVERNANCE.APROVACAO",'01_Formulario_A06'!$A:$A,0))="","— (a preencher em 01_Formulario_A06)",INDEX('01_Formulario_A06'!$D:$D,MATCH("D05-DOC-EPGD-001.GOVERNANCE.APROVACAO",'01_Formulario_A06'!$A:$A,0))),"— (a preencher em 01_Formulario_A06)")</f>
        <v/>
      </c>
    </row>
    <row r="365">
      <c r="A365" s="5" t="inlineStr">
        <is>
          <t>D05-DOC-DCM-001 — Dicionário de Dados e Catálogo de Métricas [PRE_PREENCHIDO/PENDENTE]</t>
        </is>
      </c>
      <c r="B365" s="6" t="n"/>
      <c r="C365" s="7" t="n"/>
    </row>
    <row r="366">
      <c r="A366" s="13" t="inlineStr">
        <is>
          <t>D05-DOC-DCM-001.SCHEMA.METRIC_OR_FIELD_ID</t>
        </is>
      </c>
      <c r="B366" s="2" t="inlineStr">
        <is>
          <t>metric_or_field_id</t>
        </is>
      </c>
      <c r="C366" s="14">
        <f>IFERROR(IF(INDEX('01_Formulario_A06'!$D:$D,MATCH("D05-DOC-DCM-001.SCHEMA.METRIC_OR_FIELD_ID",'01_Formulario_A06'!$A:$A,0))="","— (a preencher em 01_Formulario_A06)",INDEX('01_Formulario_A06'!$D:$D,MATCH("D05-DOC-DCM-001.SCHEMA.METRIC_OR_FIELD_ID",'01_Formulario_A06'!$A:$A,0))),"— (a preencher em 01_Formulario_A06)")</f>
        <v/>
      </c>
    </row>
    <row r="367">
      <c r="A367" s="13" t="inlineStr">
        <is>
          <t>D05-DOC-DCM-001.SCHEMA.NOME</t>
        </is>
      </c>
      <c r="B367" s="2" t="inlineStr">
        <is>
          <t>nome</t>
        </is>
      </c>
      <c r="C367" s="14">
        <f>IFERROR(IF(INDEX('01_Formulario_A06'!$D:$D,MATCH("D05-DOC-DCM-001.SCHEMA.NOME",'01_Formulario_A06'!$A:$A,0))="","— (a preencher em 01_Formulario_A06)",INDEX('01_Formulario_A06'!$D:$D,MATCH("D05-DOC-DCM-001.SCHEMA.NOME",'01_Formulario_A06'!$A:$A,0))),"— (a preencher em 01_Formulario_A06)")</f>
        <v/>
      </c>
    </row>
    <row r="368">
      <c r="A368" s="13" t="inlineStr">
        <is>
          <t>D05-DOC-DCM-001.SCHEMA.TIPO</t>
        </is>
      </c>
      <c r="B368" s="2" t="inlineStr">
        <is>
          <t>tipo</t>
        </is>
      </c>
      <c r="C368" s="14">
        <f>IFERROR(IF(INDEX('01_Formulario_A06'!$D:$D,MATCH("D05-DOC-DCM-001.SCHEMA.TIPO",'01_Formulario_A06'!$A:$A,0))="","— (a preencher em 01_Formulario_A06)",INDEX('01_Formulario_A06'!$D:$D,MATCH("D05-DOC-DCM-001.SCHEMA.TIPO",'01_Formulario_A06'!$A:$A,0))),"— (a preencher em 01_Formulario_A06)")</f>
        <v/>
      </c>
    </row>
    <row r="369">
      <c r="A369" s="13" t="inlineStr">
        <is>
          <t>D05-DOC-DCM-001.SCHEMA.DEFINICAO</t>
        </is>
      </c>
      <c r="B369" s="2" t="inlineStr">
        <is>
          <t>definicao</t>
        </is>
      </c>
      <c r="C369" s="14">
        <f>IFERROR(IF(INDEX('01_Formulario_A06'!$D:$D,MATCH("D05-DOC-DCM-001.SCHEMA.DEFINICAO",'01_Formulario_A06'!$A:$A,0))="","— (a preencher em 01_Formulario_A06)",INDEX('01_Formulario_A06'!$D:$D,MATCH("D05-DOC-DCM-001.SCHEMA.DEFINICAO",'01_Formulario_A06'!$A:$A,0))),"— (a preencher em 01_Formulario_A06)")</f>
        <v/>
      </c>
    </row>
    <row r="370">
      <c r="A370" s="13" t="inlineStr">
        <is>
          <t>D05-DOC-DCM-001.SCHEMA.FORMULA</t>
        </is>
      </c>
      <c r="B370" s="2" t="inlineStr">
        <is>
          <t>formula</t>
        </is>
      </c>
      <c r="C370" s="14">
        <f>IFERROR(IF(INDEX('01_Formulario_A06'!$D:$D,MATCH("D05-DOC-DCM-001.SCHEMA.FORMULA",'01_Formulario_A06'!$A:$A,0))="","— (a preencher em 01_Formulario_A06)",INDEX('01_Formulario_A06'!$D:$D,MATCH("D05-DOC-DCM-001.SCHEMA.FORMULA",'01_Formulario_A06'!$A:$A,0))),"— (a preencher em 01_Formulario_A06)")</f>
        <v/>
      </c>
    </row>
    <row r="371">
      <c r="A371" s="13" t="inlineStr">
        <is>
          <t>D05-DOC-DCM-001.SCHEMA.UNIDADE</t>
        </is>
      </c>
      <c r="B371" s="2" t="inlineStr">
        <is>
          <t>unidade</t>
        </is>
      </c>
      <c r="C371" s="14">
        <f>IFERROR(IF(INDEX('01_Formulario_A06'!$D:$D,MATCH("D05-DOC-DCM-001.SCHEMA.UNIDADE",'01_Formulario_A06'!$A:$A,0))="","— (a preencher em 01_Formulario_A06)",INDEX('01_Formulario_A06'!$D:$D,MATCH("D05-DOC-DCM-001.SCHEMA.UNIDADE",'01_Formulario_A06'!$A:$A,0))),"— (a preencher em 01_Formulario_A06)")</f>
        <v/>
      </c>
    </row>
    <row r="372">
      <c r="A372" s="13" t="inlineStr">
        <is>
          <t>D05-DOC-DCM-001.SCHEMA.GRANULARIDADE</t>
        </is>
      </c>
      <c r="B372" s="2" t="inlineStr">
        <is>
          <t>granularidade</t>
        </is>
      </c>
      <c r="C372" s="14">
        <f>IFERROR(IF(INDEX('01_Formulario_A06'!$D:$D,MATCH("D05-DOC-DCM-001.SCHEMA.GRANULARIDADE",'01_Formulario_A06'!$A:$A,0))="","— (a preencher em 01_Formulario_A06)",INDEX('01_Formulario_A06'!$D:$D,MATCH("D05-DOC-DCM-001.SCHEMA.GRANULARIDADE",'01_Formulario_A06'!$A:$A,0))),"— (a preencher em 01_Formulario_A06)")</f>
        <v/>
      </c>
    </row>
    <row r="373">
      <c r="A373" s="13" t="inlineStr">
        <is>
          <t>D05-DOC-DCM-001.SCHEMA.FONTE</t>
        </is>
      </c>
      <c r="B373" s="2" t="inlineStr">
        <is>
          <t>fonte</t>
        </is>
      </c>
      <c r="C373" s="14">
        <f>IFERROR(IF(INDEX('01_Formulario_A06'!$D:$D,MATCH("D05-DOC-DCM-001.SCHEMA.FONTE",'01_Formulario_A06'!$A:$A,0))="","— (a preencher em 01_Formulario_A06)",INDEX('01_Formulario_A06'!$D:$D,MATCH("D05-DOC-DCM-001.SCHEMA.FONTE",'01_Formulario_A06'!$A:$A,0))),"— (a preencher em 01_Formulario_A06)")</f>
        <v/>
      </c>
    </row>
    <row r="374">
      <c r="A374" s="13" t="inlineStr">
        <is>
          <t>D05-DOC-DCM-001.SCHEMA.TABELA_DATASET</t>
        </is>
      </c>
      <c r="B374" s="2" t="inlineStr">
        <is>
          <t>tabela_dataset</t>
        </is>
      </c>
      <c r="C374" s="14">
        <f>IFERROR(IF(INDEX('01_Formulario_A06'!$D:$D,MATCH("D05-DOC-DCM-001.SCHEMA.TABELA_DATASET",'01_Formulario_A06'!$A:$A,0))="","— (a preencher em 01_Formulario_A06)",INDEX('01_Formulario_A06'!$D:$D,MATCH("D05-DOC-DCM-001.SCHEMA.TABELA_DATASET",'01_Formulario_A06'!$A:$A,0))),"— (a preencher em 01_Formulario_A06)")</f>
        <v/>
      </c>
    </row>
    <row r="375">
      <c r="A375" s="13" t="inlineStr">
        <is>
          <t>D05-DOC-DCM-001.SCHEMA.CAMPO_EVENTO</t>
        </is>
      </c>
      <c r="B375" s="2" t="inlineStr">
        <is>
          <t>campo_evento</t>
        </is>
      </c>
      <c r="C375" s="14">
        <f>IFERROR(IF(INDEX('01_Formulario_A06'!$D:$D,MATCH("D05-DOC-DCM-001.SCHEMA.CAMPO_EVENTO",'01_Formulario_A06'!$A:$A,0))="","— (a preencher em 01_Formulario_A06)",INDEX('01_Formulario_A06'!$D:$D,MATCH("D05-DOC-DCM-001.SCHEMA.CAMPO_EVENTO",'01_Formulario_A06'!$A:$A,0))),"— (a preencher em 01_Formulario_A06)")</f>
        <v/>
      </c>
    </row>
    <row r="376">
      <c r="A376" s="13" t="inlineStr">
        <is>
          <t>D05-DOC-DCM-001.SCHEMA.DIMENSOES</t>
        </is>
      </c>
      <c r="B376" s="2" t="inlineStr">
        <is>
          <t>dimensoes</t>
        </is>
      </c>
      <c r="C376" s="14">
        <f>IFERROR(IF(INDEX('01_Formulario_A06'!$D:$D,MATCH("D05-DOC-DCM-001.SCHEMA.DIMENSOES",'01_Formulario_A06'!$A:$A,0))="","— (a preencher em 01_Formulario_A06)",INDEX('01_Formulario_A06'!$D:$D,MATCH("D05-DOC-DCM-001.SCHEMA.DIMENSOES",'01_Formulario_A06'!$A:$A,0))),"— (a preencher em 01_Formulario_A06)")</f>
        <v/>
      </c>
    </row>
    <row r="377">
      <c r="A377" s="13" t="inlineStr">
        <is>
          <t>D05-DOC-DCM-001.SCHEMA.OWNER</t>
        </is>
      </c>
      <c r="B377" s="2" t="inlineStr">
        <is>
          <t>owner</t>
        </is>
      </c>
      <c r="C377" s="14">
        <f>IFERROR(IF(INDEX('01_Formulario_A06'!$D:$D,MATCH("D05-DOC-DCM-001.SCHEMA.OWNER",'01_Formulario_A06'!$A:$A,0))="","— (a preencher em 01_Formulario_A06)",INDEX('01_Formulario_A06'!$D:$D,MATCH("D05-DOC-DCM-001.SCHEMA.OWNER",'01_Formulario_A06'!$A:$A,0))),"— (a preencher em 01_Formulario_A06)")</f>
        <v/>
      </c>
    </row>
    <row r="378">
      <c r="A378" s="13" t="inlineStr">
        <is>
          <t>D05-DOC-DCM-001.SCHEMA.FREQUENCIA</t>
        </is>
      </c>
      <c r="B378" s="2" t="inlineStr">
        <is>
          <t>frequencia</t>
        </is>
      </c>
      <c r="C378" s="14">
        <f>IFERROR(IF(INDEX('01_Formulario_A06'!$D:$D,MATCH("D05-DOC-DCM-001.SCHEMA.FREQUENCIA",'01_Formulario_A06'!$A:$A,0))="","— (a preencher em 01_Formulario_A06)",INDEX('01_Formulario_A06'!$D:$D,MATCH("D05-DOC-DCM-001.SCHEMA.FREQUENCIA",'01_Formulario_A06'!$A:$A,0))),"— (a preencher em 01_Formulario_A06)")</f>
        <v/>
      </c>
    </row>
    <row r="379">
      <c r="A379" s="13" t="inlineStr">
        <is>
          <t>D05-DOC-DCM-001.SCHEMA.FRESHNESS</t>
        </is>
      </c>
      <c r="B379" s="2" t="inlineStr">
        <is>
          <t>freshness</t>
        </is>
      </c>
      <c r="C379" s="14">
        <f>IFERROR(IF(INDEX('01_Formulario_A06'!$D:$D,MATCH("D05-DOC-DCM-001.SCHEMA.FRESHNESS",'01_Formulario_A06'!$A:$A,0))="","— (a preencher em 01_Formulario_A06)",INDEX('01_Formulario_A06'!$D:$D,MATCH("D05-DOC-DCM-001.SCHEMA.FRESHNESS",'01_Formulario_A06'!$A:$A,0))),"— (a preencher em 01_Formulario_A06)")</f>
        <v/>
      </c>
    </row>
    <row r="380">
      <c r="A380" s="13" t="inlineStr">
        <is>
          <t>D05-DOC-DCM-001.SCHEMA.REGRA_DE_QUALIDADE</t>
        </is>
      </c>
      <c r="B380" s="2" t="inlineStr">
        <is>
          <t>regra_de_qualidade</t>
        </is>
      </c>
      <c r="C380" s="14">
        <f>IFERROR(IF(INDEX('01_Formulario_A06'!$D:$D,MATCH("D05-DOC-DCM-001.SCHEMA.REGRA_DE_QUALIDADE",'01_Formulario_A06'!$A:$A,0))="","— (a preencher em 01_Formulario_A06)",INDEX('01_Formulario_A06'!$D:$D,MATCH("D05-DOC-DCM-001.SCHEMA.REGRA_DE_QUALIDADE",'01_Formulario_A06'!$A:$A,0))),"— (a preencher em 01_Formulario_A06)")</f>
        <v/>
      </c>
    </row>
    <row r="381">
      <c r="A381" s="13" t="inlineStr">
        <is>
          <t>D05-DOC-DCM-001.SCHEMA.CLASSIFICACAO</t>
        </is>
      </c>
      <c r="B381" s="2" t="inlineStr">
        <is>
          <t>classificacao</t>
        </is>
      </c>
      <c r="C381" s="14">
        <f>IFERROR(IF(INDEX('01_Formulario_A06'!$D:$D,MATCH("D05-DOC-DCM-001.SCHEMA.CLASSIFICACAO",'01_Formulario_A06'!$A:$A,0))="","— (a preencher em 01_Formulario_A06)",INDEX('01_Formulario_A06'!$D:$D,MATCH("D05-DOC-DCM-001.SCHEMA.CLASSIFICACAO",'01_Formulario_A06'!$A:$A,0))),"— (a preencher em 01_Formulario_A06)")</f>
        <v/>
      </c>
    </row>
    <row r="382">
      <c r="A382" s="13" t="inlineStr">
        <is>
          <t>D05-DOC-DCM-001.SCHEMA.RETENCAO</t>
        </is>
      </c>
      <c r="B382" s="2" t="inlineStr">
        <is>
          <t>retencao</t>
        </is>
      </c>
      <c r="C382" s="14">
        <f>IFERROR(IF(INDEX('01_Formulario_A06'!$D:$D,MATCH("D05-DOC-DCM-001.SCHEMA.RETENCAO",'01_Formulario_A06'!$A:$A,0))="","— (a preencher em 01_Formulario_A06)",INDEX('01_Formulario_A06'!$D:$D,MATCH("D05-DOC-DCM-001.SCHEMA.RETENCAO",'01_Formulario_A06'!$A:$A,0))),"— (a preencher em 01_Formulario_A06)")</f>
        <v/>
      </c>
    </row>
    <row r="383">
      <c r="A383" s="13" t="inlineStr">
        <is>
          <t>D05-DOC-DCM-001.SCHEMA.CONSUMIDORES</t>
        </is>
      </c>
      <c r="B383" s="2" t="inlineStr">
        <is>
          <t>consumidores</t>
        </is>
      </c>
      <c r="C383" s="14">
        <f>IFERROR(IF(INDEX('01_Formulario_A06'!$D:$D,MATCH("D05-DOC-DCM-001.SCHEMA.CONSUMIDORES",'01_Formulario_A06'!$A:$A,0))="","— (a preencher em 01_Formulario_A06)",INDEX('01_Formulario_A06'!$D:$D,MATCH("D05-DOC-DCM-001.SCHEMA.CONSUMIDORES",'01_Formulario_A06'!$A:$A,0))),"— (a preencher em 01_Formulario_A06)")</f>
        <v/>
      </c>
    </row>
    <row r="384">
      <c r="A384" s="5" t="inlineStr">
        <is>
          <t>D06-DOC-EGC-001 — Estratégia de Gestão do Conhecimento [PRE_PREENCHIDO/PENDENTE]</t>
        </is>
      </c>
      <c r="B384" s="6" t="n"/>
      <c r="C384" s="7" t="n"/>
    </row>
    <row r="385">
      <c r="A385" s="13" t="inlineStr">
        <is>
          <t>D06-DOC-EGC-001.TAXONOMY.DOMINIOS</t>
        </is>
      </c>
      <c r="B385" s="2" t="inlineStr">
        <is>
          <t>dominios</t>
        </is>
      </c>
      <c r="C385" s="14">
        <f>IFERROR(IF(INDEX('01_Formulario_A06'!$D:$D,MATCH("D06-DOC-EGC-001.TAXONOMY.DOMINIOS",'01_Formulario_A06'!$A:$A,0))="","— (a preencher em 01_Formulario_A06)",INDEX('01_Formulario_A06'!$D:$D,MATCH("D06-DOC-EGC-001.TAXONOMY.DOMINIOS",'01_Formulario_A06'!$A:$A,0))),"— (a preencher em 01_Formulario_A06)")</f>
        <v/>
      </c>
    </row>
    <row r="386">
      <c r="A386" s="13" t="inlineStr">
        <is>
          <t>D06-DOC-EGC-001.TAXONOMY.SUBAREAS</t>
        </is>
      </c>
      <c r="B386" s="2" t="inlineStr">
        <is>
          <t>subareas</t>
        </is>
      </c>
      <c r="C386" s="14">
        <f>IFERROR(IF(INDEX('01_Formulario_A06'!$D:$D,MATCH("D06-DOC-EGC-001.TAXONOMY.SUBAREAS",'01_Formulario_A06'!$A:$A,0))="","— (a preencher em 01_Formulario_A06)",INDEX('01_Formulario_A06'!$D:$D,MATCH("D06-DOC-EGC-001.TAXONOMY.SUBAREAS",'01_Formulario_A06'!$A:$A,0))),"— (a preencher em 01_Formulario_A06)")</f>
        <v/>
      </c>
    </row>
    <row r="387">
      <c r="A387" s="13" t="inlineStr">
        <is>
          <t>D06-DOC-EGC-001.TAXONOMY.CLASSES_DOCUMENTAIS</t>
        </is>
      </c>
      <c r="B387" s="2" t="inlineStr">
        <is>
          <t>classes_documentais</t>
        </is>
      </c>
      <c r="C387" s="14">
        <f>IFERROR(IF(INDEX('01_Formulario_A06'!$D:$D,MATCH("D06-DOC-EGC-001.TAXONOMY.CLASSES_DOCUMENTAIS",'01_Formulario_A06'!$A:$A,0))="","— (a preencher em 01_Formulario_A06)",INDEX('01_Formulario_A06'!$D:$D,MATCH("D06-DOC-EGC-001.TAXONOMY.CLASSES_DOCUMENTAIS",'01_Formulario_A06'!$A:$A,0))),"— (a preencher em 01_Formulario_A06)")</f>
        <v/>
      </c>
    </row>
    <row r="388">
      <c r="A388" s="13" t="inlineStr">
        <is>
          <t>D06-DOC-EGC-001.ONTOLOGY.OBJETOS</t>
        </is>
      </c>
      <c r="B388" s="2" t="inlineStr">
        <is>
          <t>objetos</t>
        </is>
      </c>
      <c r="C388" s="14">
        <f>IFERROR(IF(INDEX('01_Formulario_A06'!$D:$D,MATCH("D06-DOC-EGC-001.ONTOLOGY.OBJETOS",'01_Formulario_A06'!$A:$A,0))="","— (a preencher em 01_Formulario_A06)",INDEX('01_Formulario_A06'!$D:$D,MATCH("D06-DOC-EGC-001.ONTOLOGY.OBJETOS",'01_Formulario_A06'!$A:$A,0))),"— (a preencher em 01_Formulario_A06)")</f>
        <v/>
      </c>
    </row>
    <row r="389">
      <c r="A389" s="13" t="inlineStr">
        <is>
          <t>D06-DOC-EGC-001.ONTOLOGY.RELACOES</t>
        </is>
      </c>
      <c r="B389" s="2" t="inlineStr">
        <is>
          <t>relacoes</t>
        </is>
      </c>
      <c r="C389" s="14">
        <f>IFERROR(IF(INDEX('01_Formulario_A06'!$D:$D,MATCH("D06-DOC-EGC-001.ONTOLOGY.RELACOES",'01_Formulario_A06'!$A:$A,0))="","— (a preencher em 01_Formulario_A06)",INDEX('01_Formulario_A06'!$D:$D,MATCH("D06-DOC-EGC-001.ONTOLOGY.RELACOES",'01_Formulario_A06'!$A:$A,0))),"— (a preencher em 01_Formulario_A06)")</f>
        <v/>
      </c>
    </row>
    <row r="390">
      <c r="A390" s="13" t="inlineStr">
        <is>
          <t>D06-DOC-EGC-001.REPOSITORIES.REPOSITORIO</t>
        </is>
      </c>
      <c r="B390" s="2" t="inlineStr">
        <is>
          <t>repositorio</t>
        </is>
      </c>
      <c r="C390" s="14">
        <f>IFERROR(IF(INDEX('01_Formulario_A06'!$D:$D,MATCH("D06-DOC-EGC-001.REPOSITORIES.REPOSITORIO",'01_Formulario_A06'!$A:$A,0))="","— (a preencher em 01_Formulario_A06)",INDEX('01_Formulario_A06'!$D:$D,MATCH("D06-DOC-EGC-001.REPOSITORIES.REPOSITORIO",'01_Formulario_A06'!$A:$A,0))),"— (a preencher em 01_Formulario_A06)")</f>
        <v/>
      </c>
    </row>
    <row r="391">
      <c r="A391" s="13" t="inlineStr">
        <is>
          <t>D06-DOC-EGC-001.REPOSITORIES.FINALIDADE</t>
        </is>
      </c>
      <c r="B391" s="2" t="inlineStr">
        <is>
          <t>finalidade</t>
        </is>
      </c>
      <c r="C391" s="14">
        <f>IFERROR(IF(INDEX('01_Formulario_A06'!$D:$D,MATCH("D06-DOC-EGC-001.REPOSITORIES.FINALIDADE",'01_Formulario_A06'!$A:$A,0))="","— (a preencher em 01_Formulario_A06)",INDEX('01_Formulario_A06'!$D:$D,MATCH("D06-DOC-EGC-001.REPOSITORIES.FINALIDADE",'01_Formulario_A06'!$A:$A,0))),"— (a preencher em 01_Formulario_A06)")</f>
        <v/>
      </c>
    </row>
    <row r="392">
      <c r="A392" s="13" t="inlineStr">
        <is>
          <t>D06-DOC-EGC-001.REPOSITORIES.OWNER</t>
        </is>
      </c>
      <c r="B392" s="2" t="inlineStr">
        <is>
          <t>owner</t>
        </is>
      </c>
      <c r="C392" s="14">
        <f>IFERROR(IF(INDEX('01_Formulario_A06'!$D:$D,MATCH("D06-DOC-EGC-001.REPOSITORIES.OWNER",'01_Formulario_A06'!$A:$A,0))="","— (a preencher em 01_Formulario_A06)",INDEX('01_Formulario_A06'!$D:$D,MATCH("D06-DOC-EGC-001.REPOSITORIES.OWNER",'01_Formulario_A06'!$A:$A,0))),"— (a preencher em 01_Formulario_A06)")</f>
        <v/>
      </c>
    </row>
    <row r="393">
      <c r="A393" s="13" t="inlineStr">
        <is>
          <t>D06-DOC-EGC-001.SOURCES_OF_TRUTH.OBJETO</t>
        </is>
      </c>
      <c r="B393" s="2" t="inlineStr">
        <is>
          <t>objeto</t>
        </is>
      </c>
      <c r="C393" s="14">
        <f>IFERROR(IF(INDEX('01_Formulario_A06'!$D:$D,MATCH("D06-DOC-EGC-001.SOURCES_OF_TRUTH.OBJETO",'01_Formulario_A06'!$A:$A,0))="","— (a preencher em 01_Formulario_A06)",INDEX('01_Formulario_A06'!$D:$D,MATCH("D06-DOC-EGC-001.SOURCES_OF_TRUTH.OBJETO",'01_Formulario_A06'!$A:$A,0))),"— (a preencher em 01_Formulario_A06)")</f>
        <v/>
      </c>
    </row>
    <row r="394">
      <c r="A394" s="13" t="inlineStr">
        <is>
          <t>D06-DOC-EGC-001.SOURCES_OF_TRUTH.FONTE_CANONICA</t>
        </is>
      </c>
      <c r="B394" s="2" t="inlineStr">
        <is>
          <t>fonte_canonica</t>
        </is>
      </c>
      <c r="C394" s="14">
        <f>IFERROR(IF(INDEX('01_Formulario_A06'!$D:$D,MATCH("D06-DOC-EGC-001.SOURCES_OF_TRUTH.FONTE_CANONICA",'01_Formulario_A06'!$A:$A,0))="","— (a preencher em 01_Formulario_A06)",INDEX('01_Formulario_A06'!$D:$D,MATCH("D06-DOC-EGC-001.SOURCES_OF_TRUTH.FONTE_CANONICA",'01_Formulario_A06'!$A:$A,0))),"— (a preencher em 01_Formulario_A06)")</f>
        <v/>
      </c>
    </row>
    <row r="395">
      <c r="A395" s="13" t="inlineStr">
        <is>
          <t>D06-DOC-EGC-001.IDENTITY.PADRAO_DE_IDS</t>
        </is>
      </c>
      <c r="B395" s="2" t="inlineStr">
        <is>
          <t>padrao_de_ids</t>
        </is>
      </c>
      <c r="C395" s="14">
        <f>IFERROR(IF(INDEX('01_Formulario_A06'!$D:$D,MATCH("D06-DOC-EGC-001.IDENTITY.PADRAO_DE_IDS",'01_Formulario_A06'!$A:$A,0))="","— (a preencher em 01_Formulario_A06)",INDEX('01_Formulario_A06'!$D:$D,MATCH("D06-DOC-EGC-001.IDENTITY.PADRAO_DE_IDS",'01_Formulario_A06'!$A:$A,0))),"— (a preencher em 01_Formulario_A06)")</f>
        <v/>
      </c>
    </row>
    <row r="396">
      <c r="A396" s="13" t="inlineStr">
        <is>
          <t>D06-DOC-EGC-001.IDENTITY.NAMING</t>
        </is>
      </c>
      <c r="B396" s="2" t="inlineStr">
        <is>
          <t>naming</t>
        </is>
      </c>
      <c r="C396" s="14">
        <f>IFERROR(IF(INDEX('01_Formulario_A06'!$D:$D,MATCH("D06-DOC-EGC-001.IDENTITY.NAMING",'01_Formulario_A06'!$A:$A,0))="","— (a preencher em 01_Formulario_A06)",INDEX('01_Formulario_A06'!$D:$D,MATCH("D06-DOC-EGC-001.IDENTITY.NAMING",'01_Formulario_A06'!$A:$A,0))),"— (a preencher em 01_Formulario_A06)")</f>
        <v/>
      </c>
    </row>
    <row r="397">
      <c r="A397" s="13" t="inlineStr">
        <is>
          <t>D06-DOC-EGC-001.VERSIONING.VERSAO</t>
        </is>
      </c>
      <c r="B397" s="2" t="inlineStr">
        <is>
          <t>versao</t>
        </is>
      </c>
      <c r="C397" s="14">
        <f>IFERROR(IF(INDEX('01_Formulario_A06'!$D:$D,MATCH("D06-DOC-EGC-001.VERSIONING.VERSAO",'01_Formulario_A06'!$A:$A,0))="","— (a preencher em 01_Formulario_A06)",INDEX('01_Formulario_A06'!$D:$D,MATCH("D06-DOC-EGC-001.VERSIONING.VERSAO",'01_Formulario_A06'!$A:$A,0))),"— (a preencher em 01_Formulario_A06)")</f>
        <v/>
      </c>
    </row>
    <row r="398">
      <c r="A398" s="13" t="inlineStr">
        <is>
          <t>D06-DOC-EGC-001.VERSIONING.HISTORICO</t>
        </is>
      </c>
      <c r="B398" s="2" t="inlineStr">
        <is>
          <t>historico</t>
        </is>
      </c>
      <c r="C398" s="14">
        <f>IFERROR(IF(INDEX('01_Formulario_A06'!$D:$D,MATCH("D06-DOC-EGC-001.VERSIONING.HISTORICO",'01_Formulario_A06'!$A:$A,0))="","— (a preencher em 01_Formulario_A06)",INDEX('01_Formulario_A06'!$D:$D,MATCH("D06-DOC-EGC-001.VERSIONING.HISTORICO",'01_Formulario_A06'!$A:$A,0))),"— (a preencher em 01_Formulario_A06)")</f>
        <v/>
      </c>
    </row>
    <row r="399">
      <c r="A399" s="13" t="inlineStr">
        <is>
          <t>D06-DOC-EGC-001.VERSIONING.SUPERSEDE</t>
        </is>
      </c>
      <c r="B399" s="2" t="inlineStr">
        <is>
          <t>supersede</t>
        </is>
      </c>
      <c r="C399" s="14">
        <f>IFERROR(IF(INDEX('01_Formulario_A06'!$D:$D,MATCH("D06-DOC-EGC-001.VERSIONING.SUPERSEDE",'01_Formulario_A06'!$A:$A,0))="","— (a preencher em 01_Formulario_A06)",INDEX('01_Formulario_A06'!$D:$D,MATCH("D06-DOC-EGC-001.VERSIONING.SUPERSEDE",'01_Formulario_A06'!$A:$A,0))),"— (a preencher em 01_Formulario_A06)")</f>
        <v/>
      </c>
    </row>
    <row r="400">
      <c r="A400" s="13" t="inlineStr">
        <is>
          <t>D06-DOC-EGC-001.INGESTION.ENTRADA</t>
        </is>
      </c>
      <c r="B400" s="2" t="inlineStr">
        <is>
          <t>entrada</t>
        </is>
      </c>
      <c r="C400" s="14">
        <f>IFERROR(IF(INDEX('01_Formulario_A06'!$D:$D,MATCH("D06-DOC-EGC-001.INGESTION.ENTRADA",'01_Formulario_A06'!$A:$A,0))="","— (a preencher em 01_Formulario_A06)",INDEX('01_Formulario_A06'!$D:$D,MATCH("D06-DOC-EGC-001.INGESTION.ENTRADA",'01_Formulario_A06'!$A:$A,0))),"— (a preencher em 01_Formulario_A06)")</f>
        <v/>
      </c>
    </row>
    <row r="401">
      <c r="A401" s="13" t="inlineStr">
        <is>
          <t>D06-DOC-EGC-001.INGESTION.CLASSIFICACAO</t>
        </is>
      </c>
      <c r="B401" s="2" t="inlineStr">
        <is>
          <t>classificacao</t>
        </is>
      </c>
      <c r="C401" s="14">
        <f>IFERROR(IF(INDEX('01_Formulario_A06'!$D:$D,MATCH("D06-DOC-EGC-001.INGESTION.CLASSIFICACAO",'01_Formulario_A06'!$A:$A,0))="","— (a preencher em 01_Formulario_A06)",INDEX('01_Formulario_A06'!$D:$D,MATCH("D06-DOC-EGC-001.INGESTION.CLASSIFICACAO",'01_Formulario_A06'!$A:$A,0))),"— (a preencher em 01_Formulario_A06)")</f>
        <v/>
      </c>
    </row>
    <row r="402">
      <c r="A402" s="13" t="inlineStr">
        <is>
          <t>D06-DOC-EGC-001.INGESTION.PROCESSAMENTO</t>
        </is>
      </c>
      <c r="B402" s="2" t="inlineStr">
        <is>
          <t>processamento</t>
        </is>
      </c>
      <c r="C402" s="14">
        <f>IFERROR(IF(INDEX('01_Formulario_A06'!$D:$D,MATCH("D06-DOC-EGC-001.INGESTION.PROCESSAMENTO",'01_Formulario_A06'!$A:$A,0))="","— (a preencher em 01_Formulario_A06)",INDEX('01_Formulario_A06'!$D:$D,MATCH("D06-DOC-EGC-001.INGESTION.PROCESSAMENTO",'01_Formulario_A06'!$A:$A,0))),"— (a preencher em 01_Formulario_A06)")</f>
        <v/>
      </c>
    </row>
    <row r="403">
      <c r="A403" s="13" t="inlineStr">
        <is>
          <t>D06-DOC-EGC-001.RETRIEVAL.BUSCA</t>
        </is>
      </c>
      <c r="B403" s="2" t="inlineStr">
        <is>
          <t>busca</t>
        </is>
      </c>
      <c r="C403" s="14">
        <f>IFERROR(IF(INDEX('01_Formulario_A06'!$D:$D,MATCH("D06-DOC-EGC-001.RETRIEVAL.BUSCA",'01_Formulario_A06'!$A:$A,0))="","— (a preencher em 01_Formulario_A06)",INDEX('01_Formulario_A06'!$D:$D,MATCH("D06-DOC-EGC-001.RETRIEVAL.BUSCA",'01_Formulario_A06'!$A:$A,0))),"— (a preencher em 01_Formulario_A06)")</f>
        <v/>
      </c>
    </row>
    <row r="404">
      <c r="A404" s="13" t="inlineStr">
        <is>
          <t>D06-DOC-EGC-001.RETRIEVAL.FILTROS</t>
        </is>
      </c>
      <c r="B404" s="2" t="inlineStr">
        <is>
          <t>filtros</t>
        </is>
      </c>
      <c r="C404" s="14">
        <f>IFERROR(IF(INDEX('01_Formulario_A06'!$D:$D,MATCH("D06-DOC-EGC-001.RETRIEVAL.FILTROS",'01_Formulario_A06'!$A:$A,0))="","— (a preencher em 01_Formulario_A06)",INDEX('01_Formulario_A06'!$D:$D,MATCH("D06-DOC-EGC-001.RETRIEVAL.FILTROS",'01_Formulario_A06'!$A:$A,0))),"— (a preencher em 01_Formulario_A06)")</f>
        <v/>
      </c>
    </row>
    <row r="405">
      <c r="A405" s="13" t="inlineStr">
        <is>
          <t>D06-DOC-EGC-001.RETRIEVAL.INDEXACAO</t>
        </is>
      </c>
      <c r="B405" s="2" t="inlineStr">
        <is>
          <t>indexacao</t>
        </is>
      </c>
      <c r="C405" s="14">
        <f>IFERROR(IF(INDEX('01_Formulario_A06'!$D:$D,MATCH("D06-DOC-EGC-001.RETRIEVAL.INDEXACAO",'01_Formulario_A06'!$A:$A,0))="","— (a preencher em 01_Formulario_A06)",INDEX('01_Formulario_A06'!$D:$D,MATCH("D06-DOC-EGC-001.RETRIEVAL.INDEXACAO",'01_Formulario_A06'!$A:$A,0))),"— (a preencher em 01_Formulario_A06)")</f>
        <v/>
      </c>
    </row>
    <row r="406">
      <c r="A406" s="13" t="inlineStr">
        <is>
          <t>D06-DOC-EGC-001.CURATION.REVISAO</t>
        </is>
      </c>
      <c r="B406" s="2" t="inlineStr">
        <is>
          <t>revisao</t>
        </is>
      </c>
      <c r="C406" s="14">
        <f>IFERROR(IF(INDEX('01_Formulario_A06'!$D:$D,MATCH("D06-DOC-EGC-001.CURATION.REVISAO",'01_Formulario_A06'!$A:$A,0))="","— (a preencher em 01_Formulario_A06)",INDEX('01_Formulario_A06'!$D:$D,MATCH("D06-DOC-EGC-001.CURATION.REVISAO",'01_Formulario_A06'!$A:$A,0))),"— (a preencher em 01_Formulario_A06)")</f>
        <v/>
      </c>
    </row>
    <row r="407">
      <c r="A407" s="13" t="inlineStr">
        <is>
          <t>D06-DOC-EGC-001.CURATION.APROVACAO</t>
        </is>
      </c>
      <c r="B407" s="2" t="inlineStr">
        <is>
          <t>aprovacao</t>
        </is>
      </c>
      <c r="C407" s="14">
        <f>IFERROR(IF(INDEX('01_Formulario_A06'!$D:$D,MATCH("D06-DOC-EGC-001.CURATION.APROVACAO",'01_Formulario_A06'!$A:$A,0))="","— (a preencher em 01_Formulario_A06)",INDEX('01_Formulario_A06'!$D:$D,MATCH("D06-DOC-EGC-001.CURATION.APROVACAO",'01_Formulario_A06'!$A:$A,0))),"— (a preencher em 01_Formulario_A06)")</f>
        <v/>
      </c>
    </row>
    <row r="408">
      <c r="A408" s="13" t="inlineStr">
        <is>
          <t>D06-DOC-EGC-001.ARCHIVAL.ARQUIVAMENTO</t>
        </is>
      </c>
      <c r="B408" s="2" t="inlineStr">
        <is>
          <t>arquivamento</t>
        </is>
      </c>
      <c r="C408" s="14">
        <f>IFERROR(IF(INDEX('01_Formulario_A06'!$D:$D,MATCH("D06-DOC-EGC-001.ARCHIVAL.ARQUIVAMENTO",'01_Formulario_A06'!$A:$A,0))="","— (a preencher em 01_Formulario_A06)",INDEX('01_Formulario_A06'!$D:$D,MATCH("D06-DOC-EGC-001.ARCHIVAL.ARQUIVAMENTO",'01_Formulario_A06'!$A:$A,0))),"— (a preencher em 01_Formulario_A06)")</f>
        <v/>
      </c>
    </row>
    <row r="409">
      <c r="A409" s="13" t="inlineStr">
        <is>
          <t>D06-DOC-EGC-001.ARCHIVAL.DESCARTE</t>
        </is>
      </c>
      <c r="B409" s="2" t="inlineStr">
        <is>
          <t>descarte</t>
        </is>
      </c>
      <c r="C409" s="14">
        <f>IFERROR(IF(INDEX('01_Formulario_A06'!$D:$D,MATCH("D06-DOC-EGC-001.ARCHIVAL.DESCARTE",'01_Formulario_A06'!$A:$A,0))="","— (a preencher em 01_Formulario_A06)",INDEX('01_Formulario_A06'!$D:$D,MATCH("D06-DOC-EGC-001.ARCHIVAL.DESCARTE",'01_Formulario_A06'!$A:$A,0))),"— (a preencher em 01_Formulario_A06)")</f>
        <v/>
      </c>
    </row>
    <row r="410">
      <c r="A410" s="13" t="inlineStr">
        <is>
          <t>D06-DOC-EGC-001.CROSSLINKING.RELACOES_ENTRE_DOCUMENTOS</t>
        </is>
      </c>
      <c r="B410" s="2" t="inlineStr">
        <is>
          <t>relacoes_entre_documentos</t>
        </is>
      </c>
      <c r="C410" s="14">
        <f>IFERROR(IF(INDEX('01_Formulario_A06'!$D:$D,MATCH("D06-DOC-EGC-001.CROSSLINKING.RELACOES_ENTRE_DOCUMENTOS",'01_Formulario_A06'!$A:$A,0))="","— (a preencher em 01_Formulario_A06)",INDEX('01_Formulario_A06'!$D:$D,MATCH("D06-DOC-EGC-001.CROSSLINKING.RELACOES_ENTRE_DOCUMENTOS",'01_Formulario_A06'!$A:$A,0))),"— (a preencher em 01_Formulario_A06)")</f>
        <v/>
      </c>
    </row>
    <row r="411">
      <c r="A411" s="13" t="inlineStr">
        <is>
          <t>D06-DOC-EGC-001.GOVERNANCE.OWNER</t>
        </is>
      </c>
      <c r="B411" s="2" t="inlineStr">
        <is>
          <t>owner</t>
        </is>
      </c>
      <c r="C411" s="14">
        <f>IFERROR(IF(INDEX('01_Formulario_A06'!$D:$D,MATCH("D06-DOC-EGC-001.GOVERNANCE.OWNER",'01_Formulario_A06'!$A:$A,0))="","— (a preencher em 01_Formulario_A06)",INDEX('01_Formulario_A06'!$D:$D,MATCH("D06-DOC-EGC-001.GOVERNANCE.OWNER",'01_Formulario_A06'!$A:$A,0))),"— (a preencher em 01_Formulario_A06)")</f>
        <v/>
      </c>
    </row>
    <row r="412">
      <c r="A412" s="13" t="inlineStr">
        <is>
          <t>D06-DOC-EGC-001.GOVERNANCE.ESTADO</t>
        </is>
      </c>
      <c r="B412" s="2" t="inlineStr">
        <is>
          <t>estado</t>
        </is>
      </c>
      <c r="C412" s="14">
        <f>IFERROR(IF(INDEX('01_Formulario_A06'!$D:$D,MATCH("D06-DOC-EGC-001.GOVERNANCE.ESTADO",'01_Formulario_A06'!$A:$A,0))="","— (a preencher em 01_Formulario_A06)",INDEX('01_Formulario_A06'!$D:$D,MATCH("D06-DOC-EGC-001.GOVERNANCE.ESTADO",'01_Formulario_A06'!$A:$A,0))),"— (a preencher em 01_Formulario_A06)")</f>
        <v/>
      </c>
    </row>
    <row r="413">
      <c r="A413" s="13" t="inlineStr">
        <is>
          <t>D06-DOC-EGC-001.GOVERNANCE.EVIDENCIA</t>
        </is>
      </c>
      <c r="B413" s="2" t="inlineStr">
        <is>
          <t>evidencia</t>
        </is>
      </c>
      <c r="C413" s="14">
        <f>IFERROR(IF(INDEX('01_Formulario_A06'!$D:$D,MATCH("D06-DOC-EGC-001.GOVERNANCE.EVIDENCIA",'01_Formulario_A06'!$A:$A,0))="","— (a preencher em 01_Formulario_A06)",INDEX('01_Formulario_A06'!$D:$D,MATCH("D06-DOC-EGC-001.GOVERNANCE.EVIDENCIA",'01_Formulario_A06'!$A:$A,0))),"— (a preencher em 01_Formulario_A06)")</f>
        <v/>
      </c>
    </row>
    <row r="414">
      <c r="A414" s="5" t="inlineStr">
        <is>
          <t>D06-DOC-RMI-001 — Registro Mestre de Identidades [PRE_PREENCHIDO/PENDENTE]</t>
        </is>
      </c>
      <c r="B414" s="6" t="n"/>
      <c r="C414" s="7" t="n"/>
    </row>
    <row r="415">
      <c r="A415" s="13" t="inlineStr">
        <is>
          <t>D06-DOC-RMI-001.SCHEMA.CANONICAL_ID</t>
        </is>
      </c>
      <c r="B415" s="2" t="inlineStr">
        <is>
          <t>canonical_id</t>
        </is>
      </c>
      <c r="C415" s="14">
        <f>IFERROR(IF(INDEX('01_Formulario_A06'!$D:$D,MATCH("D06-DOC-RMI-001.SCHEMA.CANONICAL_ID",'01_Formulario_A06'!$A:$A,0))="","— (a preencher em 01_Formulario_A06)",INDEX('01_Formulario_A06'!$D:$D,MATCH("D06-DOC-RMI-001.SCHEMA.CANONICAL_ID",'01_Formulario_A06'!$A:$A,0))),"— (a preencher em 01_Formulario_A06)")</f>
        <v/>
      </c>
    </row>
    <row r="416">
      <c r="A416" s="13" t="inlineStr">
        <is>
          <t>D06-DOC-RMI-001.SCHEMA.OBJECT_TYPE</t>
        </is>
      </c>
      <c r="B416" s="2" t="inlineStr">
        <is>
          <t>object_type</t>
        </is>
      </c>
      <c r="C416" s="14">
        <f>IFERROR(IF(INDEX('01_Formulario_A06'!$D:$D,MATCH("D06-DOC-RMI-001.SCHEMA.OBJECT_TYPE",'01_Formulario_A06'!$A:$A,0))="","— (a preencher em 01_Formulario_A06)",INDEX('01_Formulario_A06'!$D:$D,MATCH("D06-DOC-RMI-001.SCHEMA.OBJECT_TYPE",'01_Formulario_A06'!$A:$A,0))),"— (a preencher em 01_Formulario_A06)")</f>
        <v/>
      </c>
    </row>
    <row r="417">
      <c r="A417" s="13" t="inlineStr">
        <is>
          <t>D06-DOC-RMI-001.SCHEMA.DOMAIN_ID</t>
        </is>
      </c>
      <c r="B417" s="2" t="inlineStr">
        <is>
          <t>domain_id</t>
        </is>
      </c>
      <c r="C417" s="14">
        <f>IFERROR(IF(INDEX('01_Formulario_A06'!$D:$D,MATCH("D06-DOC-RMI-001.SCHEMA.DOMAIN_ID",'01_Formulario_A06'!$A:$A,0))="","— (a preencher em 01_Formulario_A06)",INDEX('01_Formulario_A06'!$D:$D,MATCH("D06-DOC-RMI-001.SCHEMA.DOMAIN_ID",'01_Formulario_A06'!$A:$A,0))),"— (a preencher em 01_Formulario_A06)")</f>
        <v/>
      </c>
    </row>
    <row r="418">
      <c r="A418" s="13" t="inlineStr">
        <is>
          <t>D06-DOC-RMI-001.SCHEMA.SUBAREA_ID</t>
        </is>
      </c>
      <c r="B418" s="2" t="inlineStr">
        <is>
          <t>subarea_id</t>
        </is>
      </c>
      <c r="C418" s="14">
        <f>IFERROR(IF(INDEX('01_Formulario_A06'!$D:$D,MATCH("D06-DOC-RMI-001.SCHEMA.SUBAREA_ID",'01_Formulario_A06'!$A:$A,0))="","— (a preencher em 01_Formulario_A06)",INDEX('01_Formulario_A06'!$D:$D,MATCH("D06-DOC-RMI-001.SCHEMA.SUBAREA_ID",'01_Formulario_A06'!$A:$A,0))),"— (a preencher em 01_Formulario_A06)")</f>
        <v/>
      </c>
    </row>
    <row r="419">
      <c r="A419" s="13" t="inlineStr">
        <is>
          <t>D06-DOC-RMI-001.SCHEMA.PARENT_ID</t>
        </is>
      </c>
      <c r="B419" s="2" t="inlineStr">
        <is>
          <t>parent_id</t>
        </is>
      </c>
      <c r="C419" s="14">
        <f>IFERROR(IF(INDEX('01_Formulario_A06'!$D:$D,MATCH("D06-DOC-RMI-001.SCHEMA.PARENT_ID",'01_Formulario_A06'!$A:$A,0))="","— (a preencher em 01_Formulario_A06)",INDEX('01_Formulario_A06'!$D:$D,MATCH("D06-DOC-RMI-001.SCHEMA.PARENT_ID",'01_Formulario_A06'!$A:$A,0))),"— (a preencher em 01_Formulario_A06)")</f>
        <v/>
      </c>
    </row>
    <row r="420">
      <c r="A420" s="13" t="inlineStr">
        <is>
          <t>D06-DOC-RMI-001.SCHEMA.CANONICAL_NAME</t>
        </is>
      </c>
      <c r="B420" s="2" t="inlineStr">
        <is>
          <t>canonical_name</t>
        </is>
      </c>
      <c r="C420" s="14">
        <f>IFERROR(IF(INDEX('01_Formulario_A06'!$D:$D,MATCH("D06-DOC-RMI-001.SCHEMA.CANONICAL_NAME",'01_Formulario_A06'!$A:$A,0))="","— (a preencher em 01_Formulario_A06)",INDEX('01_Formulario_A06'!$D:$D,MATCH("D06-DOC-RMI-001.SCHEMA.CANONICAL_NAME",'01_Formulario_A06'!$A:$A,0))),"— (a preencher em 01_Formulario_A06)")</f>
        <v/>
      </c>
    </row>
    <row r="421">
      <c r="A421" s="13" t="inlineStr">
        <is>
          <t>D06-DOC-RMI-001.SCHEMA.ALIASES</t>
        </is>
      </c>
      <c r="B421" s="2" t="inlineStr">
        <is>
          <t>aliases</t>
        </is>
      </c>
      <c r="C421" s="14">
        <f>IFERROR(IF(INDEX('01_Formulario_A06'!$D:$D,MATCH("D06-DOC-RMI-001.SCHEMA.ALIASES",'01_Formulario_A06'!$A:$A,0))="","— (a preencher em 01_Formulario_A06)",INDEX('01_Formulario_A06'!$D:$D,MATCH("D06-DOC-RMI-001.SCHEMA.ALIASES",'01_Formulario_A06'!$A:$A,0))),"— (a preencher em 01_Formulario_A06)")</f>
        <v/>
      </c>
    </row>
    <row r="422">
      <c r="A422" s="13" t="inlineStr">
        <is>
          <t>D06-DOC-RMI-001.SCHEMA.VERSION</t>
        </is>
      </c>
      <c r="B422" s="2" t="inlineStr">
        <is>
          <t>version</t>
        </is>
      </c>
      <c r="C422" s="14">
        <f>IFERROR(IF(INDEX('01_Formulario_A06'!$D:$D,MATCH("D06-DOC-RMI-001.SCHEMA.VERSION",'01_Formulario_A06'!$A:$A,0))="","— (a preencher em 01_Formulario_A06)",INDEX('01_Formulario_A06'!$D:$D,MATCH("D06-DOC-RMI-001.SCHEMA.VERSION",'01_Formulario_A06'!$A:$A,0))),"— (a preencher em 01_Formulario_A06)")</f>
        <v/>
      </c>
    </row>
    <row r="423">
      <c r="A423" s="13" t="inlineStr">
        <is>
          <t>D06-DOC-RMI-001.SCHEMA.STATUS</t>
        </is>
      </c>
      <c r="B423" s="2" t="inlineStr">
        <is>
          <t>status</t>
        </is>
      </c>
      <c r="C423" s="14">
        <f>IFERROR(IF(INDEX('01_Formulario_A06'!$D:$D,MATCH("D06-DOC-RMI-001.SCHEMA.STATUS",'01_Formulario_A06'!$A:$A,0))="","— (a preencher em 01_Formulario_A06)",INDEX('01_Formulario_A06'!$D:$D,MATCH("D06-DOC-RMI-001.SCHEMA.STATUS",'01_Formulario_A06'!$A:$A,0))),"— (a preencher em 01_Formulario_A06)")</f>
        <v/>
      </c>
    </row>
    <row r="424">
      <c r="A424" s="13" t="inlineStr">
        <is>
          <t>D06-DOC-RMI-001.SCHEMA.OWNER</t>
        </is>
      </c>
      <c r="B424" s="2" t="inlineStr">
        <is>
          <t>owner</t>
        </is>
      </c>
      <c r="C424" s="14">
        <f>IFERROR(IF(INDEX('01_Formulario_A06'!$D:$D,MATCH("D06-DOC-RMI-001.SCHEMA.OWNER",'01_Formulario_A06'!$A:$A,0))="","— (a preencher em 01_Formulario_A06)",INDEX('01_Formulario_A06'!$D:$D,MATCH("D06-DOC-RMI-001.SCHEMA.OWNER",'01_Formulario_A06'!$A:$A,0))),"— (a preencher em 01_Formulario_A06)")</f>
        <v/>
      </c>
    </row>
    <row r="425">
      <c r="A425" s="13" t="inlineStr">
        <is>
          <t>D06-DOC-RMI-001.SCHEMA.SOURCE</t>
        </is>
      </c>
      <c r="B425" s="2" t="inlineStr">
        <is>
          <t>source</t>
        </is>
      </c>
      <c r="C425" s="14">
        <f>IFERROR(IF(INDEX('01_Formulario_A06'!$D:$D,MATCH("D06-DOC-RMI-001.SCHEMA.SOURCE",'01_Formulario_A06'!$A:$A,0))="","— (a preencher em 01_Formulario_A06)",INDEX('01_Formulario_A06'!$D:$D,MATCH("D06-DOC-RMI-001.SCHEMA.SOURCE",'01_Formulario_A06'!$A:$A,0))),"— (a preencher em 01_Formulario_A06)")</f>
        <v/>
      </c>
    </row>
    <row r="426">
      <c r="A426" s="13" t="inlineStr">
        <is>
          <t>D06-DOC-RMI-001.SCHEMA.EVIDENCE</t>
        </is>
      </c>
      <c r="B426" s="2" t="inlineStr">
        <is>
          <t>evidence</t>
        </is>
      </c>
      <c r="C426" s="14">
        <f>IFERROR(IF(INDEX('01_Formulario_A06'!$D:$D,MATCH("D06-DOC-RMI-001.SCHEMA.EVIDENCE",'01_Formulario_A06'!$A:$A,0))="","— (a preencher em 01_Formulario_A06)",INDEX('01_Formulario_A06'!$D:$D,MATCH("D06-DOC-RMI-001.SCHEMA.EVIDENCE",'01_Formulario_A06'!$A:$A,0))),"— (a preencher em 01_Formulario_A06)")</f>
        <v/>
      </c>
    </row>
    <row r="427">
      <c r="A427" s="13" t="inlineStr">
        <is>
          <t>D06-DOC-RMI-001.SCHEMA.REPOSITORY</t>
        </is>
      </c>
      <c r="B427" s="2" t="inlineStr">
        <is>
          <t>repository</t>
        </is>
      </c>
      <c r="C427" s="14">
        <f>IFERROR(IF(INDEX('01_Formulario_A06'!$D:$D,MATCH("D06-DOC-RMI-001.SCHEMA.REPOSITORY",'01_Formulario_A06'!$A:$A,0))="","— (a preencher em 01_Formulario_A06)",INDEX('01_Formulario_A06'!$D:$D,MATCH("D06-DOC-RMI-001.SCHEMA.REPOSITORY",'01_Formulario_A06'!$A:$A,0))),"— (a preencher em 01_Formulario_A06)")</f>
        <v/>
      </c>
    </row>
    <row r="428">
      <c r="A428" s="13" t="inlineStr">
        <is>
          <t>D06-DOC-RMI-001.SCHEMA.LOCATION</t>
        </is>
      </c>
      <c r="B428" s="2" t="inlineStr">
        <is>
          <t>location</t>
        </is>
      </c>
      <c r="C428" s="14">
        <f>IFERROR(IF(INDEX('01_Formulario_A06'!$D:$D,MATCH("D06-DOC-RMI-001.SCHEMA.LOCATION",'01_Formulario_A06'!$A:$A,0))="","— (a preencher em 01_Formulario_A06)",INDEX('01_Formulario_A06'!$D:$D,MATCH("D06-DOC-RMI-001.SCHEMA.LOCATION",'01_Formulario_A06'!$A:$A,0))),"— (a preencher em 01_Formulario_A06)")</f>
        <v/>
      </c>
    </row>
    <row r="429">
      <c r="A429" s="13" t="inlineStr">
        <is>
          <t>D06-DOC-RMI-001.SCHEMA.DEPENDS_ON</t>
        </is>
      </c>
      <c r="B429" s="2" t="inlineStr">
        <is>
          <t>depends_on</t>
        </is>
      </c>
      <c r="C429" s="14">
        <f>IFERROR(IF(INDEX('01_Formulario_A06'!$D:$D,MATCH("D06-DOC-RMI-001.SCHEMA.DEPENDS_ON",'01_Formulario_A06'!$A:$A,0))="","— (a preencher em 01_Formulario_A06)",INDEX('01_Formulario_A06'!$D:$D,MATCH("D06-DOC-RMI-001.SCHEMA.DEPENDS_ON",'01_Formulario_A06'!$A:$A,0))),"— (a preencher em 01_Formulario_A06)")</f>
        <v/>
      </c>
    </row>
    <row r="430">
      <c r="A430" s="13" t="inlineStr">
        <is>
          <t>D06-DOC-RMI-001.SCHEMA.BLOCKS</t>
        </is>
      </c>
      <c r="B430" s="2" t="inlineStr">
        <is>
          <t>blocks</t>
        </is>
      </c>
      <c r="C430" s="14">
        <f>IFERROR(IF(INDEX('01_Formulario_A06'!$D:$D,MATCH("D06-DOC-RMI-001.SCHEMA.BLOCKS",'01_Formulario_A06'!$A:$A,0))="","— (a preencher em 01_Formulario_A06)",INDEX('01_Formulario_A06'!$D:$D,MATCH("D06-DOC-RMI-001.SCHEMA.BLOCKS",'01_Formulario_A06'!$A:$A,0))),"— (a preencher em 01_Formulario_A06)")</f>
        <v/>
      </c>
    </row>
    <row r="431">
      <c r="A431" s="13" t="inlineStr">
        <is>
          <t>D06-DOC-RMI-001.SCHEMA.SUPERSEDES</t>
        </is>
      </c>
      <c r="B431" s="2" t="inlineStr">
        <is>
          <t>supersedes</t>
        </is>
      </c>
      <c r="C431" s="14">
        <f>IFERROR(IF(INDEX('01_Formulario_A06'!$D:$D,MATCH("D06-DOC-RMI-001.SCHEMA.SUPERSEDES",'01_Formulario_A06'!$A:$A,0))="","— (a preencher em 01_Formulario_A06)",INDEX('01_Formulario_A06'!$D:$D,MATCH("D06-DOC-RMI-001.SCHEMA.SUPERSEDES",'01_Formulario_A06'!$A:$A,0))),"— (a preencher em 01_Formulario_A06)")</f>
        <v/>
      </c>
    </row>
    <row r="432">
      <c r="A432" s="13" t="inlineStr">
        <is>
          <t>D06-DOC-RMI-001.SCHEMA.CREATED_AT</t>
        </is>
      </c>
      <c r="B432" s="2" t="inlineStr">
        <is>
          <t>created_at</t>
        </is>
      </c>
      <c r="C432" s="14">
        <f>IFERROR(IF(INDEX('01_Formulario_A06'!$D:$D,MATCH("D06-DOC-RMI-001.SCHEMA.CREATED_AT",'01_Formulario_A06'!$A:$A,0))="","— (a preencher em 01_Formulario_A06)",INDEX('01_Formulario_A06'!$D:$D,MATCH("D06-DOC-RMI-001.SCHEMA.CREATED_AT",'01_Formulario_A06'!$A:$A,0))),"— (a preencher em 01_Formulario_A06)")</f>
        <v/>
      </c>
    </row>
    <row r="433">
      <c r="A433" s="13" t="inlineStr">
        <is>
          <t>D06-DOC-RMI-001.SCHEMA.UPDATED_AT</t>
        </is>
      </c>
      <c r="B433" s="2" t="inlineStr">
        <is>
          <t>updated_at</t>
        </is>
      </c>
      <c r="C433" s="14">
        <f>IFERROR(IF(INDEX('01_Formulario_A06'!$D:$D,MATCH("D06-DOC-RMI-001.SCHEMA.UPDATED_AT",'01_Formulario_A06'!$A:$A,0))="","— (a preencher em 01_Formulario_A06)",INDEX('01_Formulario_A06'!$D:$D,MATCH("D06-DOC-RMI-001.SCHEMA.UPDATED_AT",'01_Formulario_A06'!$A:$A,0))),"— (a preencher em 01_Formulario_A06)")</f>
        <v/>
      </c>
    </row>
    <row r="434">
      <c r="A434" s="5" t="inlineStr">
        <is>
          <t>D07-DOC-PEX-001 — Plano de Execução [PRE_PREENCHIDO/PENDENTE]</t>
        </is>
      </c>
      <c r="B434" s="6" t="n"/>
      <c r="C434" s="7" t="n"/>
    </row>
    <row r="435">
      <c r="A435" s="13" t="inlineStr">
        <is>
          <t>D07-DOC-PEX-001.OBJECTIVES.OBJETIVO</t>
        </is>
      </c>
      <c r="B435" s="2" t="inlineStr">
        <is>
          <t>objetivo</t>
        </is>
      </c>
      <c r="C435" s="14">
        <f>IFERROR(IF(INDEX('01_Formulario_A09'!$D:$D,MATCH("D07-DOC-PEX-001.OBJECTIVES.OBJETIVO",'01_Formulario_A09'!$A:$A,0))="","— (a preencher em 01_Formulario_A09)",INDEX('01_Formulario_A09'!$D:$D,MATCH("D07-DOC-PEX-001.OBJECTIVES.OBJETIVO",'01_Formulario_A09'!$A:$A,0))),"— (a preencher em 01_Formulario_A09)")</f>
        <v/>
      </c>
    </row>
    <row r="436">
      <c r="A436" s="13" t="inlineStr">
        <is>
          <t>D07-DOC-PEX-001.OBJECTIVES.RESULTADO</t>
        </is>
      </c>
      <c r="B436" s="2" t="inlineStr">
        <is>
          <t>resultado</t>
        </is>
      </c>
      <c r="C436" s="14">
        <f>IFERROR(IF(INDEX('01_Formulario_A09'!$D:$D,MATCH("D07-DOC-PEX-001.OBJECTIVES.RESULTADO",'01_Formulario_A09'!$A:$A,0))="","— (a preencher em 01_Formulario_A09)",INDEX('01_Formulario_A09'!$D:$D,MATCH("D07-DOC-PEX-001.OBJECTIVES.RESULTADO",'01_Formulario_A09'!$A:$A,0))),"— (a preencher em 01_Formulario_A09)")</f>
        <v/>
      </c>
    </row>
    <row r="437">
      <c r="A437" s="13" t="inlineStr">
        <is>
          <t>D07-DOC-PEX-001.DELIVERABLES.ENTREGAVEL</t>
        </is>
      </c>
      <c r="B437" s="2" t="inlineStr">
        <is>
          <t>entregavel</t>
        </is>
      </c>
      <c r="C437" s="14">
        <f>IFERROR(IF(INDEX('01_Formulario_A09'!$D:$D,MATCH("D07-DOC-PEX-001.DELIVERABLES.ENTREGAVEL",'01_Formulario_A09'!$A:$A,0))="","— (a preencher em 01_Formulario_A09)",INDEX('01_Formulario_A09'!$D:$D,MATCH("D07-DOC-PEX-001.DELIVERABLES.ENTREGAVEL",'01_Formulario_A09'!$A:$A,0))),"— (a preencher em 01_Formulario_A09)")</f>
        <v/>
      </c>
    </row>
    <row r="438">
      <c r="A438" s="13" t="inlineStr">
        <is>
          <t>D07-DOC-PEX-001.DELIVERABLES.DOD</t>
        </is>
      </c>
      <c r="B438" s="2" t="inlineStr">
        <is>
          <t>dod</t>
        </is>
      </c>
      <c r="C438" s="14">
        <f>IFERROR(IF(INDEX('01_Formulario_A09'!$D:$D,MATCH("D07-DOC-PEX-001.DELIVERABLES.DOD",'01_Formulario_A09'!$A:$A,0))="","— (a preencher em 01_Formulario_A09)",INDEX('01_Formulario_A09'!$D:$D,MATCH("D07-DOC-PEX-001.DELIVERABLES.DOD",'01_Formulario_A09'!$A:$A,0))),"— (a preencher em 01_Formulario_A09)")</f>
        <v/>
      </c>
    </row>
    <row r="439">
      <c r="A439" s="13" t="inlineStr">
        <is>
          <t>D07-DOC-PEX-001.DELIVERABLES.EVIDENCIA</t>
        </is>
      </c>
      <c r="B439" s="2" t="inlineStr">
        <is>
          <t>evidencia</t>
        </is>
      </c>
      <c r="C439" s="14">
        <f>IFERROR(IF(INDEX('01_Formulario_A09'!$D:$D,MATCH("D07-DOC-PEX-001.DELIVERABLES.EVIDENCIA",'01_Formulario_A09'!$A:$A,0))="","— (a preencher em 01_Formulario_A09)",INDEX('01_Formulario_A09'!$D:$D,MATCH("D07-DOC-PEX-001.DELIVERABLES.EVIDENCIA",'01_Formulario_A09'!$A:$A,0))),"— (a preencher em 01_Formulario_A09)")</f>
        <v/>
      </c>
    </row>
    <row r="440">
      <c r="A440" s="13" t="inlineStr">
        <is>
          <t>D07-DOC-PEX-001.PORTFOLIO.PROJETO</t>
        </is>
      </c>
      <c r="B440" s="2" t="inlineStr">
        <is>
          <t>projeto</t>
        </is>
      </c>
      <c r="C440" s="14">
        <f>IFERROR(IF(INDEX('01_Formulario_A09'!$D:$D,MATCH("D07-DOC-PEX-001.PORTFOLIO.PROJETO",'01_Formulario_A09'!$A:$A,0))="","— (a preencher em 01_Formulario_A09)",INDEX('01_Formulario_A09'!$D:$D,MATCH("D07-DOC-PEX-001.PORTFOLIO.PROJETO",'01_Formulario_A09'!$A:$A,0))),"— (a preencher em 01_Formulario_A09)")</f>
        <v/>
      </c>
    </row>
    <row r="441">
      <c r="A441" s="13" t="inlineStr">
        <is>
          <t>D07-DOC-PEX-001.PORTFOLIO.PRIORIDADE</t>
        </is>
      </c>
      <c r="B441" s="2" t="inlineStr">
        <is>
          <t>prioridade</t>
        </is>
      </c>
      <c r="C441" s="14">
        <f>IFERROR(IF(INDEX('01_Formulario_A09'!$D:$D,MATCH("D07-DOC-PEX-001.PORTFOLIO.PRIORIDADE",'01_Formulario_A09'!$A:$A,0))="","— (a preencher em 01_Formulario_A09)",INDEX('01_Formulario_A09'!$D:$D,MATCH("D07-DOC-PEX-001.PORTFOLIO.PRIORIDADE",'01_Formulario_A09'!$A:$A,0))),"— (a preencher em 01_Formulario_A09)")</f>
        <v/>
      </c>
    </row>
    <row r="442">
      <c r="A442" s="13" t="inlineStr">
        <is>
          <t>D07-DOC-PEX-001.PORTFOLIO.ESTADO</t>
        </is>
      </c>
      <c r="B442" s="2" t="inlineStr">
        <is>
          <t>estado</t>
        </is>
      </c>
      <c r="C442" s="14">
        <f>IFERROR(IF(INDEX('01_Formulario_A09'!$D:$D,MATCH("D07-DOC-PEX-001.PORTFOLIO.ESTADO",'01_Formulario_A09'!$A:$A,0))="","— (a preencher em 01_Formulario_A09)",INDEX('01_Formulario_A09'!$D:$D,MATCH("D07-DOC-PEX-001.PORTFOLIO.ESTADO",'01_Formulario_A09'!$A:$A,0))),"— (a preencher em 01_Formulario_A09)")</f>
        <v/>
      </c>
    </row>
    <row r="443">
      <c r="A443" s="13" t="inlineStr">
        <is>
          <t>D07-DOC-PEX-001.DEPENDENCIES.UPSTREAM</t>
        </is>
      </c>
      <c r="B443" s="2" t="inlineStr">
        <is>
          <t>upstream</t>
        </is>
      </c>
      <c r="C443" s="14">
        <f>IFERROR(IF(INDEX('01_Formulario_A09'!$D:$D,MATCH("D07-DOC-PEX-001.DEPENDENCIES.UPSTREAM",'01_Formulario_A09'!$A:$A,0))="","— (a preencher em 01_Formulario_A09)",INDEX('01_Formulario_A09'!$D:$D,MATCH("D07-DOC-PEX-001.DEPENDENCIES.UPSTREAM",'01_Formulario_A09'!$A:$A,0))),"— (a preencher em 01_Formulario_A09)")</f>
        <v/>
      </c>
    </row>
    <row r="444">
      <c r="A444" s="13" t="inlineStr">
        <is>
          <t>D07-DOC-PEX-001.DEPENDENCIES.DOWNSTREAM</t>
        </is>
      </c>
      <c r="B444" s="2" t="inlineStr">
        <is>
          <t>downstream</t>
        </is>
      </c>
      <c r="C444" s="14">
        <f>IFERROR(IF(INDEX('01_Formulario_A09'!$D:$D,MATCH("D07-DOC-PEX-001.DEPENDENCIES.DOWNSTREAM",'01_Formulario_A09'!$A:$A,0))="","— (a preencher em 01_Formulario_A09)",INDEX('01_Formulario_A09'!$D:$D,MATCH("D07-DOC-PEX-001.DEPENDENCIES.DOWNSTREAM",'01_Formulario_A09'!$A:$A,0))),"— (a preencher em 01_Formulario_A09)")</f>
        <v/>
      </c>
    </row>
    <row r="445">
      <c r="A445" s="13" t="inlineStr">
        <is>
          <t>D07-DOC-PEX-001.CAPACITY.CAPACIDADE_BRUTA</t>
        </is>
      </c>
      <c r="B445" s="2" t="inlineStr">
        <is>
          <t>capacidade_bruta</t>
        </is>
      </c>
      <c r="C445" s="14">
        <f>IFERROR(IF(INDEX('01_Formulario_A09'!$D:$D,MATCH("D07-DOC-PEX-001.CAPACITY.CAPACIDADE_BRUTA",'01_Formulario_A09'!$A:$A,0))="","— (a preencher em 01_Formulario_A09)",INDEX('01_Formulario_A09'!$D:$D,MATCH("D07-DOC-PEX-001.CAPACITY.CAPACIDADE_BRUTA",'01_Formulario_A09'!$A:$A,0))),"— (a preencher em 01_Formulario_A09)")</f>
        <v/>
      </c>
    </row>
    <row r="446">
      <c r="A446" s="13" t="inlineStr">
        <is>
          <t>D07-DOC-PEX-001.CAPACITY.FIXA</t>
        </is>
      </c>
      <c r="B446" s="2" t="inlineStr">
        <is>
          <t>fixa</t>
        </is>
      </c>
      <c r="C446" s="14">
        <f>IFERROR(IF(INDEX('01_Formulario_A09'!$D:$D,MATCH("D07-DOC-PEX-001.CAPACITY.FIXA",'01_Formulario_A09'!$A:$A,0))="","— (a preencher em 01_Formulario_A09)",INDEX('01_Formulario_A09'!$D:$D,MATCH("D07-DOC-PEX-001.CAPACITY.FIXA",'01_Formulario_A09'!$A:$A,0))),"— (a preencher em 01_Formulario_A09)")</f>
        <v/>
      </c>
    </row>
    <row r="447">
      <c r="A447" s="13" t="inlineStr">
        <is>
          <t>D07-DOC-PEX-001.CAPACITY.LIQUIDA</t>
        </is>
      </c>
      <c r="B447" s="2" t="inlineStr">
        <is>
          <t>liquida</t>
        </is>
      </c>
      <c r="C447" s="14">
        <f>IFERROR(IF(INDEX('01_Formulario_A09'!$D:$D,MATCH("D07-DOC-PEX-001.CAPACITY.LIQUIDA",'01_Formulario_A09'!$A:$A,0))="","— (a preencher em 01_Formulario_A09)",INDEX('01_Formulario_A09'!$D:$D,MATCH("D07-DOC-PEX-001.CAPACITY.LIQUIDA",'01_Formulario_A09'!$A:$A,0))),"— (a preencher em 01_Formulario_A09)")</f>
        <v/>
      </c>
    </row>
    <row r="448">
      <c r="A448" s="13" t="inlineStr">
        <is>
          <t>D07-DOC-PEX-001.WIP.LIMITE</t>
        </is>
      </c>
      <c r="B448" s="2" t="inlineStr">
        <is>
          <t>limite</t>
        </is>
      </c>
      <c r="C448" s="14">
        <f>IFERROR(IF(INDEX('01_Formulario_A09'!$D:$D,MATCH("D07-DOC-PEX-001.WIP.LIMITE",'01_Formulario_A09'!$A:$A,0))="","— (a preencher em 01_Formulario_A09)",INDEX('01_Formulario_A09'!$D:$D,MATCH("D07-DOC-PEX-001.WIP.LIMITE",'01_Formulario_A09'!$A:$A,0))),"— (a preencher em 01_Formulario_A09)")</f>
        <v/>
      </c>
    </row>
    <row r="449">
      <c r="A449" s="13" t="inlineStr">
        <is>
          <t>D07-DOC-PEX-001.WIP.TRABALHO_ATIVO</t>
        </is>
      </c>
      <c r="B449" s="2" t="inlineStr">
        <is>
          <t>trabalho_ativo</t>
        </is>
      </c>
      <c r="C449" s="14">
        <f>IFERROR(IF(INDEX('01_Formulario_A09'!$D:$D,MATCH("D07-DOC-PEX-001.WIP.TRABALHO_ATIVO",'01_Formulario_A09'!$A:$A,0))="","— (a preencher em 01_Formulario_A09)",INDEX('01_Formulario_A09'!$D:$D,MATCH("D07-DOC-PEX-001.WIP.TRABALHO_ATIVO",'01_Formulario_A09'!$A:$A,0))),"— (a preencher em 01_Formulario_A09)")</f>
        <v/>
      </c>
    </row>
    <row r="450">
      <c r="A450" s="13" t="inlineStr">
        <is>
          <t>D07-DOC-PEX-001.BACKLOG.ITEM</t>
        </is>
      </c>
      <c r="B450" s="2" t="inlineStr">
        <is>
          <t>item</t>
        </is>
      </c>
      <c r="C450" s="14">
        <f>IFERROR(IF(INDEX('01_Formulario_A09'!$D:$D,MATCH("D07-DOC-PEX-001.BACKLOG.ITEM",'01_Formulario_A09'!$A:$A,0))="","— (a preencher em 01_Formulario_A09)",INDEX('01_Formulario_A09'!$D:$D,MATCH("D07-DOC-PEX-001.BACKLOG.ITEM",'01_Formulario_A09'!$A:$A,0))),"— (a preencher em 01_Formulario_A09)")</f>
        <v/>
      </c>
    </row>
    <row r="451">
      <c r="A451" s="13" t="inlineStr">
        <is>
          <t>D07-DOC-PEX-001.BACKLOG.PRIORIDADE</t>
        </is>
      </c>
      <c r="B451" s="2" t="inlineStr">
        <is>
          <t>prioridade</t>
        </is>
      </c>
      <c r="C451" s="14">
        <f>IFERROR(IF(INDEX('01_Formulario_A09'!$D:$D,MATCH("D07-DOC-PEX-001.BACKLOG.PRIORIDADE",'01_Formulario_A09'!$A:$A,0))="","— (a preencher em 01_Formulario_A09)",INDEX('01_Formulario_A09'!$D:$D,MATCH("D07-DOC-PEX-001.BACKLOG.PRIORIDADE",'01_Formulario_A09'!$A:$A,0))),"— (a preencher em 01_Formulario_A09)")</f>
        <v/>
      </c>
    </row>
    <row r="452">
      <c r="A452" s="13" t="inlineStr">
        <is>
          <t>D07-DOC-PEX-001.BACKLOG.ELEGIBILIDADE</t>
        </is>
      </c>
      <c r="B452" s="2" t="inlineStr">
        <is>
          <t>elegibilidade</t>
        </is>
      </c>
      <c r="C452" s="14">
        <f>IFERROR(IF(INDEX('01_Formulario_A09'!$D:$D,MATCH("D07-DOC-PEX-001.BACKLOG.ELEGIBILIDADE",'01_Formulario_A09'!$A:$A,0))="","— (a preencher em 01_Formulario_A09)",INDEX('01_Formulario_A09'!$D:$D,MATCH("D07-DOC-PEX-001.BACKLOG.ELEGIBILIDADE",'01_Formulario_A09'!$A:$A,0))),"— (a preencher em 01_Formulario_A09)")</f>
        <v/>
      </c>
    </row>
    <row r="453">
      <c r="A453" s="13" t="inlineStr">
        <is>
          <t>D07-DOC-PEX-001.SCHEDULE.CICLO</t>
        </is>
      </c>
      <c r="B453" s="2" t="inlineStr">
        <is>
          <t>ciclo</t>
        </is>
      </c>
      <c r="C453" s="14">
        <f>IFERROR(IF(INDEX('01_Formulario_A09'!$D:$D,MATCH("D07-DOC-PEX-001.SCHEDULE.CICLO",'01_Formulario_A09'!$A:$A,0))="","— (a preencher em 01_Formulario_A09)",INDEX('01_Formulario_A09'!$D:$D,MATCH("D07-DOC-PEX-001.SCHEDULE.CICLO",'01_Formulario_A09'!$A:$A,0))),"— (a preencher em 01_Formulario_A09)")</f>
        <v/>
      </c>
    </row>
    <row r="454">
      <c r="A454" s="13" t="inlineStr">
        <is>
          <t>D07-DOC-PEX-001.SCHEDULE.DATA</t>
        </is>
      </c>
      <c r="B454" s="2" t="inlineStr">
        <is>
          <t>data</t>
        </is>
      </c>
      <c r="C454" s="14">
        <f>IFERROR(IF(INDEX('01_Formulario_A09'!$D:$D,MATCH("D07-DOC-PEX-001.SCHEDULE.DATA",'01_Formulario_A09'!$A:$A,0))="","— (a preencher em 01_Formulario_A09)",INDEX('01_Formulario_A09'!$D:$D,MATCH("D07-DOC-PEX-001.SCHEDULE.DATA",'01_Formulario_A09'!$A:$A,0))),"— (a preencher em 01_Formulario_A09)")</f>
        <v/>
      </c>
    </row>
    <row r="455">
      <c r="A455" s="13" t="inlineStr">
        <is>
          <t>D07-DOC-PEX-001.SCHEDULE.MARCO</t>
        </is>
      </c>
      <c r="B455" s="2" t="inlineStr">
        <is>
          <t>marco</t>
        </is>
      </c>
      <c r="C455" s="14">
        <f>IFERROR(IF(INDEX('01_Formulario_A09'!$D:$D,MATCH("D07-DOC-PEX-001.SCHEDULE.MARCO",'01_Formulario_A09'!$A:$A,0))="","— (a preencher em 01_Formulario_A09)",INDEX('01_Formulario_A09'!$D:$D,MATCH("D07-DOC-PEX-001.SCHEDULE.MARCO",'01_Formulario_A09'!$A:$A,0))),"— (a preencher em 01_Formulario_A09)")</f>
        <v/>
      </c>
    </row>
    <row r="456">
      <c r="A456" s="13" t="inlineStr">
        <is>
          <t>D07-DOC-PEX-001.GATES.GATE</t>
        </is>
      </c>
      <c r="B456" s="2" t="inlineStr">
        <is>
          <t>gate</t>
        </is>
      </c>
      <c r="C456" s="14">
        <f>IFERROR(IF(INDEX('01_Formulario_A09'!$D:$D,MATCH("D07-DOC-PEX-001.GATES.GATE",'01_Formulario_A09'!$A:$A,0))="","— (a preencher em 01_Formulario_A09)",INDEX('01_Formulario_A09'!$D:$D,MATCH("D07-DOC-PEX-001.GATES.GATE",'01_Formulario_A09'!$A:$A,0))),"— (a preencher em 01_Formulario_A09)")</f>
        <v/>
      </c>
    </row>
    <row r="457">
      <c r="A457" s="13" t="inlineStr">
        <is>
          <t>D07-DOC-PEX-001.GATES.CRITERIO</t>
        </is>
      </c>
      <c r="B457" s="2" t="inlineStr">
        <is>
          <t>criterio</t>
        </is>
      </c>
      <c r="C457" s="14">
        <f>IFERROR(IF(INDEX('01_Formulario_A09'!$D:$D,MATCH("D07-DOC-PEX-001.GATES.CRITERIO",'01_Formulario_A09'!$A:$A,0))="","— (a preencher em 01_Formulario_A09)",INDEX('01_Formulario_A09'!$D:$D,MATCH("D07-DOC-PEX-001.GATES.CRITERIO",'01_Formulario_A09'!$A:$A,0))),"— (a preencher em 01_Formulario_A09)")</f>
        <v/>
      </c>
    </row>
    <row r="458">
      <c r="A458" s="13" t="inlineStr">
        <is>
          <t>D07-DOC-PEX-001.GATES.EVIDENCIA</t>
        </is>
      </c>
      <c r="B458" s="2" t="inlineStr">
        <is>
          <t>evidencia</t>
        </is>
      </c>
      <c r="C458" s="14">
        <f>IFERROR(IF(INDEX('01_Formulario_A09'!$D:$D,MATCH("D07-DOC-PEX-001.GATES.EVIDENCIA",'01_Formulario_A09'!$A:$A,0))="","— (a preencher em 01_Formulario_A09)",INDEX('01_Formulario_A09'!$D:$D,MATCH("D07-DOC-PEX-001.GATES.EVIDENCIA",'01_Formulario_A09'!$A:$A,0))),"— (a preencher em 01_Formulario_A09)")</f>
        <v/>
      </c>
    </row>
    <row r="459">
      <c r="A459" s="13" t="inlineStr">
        <is>
          <t>D07-DOC-PEX-001.RISKS.BLOQUEIO</t>
        </is>
      </c>
      <c r="B459" s="2" t="inlineStr">
        <is>
          <t>bloqueio</t>
        </is>
      </c>
      <c r="C459" s="14">
        <f>IFERROR(IF(INDEX('01_Formulario_A09'!$D:$D,MATCH("D07-DOC-PEX-001.RISKS.BLOQUEIO",'01_Formulario_A09'!$A:$A,0))="","— (a preencher em 01_Formulario_A09)",INDEX('01_Formulario_A09'!$D:$D,MATCH("D07-DOC-PEX-001.RISKS.BLOQUEIO",'01_Formulario_A09'!$A:$A,0))),"— (a preencher em 01_Formulario_A09)")</f>
        <v/>
      </c>
    </row>
    <row r="460">
      <c r="A460" s="13" t="inlineStr">
        <is>
          <t>D07-DOC-PEX-001.RISKS.IMPACTO</t>
        </is>
      </c>
      <c r="B460" s="2" t="inlineStr">
        <is>
          <t>impacto</t>
        </is>
      </c>
      <c r="C460" s="14">
        <f>IFERROR(IF(INDEX('01_Formulario_A09'!$D:$D,MATCH("D07-DOC-PEX-001.RISKS.IMPACTO",'01_Formulario_A09'!$A:$A,0))="","— (a preencher em 01_Formulario_A09)",INDEX('01_Formulario_A09'!$D:$D,MATCH("D07-DOC-PEX-001.RISKS.IMPACTO",'01_Formulario_A09'!$A:$A,0))),"— (a preencher em 01_Formulario_A09)")</f>
        <v/>
      </c>
    </row>
    <row r="461">
      <c r="A461" s="13" t="inlineStr">
        <is>
          <t>D07-DOC-PEX-001.RISKS.RESPOSTA</t>
        </is>
      </c>
      <c r="B461" s="2" t="inlineStr">
        <is>
          <t>resposta</t>
        </is>
      </c>
      <c r="C461" s="14">
        <f>IFERROR(IF(INDEX('01_Formulario_A09'!$D:$D,MATCH("D07-DOC-PEX-001.RISKS.RESPOSTA",'01_Formulario_A09'!$A:$A,0))="","— (a preencher em 01_Formulario_A09)",INDEX('01_Formulario_A09'!$D:$D,MATCH("D07-DOC-PEX-001.RISKS.RESPOSTA",'01_Formulario_A09'!$A:$A,0))),"— (a preencher em 01_Formulario_A09)")</f>
        <v/>
      </c>
    </row>
    <row r="462">
      <c r="A462" s="13" t="inlineStr">
        <is>
          <t>D07-DOC-PEX-001.VERIFICATION.CRITERIO_DE_ACEITE</t>
        </is>
      </c>
      <c r="B462" s="2" t="inlineStr">
        <is>
          <t>criterio_de_aceite</t>
        </is>
      </c>
      <c r="C462" s="14">
        <f>IFERROR(IF(INDEX('01_Formulario_A09'!$D:$D,MATCH("D07-DOC-PEX-001.VERIFICATION.CRITERIO_DE_ACEITE",'01_Formulario_A09'!$A:$A,0))="","— (a preencher em 01_Formulario_A09)",INDEX('01_Formulario_A09'!$D:$D,MATCH("D07-DOC-PEX-001.VERIFICATION.CRITERIO_DE_ACEITE",'01_Formulario_A09'!$A:$A,0))),"— (a preencher em 01_Formulario_A09)")</f>
        <v/>
      </c>
    </row>
    <row r="463">
      <c r="A463" s="13" t="inlineStr">
        <is>
          <t>D07-DOC-PEX-001.VERIFICATION.EVIDENCIA</t>
        </is>
      </c>
      <c r="B463" s="2" t="inlineStr">
        <is>
          <t>evidencia</t>
        </is>
      </c>
      <c r="C463" s="14">
        <f>IFERROR(IF(INDEX('01_Formulario_A09'!$D:$D,MATCH("D07-DOC-PEX-001.VERIFICATION.EVIDENCIA",'01_Formulario_A09'!$A:$A,0))="","— (a preencher em 01_Formulario_A09)",INDEX('01_Formulario_A09'!$D:$D,MATCH("D07-DOC-PEX-001.VERIFICATION.EVIDENCIA",'01_Formulario_A09'!$A:$A,0))),"— (a preencher em 01_Formulario_A09)")</f>
        <v/>
      </c>
    </row>
    <row r="464">
      <c r="A464" s="13" t="inlineStr">
        <is>
          <t>D07-DOC-PEX-001.PROGRESS.PLANEJADO</t>
        </is>
      </c>
      <c r="B464" s="2" t="inlineStr">
        <is>
          <t>planejado</t>
        </is>
      </c>
      <c r="C464" s="14">
        <f>IFERROR(IF(INDEX('01_Formulario_A09'!$D:$D,MATCH("D07-DOC-PEX-001.PROGRESS.PLANEJADO",'01_Formulario_A09'!$A:$A,0))="","— (a preencher em 01_Formulario_A09)",INDEX('01_Formulario_A09'!$D:$D,MATCH("D07-DOC-PEX-001.PROGRESS.PLANEJADO",'01_Formulario_A09'!$A:$A,0))),"— (a preencher em 01_Formulario_A09)")</f>
        <v/>
      </c>
    </row>
    <row r="465">
      <c r="A465" s="13" t="inlineStr">
        <is>
          <t>D07-DOC-PEX-001.PROGRESS.REALIZADO</t>
        </is>
      </c>
      <c r="B465" s="2" t="inlineStr">
        <is>
          <t>realizado</t>
        </is>
      </c>
      <c r="C465" s="14">
        <f>IFERROR(IF(INDEX('01_Formulario_A09'!$D:$D,MATCH("D07-DOC-PEX-001.PROGRESS.REALIZADO",'01_Formulario_A09'!$A:$A,0))="","— (a preencher em 01_Formulario_A09)",INDEX('01_Formulario_A09'!$D:$D,MATCH("D07-DOC-PEX-001.PROGRESS.REALIZADO",'01_Formulario_A09'!$A:$A,0))),"— (a preencher em 01_Formulario_A09)")</f>
        <v/>
      </c>
    </row>
    <row r="466">
      <c r="A466" s="13" t="inlineStr">
        <is>
          <t>D07-DOC-PEX-001.PROGRESS.RESTANTE</t>
        </is>
      </c>
      <c r="B466" s="2" t="inlineStr">
        <is>
          <t>restante</t>
        </is>
      </c>
      <c r="C466" s="14">
        <f>IFERROR(IF(INDEX('01_Formulario_A09'!$D:$D,MATCH("D07-DOC-PEX-001.PROGRESS.RESTANTE",'01_Formulario_A09'!$A:$A,0))="","— (a preencher em 01_Formulario_A09)",INDEX('01_Formulario_A09'!$D:$D,MATCH("D07-DOC-PEX-001.PROGRESS.RESTANTE",'01_Formulario_A09'!$A:$A,0))),"— (a preencher em 01_Formulario_A09)")</f>
        <v/>
      </c>
    </row>
    <row r="467">
      <c r="A467" s="5" t="inlineStr">
        <is>
          <t>D07-DOC-PIM-001 — Plano de Implementação e Marcos [PRE_PREENCHIDO/PENDENTE]</t>
        </is>
      </c>
      <c r="B467" s="6" t="n"/>
      <c r="C467" s="7" t="n"/>
    </row>
    <row r="468">
      <c r="A468" s="13" t="inlineStr">
        <is>
          <t>D07-DOC-PIM-001.IMPLEMENTATION_STRATEGY.ABORDAGEM</t>
        </is>
      </c>
      <c r="B468" s="2" t="inlineStr">
        <is>
          <t>abordagem</t>
        </is>
      </c>
      <c r="C468" s="14">
        <f>IFERROR(IF(INDEX('01_Formulario_A09'!$D:$D,MATCH("D07-DOC-PIM-001.IMPLEMENTATION_STRATEGY.ABORDAGEM",'01_Formulario_A09'!$A:$A,0))="","— (a preencher em 01_Formulario_A09)",INDEX('01_Formulario_A09'!$D:$D,MATCH("D07-DOC-PIM-001.IMPLEMENTATION_STRATEGY.ABORDAGEM",'01_Formulario_A09'!$A:$A,0))),"— (a preencher em 01_Formulario_A09)")</f>
        <v/>
      </c>
    </row>
    <row r="469">
      <c r="A469" s="13" t="inlineStr">
        <is>
          <t>D07-DOC-PIM-001.IMPLEMENTATION_STRATEGY.ONDAS</t>
        </is>
      </c>
      <c r="B469" s="2" t="inlineStr">
        <is>
          <t>ondas</t>
        </is>
      </c>
      <c r="C469" s="14">
        <f>IFERROR(IF(INDEX('01_Formulario_A09'!$D:$D,MATCH("D07-DOC-PIM-001.IMPLEMENTATION_STRATEGY.ONDAS",'01_Formulario_A09'!$A:$A,0))="","— (a preencher em 01_Formulario_A09)",INDEX('01_Formulario_A09'!$D:$D,MATCH("D07-DOC-PIM-001.IMPLEMENTATION_STRATEGY.ONDAS",'01_Formulario_A09'!$A:$A,0))),"— (a preencher em 01_Formulario_A09)")</f>
        <v/>
      </c>
    </row>
    <row r="470">
      <c r="A470" s="13" t="inlineStr">
        <is>
          <t>D07-DOC-PIM-001.MILESTONES.MARCO</t>
        </is>
      </c>
      <c r="B470" s="2" t="inlineStr">
        <is>
          <t>marco</t>
        </is>
      </c>
      <c r="C470" s="14">
        <f>IFERROR(IF(INDEX('01_Formulario_A09'!$D:$D,MATCH("D07-DOC-PIM-001.MILESTONES.MARCO",'01_Formulario_A09'!$A:$A,0))="","— (a preencher em 01_Formulario_A09)",INDEX('01_Formulario_A09'!$D:$D,MATCH("D07-DOC-PIM-001.MILESTONES.MARCO",'01_Formulario_A09'!$A:$A,0))),"— (a preencher em 01_Formulario_A09)")</f>
        <v/>
      </c>
    </row>
    <row r="471">
      <c r="A471" s="13" t="inlineStr">
        <is>
          <t>D07-DOC-PIM-001.MILESTONES.RESULTADO</t>
        </is>
      </c>
      <c r="B471" s="2" t="inlineStr">
        <is>
          <t>resultado</t>
        </is>
      </c>
      <c r="C471" s="14">
        <f>IFERROR(IF(INDEX('01_Formulario_A09'!$D:$D,MATCH("D07-DOC-PIM-001.MILESTONES.RESULTADO",'01_Formulario_A09'!$A:$A,0))="","— (a preencher em 01_Formulario_A09)",INDEX('01_Formulario_A09'!$D:$D,MATCH("D07-DOC-PIM-001.MILESTONES.RESULTADO",'01_Formulario_A09'!$A:$A,0))),"— (a preencher em 01_Formulario_A09)")</f>
        <v/>
      </c>
    </row>
    <row r="472">
      <c r="A472" s="13" t="inlineStr">
        <is>
          <t>D07-DOC-PIM-001.MILESTONES.CRITERIO</t>
        </is>
      </c>
      <c r="B472" s="2" t="inlineStr">
        <is>
          <t>criterio</t>
        </is>
      </c>
      <c r="C472" s="14">
        <f>IFERROR(IF(INDEX('01_Formulario_A09'!$D:$D,MATCH("D07-DOC-PIM-001.MILESTONES.CRITERIO",'01_Formulario_A09'!$A:$A,0))="","— (a preencher em 01_Formulario_A09)",INDEX('01_Formulario_A09'!$D:$D,MATCH("D07-DOC-PIM-001.MILESTONES.CRITERIO",'01_Formulario_A09'!$A:$A,0))),"— (a preencher em 01_Formulario_A09)")</f>
        <v/>
      </c>
    </row>
    <row r="473">
      <c r="A473" s="13" t="inlineStr">
        <is>
          <t>D07-DOC-PIM-001.WORK_PACKAGES.PACOTE</t>
        </is>
      </c>
      <c r="B473" s="2" t="inlineStr">
        <is>
          <t>pacote</t>
        </is>
      </c>
      <c r="C473" s="14">
        <f>IFERROR(IF(INDEX('01_Formulario_A09'!$D:$D,MATCH("D07-DOC-PIM-001.WORK_PACKAGES.PACOTE",'01_Formulario_A09'!$A:$A,0))="","— (a preencher em 01_Formulario_A09)",INDEX('01_Formulario_A09'!$D:$D,MATCH("D07-DOC-PIM-001.WORK_PACKAGES.PACOTE",'01_Formulario_A09'!$A:$A,0))),"— (a preencher em 01_Formulario_A09)")</f>
        <v/>
      </c>
    </row>
    <row r="474">
      <c r="A474" s="13" t="inlineStr">
        <is>
          <t>D07-DOC-PIM-001.WORK_PACKAGES.ENTREGAVEL</t>
        </is>
      </c>
      <c r="B474" s="2" t="inlineStr">
        <is>
          <t>entregavel</t>
        </is>
      </c>
      <c r="C474" s="14">
        <f>IFERROR(IF(INDEX('01_Formulario_A09'!$D:$D,MATCH("D07-DOC-PIM-001.WORK_PACKAGES.ENTREGAVEL",'01_Formulario_A09'!$A:$A,0))="","— (a preencher em 01_Formulario_A09)",INDEX('01_Formulario_A09'!$D:$D,MATCH("D07-DOC-PIM-001.WORK_PACKAGES.ENTREGAVEL",'01_Formulario_A09'!$A:$A,0))),"— (a preencher em 01_Formulario_A09)")</f>
        <v/>
      </c>
    </row>
    <row r="475">
      <c r="A475" s="13" t="inlineStr">
        <is>
          <t>D07-DOC-PIM-001.DEPENDENCIES.DEPENDENCIA</t>
        </is>
      </c>
      <c r="B475" s="2" t="inlineStr">
        <is>
          <t>dependencia</t>
        </is>
      </c>
      <c r="C475" s="14">
        <f>IFERROR(IF(INDEX('01_Formulario_A09'!$D:$D,MATCH("D07-DOC-PIM-001.DEPENDENCIES.DEPENDENCIA",'01_Formulario_A09'!$A:$A,0))="","— (a preencher em 01_Formulario_A09)",INDEX('01_Formulario_A09'!$D:$D,MATCH("D07-DOC-PIM-001.DEPENDENCIES.DEPENDENCIA",'01_Formulario_A09'!$A:$A,0))),"— (a preencher em 01_Formulario_A09)")</f>
        <v/>
      </c>
    </row>
    <row r="476">
      <c r="A476" s="13" t="inlineStr">
        <is>
          <t>D07-DOC-PIM-001.DEPENDENCIES.PRECONDICAO</t>
        </is>
      </c>
      <c r="B476" s="2" t="inlineStr">
        <is>
          <t>precondicao</t>
        </is>
      </c>
      <c r="C476" s="14">
        <f>IFERROR(IF(INDEX('01_Formulario_A09'!$D:$D,MATCH("D07-DOC-PIM-001.DEPENDENCIES.PRECONDICAO",'01_Formulario_A09'!$A:$A,0))="","— (a preencher em 01_Formulario_A09)",INDEX('01_Formulario_A09'!$D:$D,MATCH("D07-DOC-PIM-001.DEPENDENCIES.PRECONDICAO",'01_Formulario_A09'!$A:$A,0))),"— (a preencher em 01_Formulario_A09)")</f>
        <v/>
      </c>
    </row>
    <row r="477">
      <c r="A477" s="13" t="inlineStr">
        <is>
          <t>D07-DOC-PIM-001.RESOURCES.PESSOA</t>
        </is>
      </c>
      <c r="B477" s="2" t="inlineStr">
        <is>
          <t>pessoa</t>
        </is>
      </c>
      <c r="C477" s="14">
        <f>IFERROR(IF(INDEX('01_Formulario_A09'!$D:$D,MATCH("D07-DOC-PIM-001.RESOURCES.PESSOA",'01_Formulario_A09'!$A:$A,0))="","— (a preencher em 01_Formulario_A09)",INDEX('01_Formulario_A09'!$D:$D,MATCH("D07-DOC-PIM-001.RESOURCES.PESSOA",'01_Formulario_A09'!$A:$A,0))),"— (a preencher em 01_Formulario_A09)")</f>
        <v/>
      </c>
    </row>
    <row r="478">
      <c r="A478" s="13" t="inlineStr">
        <is>
          <t>D07-DOC-PIM-001.RESOURCES.SISTEMA</t>
        </is>
      </c>
      <c r="B478" s="2" t="inlineStr">
        <is>
          <t>sistema</t>
        </is>
      </c>
      <c r="C478" s="14">
        <f>IFERROR(IF(INDEX('01_Formulario_A09'!$D:$D,MATCH("D07-DOC-PIM-001.RESOURCES.SISTEMA",'01_Formulario_A09'!$A:$A,0))="","— (a preencher em 01_Formulario_A09)",INDEX('01_Formulario_A09'!$D:$D,MATCH("D07-DOC-PIM-001.RESOURCES.SISTEMA",'01_Formulario_A09'!$A:$A,0))),"— (a preencher em 01_Formulario_A09)")</f>
        <v/>
      </c>
    </row>
    <row r="479">
      <c r="A479" s="13" t="inlineStr">
        <is>
          <t>D07-DOC-PIM-001.RESOURCES.RECURSO</t>
        </is>
      </c>
      <c r="B479" s="2" t="inlineStr">
        <is>
          <t>recurso</t>
        </is>
      </c>
      <c r="C479" s="14">
        <f>IFERROR(IF(INDEX('01_Formulario_A09'!$D:$D,MATCH("D07-DOC-PIM-001.RESOURCES.RECURSO",'01_Formulario_A09'!$A:$A,0))="","— (a preencher em 01_Formulario_A09)",INDEX('01_Formulario_A09'!$D:$D,MATCH("D07-DOC-PIM-001.RESOURCES.RECURSO",'01_Formulario_A09'!$A:$A,0))),"— (a preencher em 01_Formulario_A09)")</f>
        <v/>
      </c>
    </row>
    <row r="480">
      <c r="A480" s="13" t="inlineStr">
        <is>
          <t>D07-DOC-PIM-001.SCHEDULE.INICIO</t>
        </is>
      </c>
      <c r="B480" s="2" t="inlineStr">
        <is>
          <t>inicio</t>
        </is>
      </c>
      <c r="C480" s="14">
        <f>IFERROR(IF(INDEX('01_Formulario_A09'!$D:$D,MATCH("D07-DOC-PIM-001.SCHEDULE.INICIO",'01_Formulario_A09'!$A:$A,0))="","— (a preencher em 01_Formulario_A09)",INDEX('01_Formulario_A09'!$D:$D,MATCH("D07-DOC-PIM-001.SCHEDULE.INICIO",'01_Formulario_A09'!$A:$A,0))),"— (a preencher em 01_Formulario_A09)")</f>
        <v/>
      </c>
    </row>
    <row r="481">
      <c r="A481" s="13" t="inlineStr">
        <is>
          <t>D07-DOC-PIM-001.SCHEDULE.FIM</t>
        </is>
      </c>
      <c r="B481" s="2" t="inlineStr">
        <is>
          <t>fim</t>
        </is>
      </c>
      <c r="C481" s="14">
        <f>IFERROR(IF(INDEX('01_Formulario_A09'!$D:$D,MATCH("D07-DOC-PIM-001.SCHEDULE.FIM",'01_Formulario_A09'!$A:$A,0))="","— (a preencher em 01_Formulario_A09)",INDEX('01_Formulario_A09'!$D:$D,MATCH("D07-DOC-PIM-001.SCHEDULE.FIM",'01_Formulario_A09'!$A:$A,0))),"— (a preencher em 01_Formulario_A09)")</f>
        <v/>
      </c>
    </row>
    <row r="482">
      <c r="A482" s="13" t="inlineStr">
        <is>
          <t>D07-DOC-PIM-001.SCHEDULE.CICLO</t>
        </is>
      </c>
      <c r="B482" s="2" t="inlineStr">
        <is>
          <t>ciclo</t>
        </is>
      </c>
      <c r="C482" s="14">
        <f>IFERROR(IF(INDEX('01_Formulario_A09'!$D:$D,MATCH("D07-DOC-PIM-001.SCHEDULE.CICLO",'01_Formulario_A09'!$A:$A,0))="","— (a preencher em 01_Formulario_A09)",INDEX('01_Formulario_A09'!$D:$D,MATCH("D07-DOC-PIM-001.SCHEDULE.CICLO",'01_Formulario_A09'!$A:$A,0))),"— (a preencher em 01_Formulario_A09)")</f>
        <v/>
      </c>
    </row>
    <row r="483">
      <c r="A483" s="13" t="inlineStr">
        <is>
          <t>D07-DOC-PIM-001.GATES.GATE</t>
        </is>
      </c>
      <c r="B483" s="2" t="inlineStr">
        <is>
          <t>gate</t>
        </is>
      </c>
      <c r="C483" s="14">
        <f>IFERROR(IF(INDEX('01_Formulario_A09'!$D:$D,MATCH("D07-DOC-PIM-001.GATES.GATE",'01_Formulario_A09'!$A:$A,0))="","— (a preencher em 01_Formulario_A09)",INDEX('01_Formulario_A09'!$D:$D,MATCH("D07-DOC-PIM-001.GATES.GATE",'01_Formulario_A09'!$A:$A,0))),"— (a preencher em 01_Formulario_A09)")</f>
        <v/>
      </c>
    </row>
    <row r="484">
      <c r="A484" s="13" t="inlineStr">
        <is>
          <t>D07-DOC-PIM-001.GATES.ENTRADA</t>
        </is>
      </c>
      <c r="B484" s="2" t="inlineStr">
        <is>
          <t>entrada</t>
        </is>
      </c>
      <c r="C484" s="14">
        <f>IFERROR(IF(INDEX('01_Formulario_A09'!$D:$D,MATCH("D07-DOC-PIM-001.GATES.ENTRADA",'01_Formulario_A09'!$A:$A,0))="","— (a preencher em 01_Formulario_A09)",INDEX('01_Formulario_A09'!$D:$D,MATCH("D07-DOC-PIM-001.GATES.ENTRADA",'01_Formulario_A09'!$A:$A,0))),"— (a preencher em 01_Formulario_A09)")</f>
        <v/>
      </c>
    </row>
    <row r="485">
      <c r="A485" s="13" t="inlineStr">
        <is>
          <t>D07-DOC-PIM-001.GATES.SAIDA</t>
        </is>
      </c>
      <c r="B485" s="2" t="inlineStr">
        <is>
          <t>saida</t>
        </is>
      </c>
      <c r="C485" s="14">
        <f>IFERROR(IF(INDEX('01_Formulario_A09'!$D:$D,MATCH("D07-DOC-PIM-001.GATES.SAIDA",'01_Formulario_A09'!$A:$A,0))="","— (a preencher em 01_Formulario_A09)",INDEX('01_Formulario_A09'!$D:$D,MATCH("D07-DOC-PIM-001.GATES.SAIDA",'01_Formulario_A09'!$A:$A,0))),"— (a preencher em 01_Formulario_A09)")</f>
        <v/>
      </c>
    </row>
    <row r="486">
      <c r="A486" s="13" t="inlineStr">
        <is>
          <t>D07-DOC-PIM-001.ROLLOUT.PILOTO</t>
        </is>
      </c>
      <c r="B486" s="2" t="inlineStr">
        <is>
          <t>piloto</t>
        </is>
      </c>
      <c r="C486" s="14">
        <f>IFERROR(IF(INDEX('01_Formulario_A09'!$D:$D,MATCH("D07-DOC-PIM-001.ROLLOUT.PILOTO",'01_Formulario_A09'!$A:$A,0))="","— (a preencher em 01_Formulario_A09)",INDEX('01_Formulario_A09'!$D:$D,MATCH("D07-DOC-PIM-001.ROLLOUT.PILOTO",'01_Formulario_A09'!$A:$A,0))),"— (a preencher em 01_Formulario_A09)")</f>
        <v/>
      </c>
    </row>
    <row r="487">
      <c r="A487" s="13" t="inlineStr">
        <is>
          <t>D07-DOC-PIM-001.ROLLOUT.EXPANSAO</t>
        </is>
      </c>
      <c r="B487" s="2" t="inlineStr">
        <is>
          <t>expansao</t>
        </is>
      </c>
      <c r="C487" s="14">
        <f>IFERROR(IF(INDEX('01_Formulario_A09'!$D:$D,MATCH("D07-DOC-PIM-001.ROLLOUT.EXPANSAO",'01_Formulario_A09'!$A:$A,0))="","— (a preencher em 01_Formulario_A09)",INDEX('01_Formulario_A09'!$D:$D,MATCH("D07-DOC-PIM-001.ROLLOUT.EXPANSAO",'01_Formulario_A09'!$A:$A,0))),"— (a preencher em 01_Formulario_A09)")</f>
        <v/>
      </c>
    </row>
    <row r="488">
      <c r="A488" s="13" t="inlineStr">
        <is>
          <t>D07-DOC-PIM-001.HANDOFF.ORIGEM</t>
        </is>
      </c>
      <c r="B488" s="2" t="inlineStr">
        <is>
          <t>origem</t>
        </is>
      </c>
      <c r="C488" s="14">
        <f>IFERROR(IF(INDEX('01_Formulario_A09'!$D:$D,MATCH("D07-DOC-PIM-001.HANDOFF.ORIGEM",'01_Formulario_A09'!$A:$A,0))="","— (a preencher em 01_Formulario_A09)",INDEX('01_Formulario_A09'!$D:$D,MATCH("D07-DOC-PIM-001.HANDOFF.ORIGEM",'01_Formulario_A09'!$A:$A,0))),"— (a preencher em 01_Formulario_A09)")</f>
        <v/>
      </c>
    </row>
    <row r="489">
      <c r="A489" s="13" t="inlineStr">
        <is>
          <t>D07-DOC-PIM-001.HANDOFF.DESTINO</t>
        </is>
      </c>
      <c r="B489" s="2" t="inlineStr">
        <is>
          <t>destino</t>
        </is>
      </c>
      <c r="C489" s="14">
        <f>IFERROR(IF(INDEX('01_Formulario_A09'!$D:$D,MATCH("D07-DOC-PIM-001.HANDOFF.DESTINO",'01_Formulario_A09'!$A:$A,0))="","— (a preencher em 01_Formulario_A09)",INDEX('01_Formulario_A09'!$D:$D,MATCH("D07-DOC-PIM-001.HANDOFF.DESTINO",'01_Formulario_A09'!$A:$A,0))),"— (a preencher em 01_Formulario_A09)")</f>
        <v/>
      </c>
    </row>
    <row r="490">
      <c r="A490" s="13" t="inlineStr">
        <is>
          <t>D07-DOC-PIM-001.HANDOFF.CONTRATO</t>
        </is>
      </c>
      <c r="B490" s="2" t="inlineStr">
        <is>
          <t>contrato</t>
        </is>
      </c>
      <c r="C490" s="14">
        <f>IFERROR(IF(INDEX('01_Formulario_A09'!$D:$D,MATCH("D07-DOC-PIM-001.HANDOFF.CONTRATO",'01_Formulario_A09'!$A:$A,0))="","— (a preencher em 01_Formulario_A09)",INDEX('01_Formulario_A09'!$D:$D,MATCH("D07-DOC-PIM-001.HANDOFF.CONTRATO",'01_Formulario_A09'!$A:$A,0))),"— (a preencher em 01_Formulario_A09)")</f>
        <v/>
      </c>
    </row>
    <row r="491">
      <c r="A491" s="13" t="inlineStr">
        <is>
          <t>D07-DOC-PIM-001.VERIFICATION.TESTE</t>
        </is>
      </c>
      <c r="B491" s="2" t="inlineStr">
        <is>
          <t>teste</t>
        </is>
      </c>
      <c r="C491" s="14">
        <f>IFERROR(IF(INDEX('01_Formulario_A09'!$D:$D,MATCH("D07-DOC-PIM-001.VERIFICATION.TESTE",'01_Formulario_A09'!$A:$A,0))="","— (a preencher em 01_Formulario_A09)",INDEX('01_Formulario_A09'!$D:$D,MATCH("D07-DOC-PIM-001.VERIFICATION.TESTE",'01_Formulario_A09'!$A:$A,0))),"— (a preencher em 01_Formulario_A09)")</f>
        <v/>
      </c>
    </row>
    <row r="492">
      <c r="A492" s="13" t="inlineStr">
        <is>
          <t>D07-DOC-PIM-001.VERIFICATION.EVIDENCIA</t>
        </is>
      </c>
      <c r="B492" s="2" t="inlineStr">
        <is>
          <t>evidencia</t>
        </is>
      </c>
      <c r="C492" s="14">
        <f>IFERROR(IF(INDEX('01_Formulario_A09'!$D:$D,MATCH("D07-DOC-PIM-001.VERIFICATION.EVIDENCIA",'01_Formulario_A09'!$A:$A,0))="","— (a preencher em 01_Formulario_A09)",INDEX('01_Formulario_A09'!$D:$D,MATCH("D07-DOC-PIM-001.VERIFICATION.EVIDENCIA",'01_Formulario_A09'!$A:$A,0))),"— (a preencher em 01_Formulario_A09)")</f>
        <v/>
      </c>
    </row>
    <row r="493">
      <c r="A493" s="13" t="inlineStr">
        <is>
          <t>D07-DOC-PIM-001.ROLLBACK.CONDICAO</t>
        </is>
      </c>
      <c r="B493" s="2" t="inlineStr">
        <is>
          <t>condicao</t>
        </is>
      </c>
      <c r="C493" s="14">
        <f>IFERROR(IF(INDEX('01_Formulario_A09'!$D:$D,MATCH("D07-DOC-PIM-001.ROLLBACK.CONDICAO",'01_Formulario_A09'!$A:$A,0))="","— (a preencher em 01_Formulario_A09)",INDEX('01_Formulario_A09'!$D:$D,MATCH("D07-DOC-PIM-001.ROLLBACK.CONDICAO",'01_Formulario_A09'!$A:$A,0))),"— (a preencher em 01_Formulario_A09)")</f>
        <v/>
      </c>
    </row>
    <row r="494">
      <c r="A494" s="13" t="inlineStr">
        <is>
          <t>D07-DOC-PIM-001.ROLLBACK.PROCEDIMENTO</t>
        </is>
      </c>
      <c r="B494" s="2" t="inlineStr">
        <is>
          <t>procedimento</t>
        </is>
      </c>
      <c r="C494" s="14">
        <f>IFERROR(IF(INDEX('01_Formulario_A09'!$D:$D,MATCH("D07-DOC-PIM-001.ROLLBACK.PROCEDIMENTO",'01_Formulario_A09'!$A:$A,0))="","— (a preencher em 01_Formulario_A09)",INDEX('01_Formulario_A09'!$D:$D,MATCH("D07-DOC-PIM-001.ROLLBACK.PROCEDIMENTO",'01_Formulario_A09'!$A:$A,0))),"— (a preencher em 01_Formulario_A09)")</f>
        <v/>
      </c>
    </row>
    <row r="495">
      <c r="A495" s="5" t="inlineStr">
        <is>
          <t>D08-DOC-MOP-001 — Manual de Operações [PRE_PREENCHIDO/PENDENTE]</t>
        </is>
      </c>
      <c r="B495" s="6" t="n"/>
      <c r="C495" s="7" t="n"/>
    </row>
    <row r="496">
      <c r="A496" s="13" t="inlineStr">
        <is>
          <t>D08-DOC-MOP-001.OPERATING_MODEL.SERVICOS</t>
        </is>
      </c>
      <c r="B496" s="2" t="inlineStr">
        <is>
          <t>servicos</t>
        </is>
      </c>
      <c r="C496" s="14">
        <f>IFERROR(IF(INDEX('01_Formulario_A05'!$D:$D,MATCH("D08-DOC-MOP-001.OPERATING_MODEL.SERVICOS",'01_Formulario_A05'!$A:$A,0))="","— (a preencher em 01_Formulario_A05)",INDEX('01_Formulario_A05'!$D:$D,MATCH("D08-DOC-MOP-001.OPERATING_MODEL.SERVICOS",'01_Formulario_A05'!$A:$A,0))),"— (a preencher em 01_Formulario_A05)")</f>
        <v/>
      </c>
    </row>
    <row r="497">
      <c r="A497" s="13" t="inlineStr">
        <is>
          <t>D08-DOC-MOP-001.OPERATING_MODEL.PROCESSOS</t>
        </is>
      </c>
      <c r="B497" s="2" t="inlineStr">
        <is>
          <t>processos</t>
        </is>
      </c>
      <c r="C497" s="14">
        <f>IFERROR(IF(INDEX('01_Formulario_A05'!$D:$D,MATCH("D08-DOC-MOP-001.OPERATING_MODEL.PROCESSOS",'01_Formulario_A05'!$A:$A,0))="","— (a preencher em 01_Formulario_A05)",INDEX('01_Formulario_A05'!$D:$D,MATCH("D08-DOC-MOP-001.OPERATING_MODEL.PROCESSOS",'01_Formulario_A05'!$A:$A,0))),"— (a preencher em 01_Formulario_A05)")</f>
        <v/>
      </c>
    </row>
    <row r="498">
      <c r="A498" s="13" t="inlineStr">
        <is>
          <t>D08-DOC-MOP-001.PROCESS_INVENTORY.PROCESSO</t>
        </is>
      </c>
      <c r="B498" s="2" t="inlineStr">
        <is>
          <t>processo</t>
        </is>
      </c>
      <c r="C498" s="14">
        <f>IFERROR(IF(INDEX('01_Formulario_A05'!$D:$D,MATCH("D08-DOC-MOP-001.PROCESS_INVENTORY.PROCESSO",'01_Formulario_A05'!$A:$A,0))="","— (a preencher em 01_Formulario_A05)",INDEX('01_Formulario_A05'!$D:$D,MATCH("D08-DOC-MOP-001.PROCESS_INVENTORY.PROCESSO",'01_Formulario_A05'!$A:$A,0))),"— (a preencher em 01_Formulario_A05)")</f>
        <v/>
      </c>
    </row>
    <row r="499">
      <c r="A499" s="13" t="inlineStr">
        <is>
          <t>D08-DOC-MOP-001.PROCESS_INVENTORY.OBJETIVO</t>
        </is>
      </c>
      <c r="B499" s="2" t="inlineStr">
        <is>
          <t>objetivo</t>
        </is>
      </c>
      <c r="C499" s="14">
        <f>IFERROR(IF(INDEX('01_Formulario_A05'!$D:$D,MATCH("D08-DOC-MOP-001.PROCESS_INVENTORY.OBJETIVO",'01_Formulario_A05'!$A:$A,0))="","— (a preencher em 01_Formulario_A05)",INDEX('01_Formulario_A05'!$D:$D,MATCH("D08-DOC-MOP-001.PROCESS_INVENTORY.OBJETIVO",'01_Formulario_A05'!$A:$A,0))),"— (a preencher em 01_Formulario_A05)")</f>
        <v/>
      </c>
    </row>
    <row r="500">
      <c r="A500" s="13" t="inlineStr">
        <is>
          <t>D08-DOC-MOP-001.PROCESS_INVENTORY.OWNER</t>
        </is>
      </c>
      <c r="B500" s="2" t="inlineStr">
        <is>
          <t>owner</t>
        </is>
      </c>
      <c r="C500" s="14">
        <f>IFERROR(IF(INDEX('01_Formulario_A05'!$D:$D,MATCH("D08-DOC-MOP-001.PROCESS_INVENTORY.OWNER",'01_Formulario_A05'!$A:$A,0))="","— (a preencher em 01_Formulario_A05)",INDEX('01_Formulario_A05'!$D:$D,MATCH("D08-DOC-MOP-001.PROCESS_INVENTORY.OWNER",'01_Formulario_A05'!$A:$A,0))),"— (a preencher em 01_Formulario_A05)")</f>
        <v/>
      </c>
    </row>
    <row r="501">
      <c r="A501" s="13" t="inlineStr">
        <is>
          <t>D08-DOC-MOP-001.INPUTS.ENTRADA</t>
        </is>
      </c>
      <c r="B501" s="2" t="inlineStr">
        <is>
          <t>entrada</t>
        </is>
      </c>
      <c r="C501" s="14">
        <f>IFERROR(IF(INDEX('01_Formulario_A05'!$D:$D,MATCH("D08-DOC-MOP-001.INPUTS.ENTRADA",'01_Formulario_A05'!$A:$A,0))="","— (a preencher em 01_Formulario_A05)",INDEX('01_Formulario_A05'!$D:$D,MATCH("D08-DOC-MOP-001.INPUTS.ENTRADA",'01_Formulario_A05'!$A:$A,0))),"— (a preencher em 01_Formulario_A05)")</f>
        <v/>
      </c>
    </row>
    <row r="502">
      <c r="A502" s="13" t="inlineStr">
        <is>
          <t>D08-DOC-MOP-001.INPUTS.ORIGEM</t>
        </is>
      </c>
      <c r="B502" s="2" t="inlineStr">
        <is>
          <t>origem</t>
        </is>
      </c>
      <c r="C502" s="14">
        <f>IFERROR(IF(INDEX('01_Formulario_A05'!$D:$D,MATCH("D08-DOC-MOP-001.INPUTS.ORIGEM",'01_Formulario_A05'!$A:$A,0))="","— (a preencher em 01_Formulario_A05)",INDEX('01_Formulario_A05'!$D:$D,MATCH("D08-DOC-MOP-001.INPUTS.ORIGEM",'01_Formulario_A05'!$A:$A,0))),"— (a preencher em 01_Formulario_A05)")</f>
        <v/>
      </c>
    </row>
    <row r="503">
      <c r="A503" s="13" t="inlineStr">
        <is>
          <t>D08-DOC-MOP-001.PROCEDURES.ETAPAS</t>
        </is>
      </c>
      <c r="B503" s="2" t="inlineStr">
        <is>
          <t>etapas</t>
        </is>
      </c>
      <c r="C503" s="14">
        <f>IFERROR(IF(INDEX('01_Formulario_A05'!$D:$D,MATCH("D08-DOC-MOP-001.PROCEDURES.ETAPAS",'01_Formulario_A05'!$A:$A,0))="","— (a preencher em 01_Formulario_A05)",INDEX('01_Formulario_A05'!$D:$D,MATCH("D08-DOC-MOP-001.PROCEDURES.ETAPAS",'01_Formulario_A05'!$A:$A,0))),"— (a preencher em 01_Formulario_A05)")</f>
        <v/>
      </c>
    </row>
    <row r="504">
      <c r="A504" s="13" t="inlineStr">
        <is>
          <t>D08-DOC-MOP-001.PROCEDURES.REGRA</t>
        </is>
      </c>
      <c r="B504" s="2" t="inlineStr">
        <is>
          <t>regra</t>
        </is>
      </c>
      <c r="C504" s="14">
        <f>IFERROR(IF(INDEX('01_Formulario_A05'!$D:$D,MATCH("D08-DOC-MOP-001.PROCEDURES.REGRA",'01_Formulario_A05'!$A:$A,0))="","— (a preencher em 01_Formulario_A05)",INDEX('01_Formulario_A05'!$D:$D,MATCH("D08-DOC-MOP-001.PROCEDURES.REGRA",'01_Formulario_A05'!$A:$A,0))),"— (a preencher em 01_Formulario_A05)")</f>
        <v/>
      </c>
    </row>
    <row r="505">
      <c r="A505" s="13" t="inlineStr">
        <is>
          <t>D08-DOC-MOP-001.OUTPUTS.SAIDA</t>
        </is>
      </c>
      <c r="B505" s="2" t="inlineStr">
        <is>
          <t>saida</t>
        </is>
      </c>
      <c r="C505" s="14">
        <f>IFERROR(IF(INDEX('01_Formulario_A05'!$D:$D,MATCH("D08-DOC-MOP-001.OUTPUTS.SAIDA",'01_Formulario_A05'!$A:$A,0))="","— (a preencher em 01_Formulario_A05)",INDEX('01_Formulario_A05'!$D:$D,MATCH("D08-DOC-MOP-001.OUTPUTS.SAIDA",'01_Formulario_A05'!$A:$A,0))),"— (a preencher em 01_Formulario_A05)")</f>
        <v/>
      </c>
    </row>
    <row r="506">
      <c r="A506" s="13" t="inlineStr">
        <is>
          <t>D08-DOC-MOP-001.OUTPUTS.CONSUMIDOR</t>
        </is>
      </c>
      <c r="B506" s="2" t="inlineStr">
        <is>
          <t>consumidor</t>
        </is>
      </c>
      <c r="C506" s="14">
        <f>IFERROR(IF(INDEX('01_Formulario_A05'!$D:$D,MATCH("D08-DOC-MOP-001.OUTPUTS.CONSUMIDOR",'01_Formulario_A05'!$A:$A,0))="","— (a preencher em 01_Formulario_A05)",INDEX('01_Formulario_A05'!$D:$D,MATCH("D08-DOC-MOP-001.OUTPUTS.CONSUMIDOR",'01_Formulario_A05'!$A:$A,0))),"— (a preencher em 01_Formulario_A05)")</f>
        <v/>
      </c>
    </row>
    <row r="507">
      <c r="A507" s="13" t="inlineStr">
        <is>
          <t>D08-DOC-MOP-001.ROLES.EXECUTOR</t>
        </is>
      </c>
      <c r="B507" s="2" t="inlineStr">
        <is>
          <t>executor</t>
        </is>
      </c>
      <c r="C507" s="14">
        <f>IFERROR(IF(INDEX('01_Formulario_A05'!$D:$D,MATCH("D08-DOC-MOP-001.ROLES.EXECUTOR",'01_Formulario_A05'!$A:$A,0))="","— (a preencher em 01_Formulario_A05)",INDEX('01_Formulario_A05'!$D:$D,MATCH("D08-DOC-MOP-001.ROLES.EXECUTOR",'01_Formulario_A05'!$A:$A,0))),"— (a preencher em 01_Formulario_A05)")</f>
        <v/>
      </c>
    </row>
    <row r="508">
      <c r="A508" s="13" t="inlineStr">
        <is>
          <t>D08-DOC-MOP-001.ROLES.APROVADOR</t>
        </is>
      </c>
      <c r="B508" s="2" t="inlineStr">
        <is>
          <t>aprovador</t>
        </is>
      </c>
      <c r="C508" s="14">
        <f>IFERROR(IF(INDEX('01_Formulario_A05'!$D:$D,MATCH("D08-DOC-MOP-001.ROLES.APROVADOR",'01_Formulario_A05'!$A:$A,0))="","— (a preencher em 01_Formulario_A05)",INDEX('01_Formulario_A05'!$D:$D,MATCH("D08-DOC-MOP-001.ROLES.APROVADOR",'01_Formulario_A05'!$A:$A,0))),"— (a preencher em 01_Formulario_A05)")</f>
        <v/>
      </c>
    </row>
    <row r="509">
      <c r="A509" s="13" t="inlineStr">
        <is>
          <t>D08-DOC-MOP-001.CONTROLS.CONTROLE</t>
        </is>
      </c>
      <c r="B509" s="2" t="inlineStr">
        <is>
          <t>controle</t>
        </is>
      </c>
      <c r="C509" s="14">
        <f>IFERROR(IF(INDEX('01_Formulario_A05'!$D:$D,MATCH("D08-DOC-MOP-001.CONTROLS.CONTROLE",'01_Formulario_A05'!$A:$A,0))="","— (a preencher em 01_Formulario_A05)",INDEX('01_Formulario_A05'!$D:$D,MATCH("D08-DOC-MOP-001.CONTROLS.CONTROLE",'01_Formulario_A05'!$A:$A,0))),"— (a preencher em 01_Formulario_A05)")</f>
        <v/>
      </c>
    </row>
    <row r="510">
      <c r="A510" s="13" t="inlineStr">
        <is>
          <t>D08-DOC-MOP-001.CONTROLS.FREQUENCIA</t>
        </is>
      </c>
      <c r="B510" s="2" t="inlineStr">
        <is>
          <t>frequencia</t>
        </is>
      </c>
      <c r="C510" s="14">
        <f>IFERROR(IF(INDEX('01_Formulario_A05'!$D:$D,MATCH("D08-DOC-MOP-001.CONTROLS.FREQUENCIA",'01_Formulario_A05'!$A:$A,0))="","— (a preencher em 01_Formulario_A05)",INDEX('01_Formulario_A05'!$D:$D,MATCH("D08-DOC-MOP-001.CONTROLS.FREQUENCIA",'01_Formulario_A05'!$A:$A,0))),"— (a preencher em 01_Formulario_A05)")</f>
        <v/>
      </c>
    </row>
    <row r="511">
      <c r="A511" s="13" t="inlineStr">
        <is>
          <t>D08-DOC-MOP-001.SLA.SERVICO</t>
        </is>
      </c>
      <c r="B511" s="2" t="inlineStr">
        <is>
          <t>servico</t>
        </is>
      </c>
      <c r="C511" s="14">
        <f>IFERROR(IF(INDEX('01_Formulario_A05'!$D:$D,MATCH("D08-DOC-MOP-001.SLA.SERVICO",'01_Formulario_A05'!$A:$A,0))="","— (a preencher em 01_Formulario_A05)",INDEX('01_Formulario_A05'!$D:$D,MATCH("D08-DOC-MOP-001.SLA.SERVICO",'01_Formulario_A05'!$A:$A,0))),"— (a preencher em 01_Formulario_A05)")</f>
        <v/>
      </c>
    </row>
    <row r="512">
      <c r="A512" s="13" t="inlineStr">
        <is>
          <t>D08-DOC-MOP-001.SLA.META</t>
        </is>
      </c>
      <c r="B512" s="2" t="inlineStr">
        <is>
          <t>meta</t>
        </is>
      </c>
      <c r="C512" s="14">
        <f>IFERROR(IF(INDEX('01_Formulario_A05'!$D:$D,MATCH("D08-DOC-MOP-001.SLA.META",'01_Formulario_A05'!$A:$A,0))="","— (a preencher em 01_Formulario_A05)",INDEX('01_Formulario_A05'!$D:$D,MATCH("D08-DOC-MOP-001.SLA.META",'01_Formulario_A05'!$A:$A,0))),"— (a preencher em 01_Formulario_A05)")</f>
        <v/>
      </c>
    </row>
    <row r="513">
      <c r="A513" s="13" t="inlineStr">
        <is>
          <t>D08-DOC-MOP-001.HANDOFFS.ORIGEM</t>
        </is>
      </c>
      <c r="B513" s="2" t="inlineStr">
        <is>
          <t>origem</t>
        </is>
      </c>
      <c r="C513" s="14">
        <f>IFERROR(IF(INDEX('01_Formulario_A05'!$D:$D,MATCH("D08-DOC-MOP-001.HANDOFFS.ORIGEM",'01_Formulario_A05'!$A:$A,0))="","— (a preencher em 01_Formulario_A05)",INDEX('01_Formulario_A05'!$D:$D,MATCH("D08-DOC-MOP-001.HANDOFFS.ORIGEM",'01_Formulario_A05'!$A:$A,0))),"— (a preencher em 01_Formulario_A05)")</f>
        <v/>
      </c>
    </row>
    <row r="514">
      <c r="A514" s="13" t="inlineStr">
        <is>
          <t>D08-DOC-MOP-001.HANDOFFS.DESTINO</t>
        </is>
      </c>
      <c r="B514" s="2" t="inlineStr">
        <is>
          <t>destino</t>
        </is>
      </c>
      <c r="C514" s="14">
        <f>IFERROR(IF(INDEX('01_Formulario_A05'!$D:$D,MATCH("D08-DOC-MOP-001.HANDOFFS.DESTINO",'01_Formulario_A05'!$A:$A,0))="","— (a preencher em 01_Formulario_A05)",INDEX('01_Formulario_A05'!$D:$D,MATCH("D08-DOC-MOP-001.HANDOFFS.DESTINO",'01_Formulario_A05'!$A:$A,0))),"— (a preencher em 01_Formulario_A05)")</f>
        <v/>
      </c>
    </row>
    <row r="515">
      <c r="A515" s="13" t="inlineStr">
        <is>
          <t>D08-DOC-MOP-001.INCIDENTS.TIPO</t>
        </is>
      </c>
      <c r="B515" s="2" t="inlineStr">
        <is>
          <t>tipo</t>
        </is>
      </c>
      <c r="C515" s="14">
        <f>IFERROR(IF(INDEX('01_Formulario_A05'!$D:$D,MATCH("D08-DOC-MOP-001.INCIDENTS.TIPO",'01_Formulario_A05'!$A:$A,0))="","— (a preencher em 01_Formulario_A05)",INDEX('01_Formulario_A05'!$D:$D,MATCH("D08-DOC-MOP-001.INCIDENTS.TIPO",'01_Formulario_A05'!$A:$A,0))),"— (a preencher em 01_Formulario_A05)")</f>
        <v/>
      </c>
    </row>
    <row r="516">
      <c r="A516" s="13" t="inlineStr">
        <is>
          <t>D08-DOC-MOP-001.INCIDENTS.RESPOSTA</t>
        </is>
      </c>
      <c r="B516" s="2" t="inlineStr">
        <is>
          <t>resposta</t>
        </is>
      </c>
      <c r="C516" s="14">
        <f>IFERROR(IF(INDEX('01_Formulario_A05'!$D:$D,MATCH("D08-DOC-MOP-001.INCIDENTS.RESPOSTA",'01_Formulario_A05'!$A:$A,0))="","— (a preencher em 01_Formulario_A05)",INDEX('01_Formulario_A05'!$D:$D,MATCH("D08-DOC-MOP-001.INCIDENTS.RESPOSTA",'01_Formulario_A05'!$A:$A,0))),"— (a preencher em 01_Formulario_A05)")</f>
        <v/>
      </c>
    </row>
    <row r="517">
      <c r="A517" s="13" t="inlineStr">
        <is>
          <t>D08-DOC-MOP-001.CONTINUITY.BACKUP</t>
        </is>
      </c>
      <c r="B517" s="2" t="inlineStr">
        <is>
          <t>backup</t>
        </is>
      </c>
      <c r="C517" s="14">
        <f>IFERROR(IF(INDEX('01_Formulario_A05'!$D:$D,MATCH("D08-DOC-MOP-001.CONTINUITY.BACKUP",'01_Formulario_A05'!$A:$A,0))="","— (a preencher em 01_Formulario_A05)",INDEX('01_Formulario_A05'!$D:$D,MATCH("D08-DOC-MOP-001.CONTINUITY.BACKUP",'01_Formulario_A05'!$A:$A,0))),"— (a preencher em 01_Formulario_A05)")</f>
        <v/>
      </c>
    </row>
    <row r="518">
      <c r="A518" s="13" t="inlineStr">
        <is>
          <t>D08-DOC-MOP-001.CONTINUITY.CONTINGENCIA</t>
        </is>
      </c>
      <c r="B518" s="2" t="inlineStr">
        <is>
          <t>contingencia</t>
        </is>
      </c>
      <c r="C518" s="14">
        <f>IFERROR(IF(INDEX('01_Formulario_A05'!$D:$D,MATCH("D08-DOC-MOP-001.CONTINUITY.CONTINGENCIA",'01_Formulario_A05'!$A:$A,0))="","— (a preencher em 01_Formulario_A05)",INDEX('01_Formulario_A05'!$D:$D,MATCH("D08-DOC-MOP-001.CONTINUITY.CONTINGENCIA",'01_Formulario_A05'!$A:$A,0))),"— (a preencher em 01_Formulario_A05)")</f>
        <v/>
      </c>
    </row>
    <row r="519">
      <c r="A519" s="13" t="inlineStr">
        <is>
          <t>D08-DOC-MOP-001.METRICS.VOLUME</t>
        </is>
      </c>
      <c r="B519" s="2" t="inlineStr">
        <is>
          <t>volume</t>
        </is>
      </c>
      <c r="C519" s="14">
        <f>IFERROR(IF(INDEX('01_Formulario_A05'!$D:$D,MATCH("D08-DOC-MOP-001.METRICS.VOLUME",'01_Formulario_A05'!$A:$A,0))="","— (a preencher em 01_Formulario_A05)",INDEX('01_Formulario_A05'!$D:$D,MATCH("D08-DOC-MOP-001.METRICS.VOLUME",'01_Formulario_A05'!$A:$A,0))),"— (a preencher em 01_Formulario_A05)")</f>
        <v/>
      </c>
    </row>
    <row r="520">
      <c r="A520" s="13" t="inlineStr">
        <is>
          <t>D08-DOC-MOP-001.METRICS.TEMPO</t>
        </is>
      </c>
      <c r="B520" s="2" t="inlineStr">
        <is>
          <t>tempo</t>
        </is>
      </c>
      <c r="C520" s="14">
        <f>IFERROR(IF(INDEX('01_Formulario_A05'!$D:$D,MATCH("D08-DOC-MOP-001.METRICS.TEMPO",'01_Formulario_A05'!$A:$A,0))="","— (a preencher em 01_Formulario_A05)",INDEX('01_Formulario_A05'!$D:$D,MATCH("D08-DOC-MOP-001.METRICS.TEMPO",'01_Formulario_A05'!$A:$A,0))),"— (a preencher em 01_Formulario_A05)")</f>
        <v/>
      </c>
    </row>
    <row r="521">
      <c r="A521" s="13" t="inlineStr">
        <is>
          <t>D08-DOC-MOP-001.METRICS.ERRO</t>
        </is>
      </c>
      <c r="B521" s="2" t="inlineStr">
        <is>
          <t>erro</t>
        </is>
      </c>
      <c r="C521" s="14">
        <f>IFERROR(IF(INDEX('01_Formulario_A05'!$D:$D,MATCH("D08-DOC-MOP-001.METRICS.ERRO",'01_Formulario_A05'!$A:$A,0))="","— (a preencher em 01_Formulario_A05)",INDEX('01_Formulario_A05'!$D:$D,MATCH("D08-DOC-MOP-001.METRICS.ERRO",'01_Formulario_A05'!$A:$A,0))),"— (a preencher em 01_Formulario_A05)")</f>
        <v/>
      </c>
    </row>
    <row r="522">
      <c r="A522" s="13" t="inlineStr">
        <is>
          <t>D08-DOC-MOP-001.METRICS.QUALIDADE</t>
        </is>
      </c>
      <c r="B522" s="2" t="inlineStr">
        <is>
          <t>qualidade</t>
        </is>
      </c>
      <c r="C522" s="14">
        <f>IFERROR(IF(INDEX('01_Formulario_A05'!$D:$D,MATCH("D08-DOC-MOP-001.METRICS.QUALIDADE",'01_Formulario_A05'!$A:$A,0))="","— (a preencher em 01_Formulario_A05)",INDEX('01_Formulario_A05'!$D:$D,MATCH("D08-DOC-MOP-001.METRICS.QUALIDADE",'01_Formulario_A05'!$A:$A,0))),"— (a preencher em 01_Formulario_A05)")</f>
        <v/>
      </c>
    </row>
    <row r="523">
      <c r="A523" s="5" t="inlineStr">
        <is>
          <t>D08-DOC-RUN-001 — Runbook Operacional do Ecossistema [PRE_PREENCHIDO/PENDENTE]</t>
        </is>
      </c>
      <c r="B523" s="6" t="n"/>
      <c r="C523" s="7" t="n"/>
    </row>
    <row r="524">
      <c r="A524" s="13" t="inlineStr">
        <is>
          <t>D08-DOC-RUN-001.SCHEMA.RUNBOOK_ID</t>
        </is>
      </c>
      <c r="B524" s="2" t="inlineStr">
        <is>
          <t>runbook_id</t>
        </is>
      </c>
      <c r="C524" s="14">
        <f>IFERROR(IF(INDEX('01_Formulario_A05'!$D:$D,MATCH("D08-DOC-RUN-001.SCHEMA.RUNBOOK_ID",'01_Formulario_A05'!$A:$A,0))="","— (a preencher em 01_Formulario_A05)",INDEX('01_Formulario_A05'!$D:$D,MATCH("D08-DOC-RUN-001.SCHEMA.RUNBOOK_ID",'01_Formulario_A05'!$A:$A,0))),"— (a preencher em 01_Formulario_A05)")</f>
        <v/>
      </c>
    </row>
    <row r="525">
      <c r="A525" s="13" t="inlineStr">
        <is>
          <t>D08-DOC-RUN-001.SCHEMA.NOME</t>
        </is>
      </c>
      <c r="B525" s="2" t="inlineStr">
        <is>
          <t>nome</t>
        </is>
      </c>
      <c r="C525" s="14">
        <f>IFERROR(IF(INDEX('01_Formulario_A05'!$D:$D,MATCH("D08-DOC-RUN-001.SCHEMA.NOME",'01_Formulario_A05'!$A:$A,0))="","— (a preencher em 01_Formulario_A05)",INDEX('01_Formulario_A05'!$D:$D,MATCH("D08-DOC-RUN-001.SCHEMA.NOME",'01_Formulario_A05'!$A:$A,0))),"— (a preencher em 01_Formulario_A05)")</f>
        <v/>
      </c>
    </row>
    <row r="526">
      <c r="A526" s="13" t="inlineStr">
        <is>
          <t>D08-DOC-RUN-001.SCHEMA.OBJETIVO</t>
        </is>
      </c>
      <c r="B526" s="2" t="inlineStr">
        <is>
          <t>objetivo</t>
        </is>
      </c>
      <c r="C526" s="14">
        <f>IFERROR(IF(INDEX('01_Formulario_A05'!$D:$D,MATCH("D08-DOC-RUN-001.SCHEMA.OBJETIVO",'01_Formulario_A05'!$A:$A,0))="","— (a preencher em 01_Formulario_A05)",INDEX('01_Formulario_A05'!$D:$D,MATCH("D08-DOC-RUN-001.SCHEMA.OBJETIVO",'01_Formulario_A05'!$A:$A,0))),"— (a preencher em 01_Formulario_A05)")</f>
        <v/>
      </c>
    </row>
    <row r="527">
      <c r="A527" s="13" t="inlineStr">
        <is>
          <t>D08-DOC-RUN-001.SCHEMA.TRIGGER</t>
        </is>
      </c>
      <c r="B527" s="2" t="inlineStr">
        <is>
          <t>trigger</t>
        </is>
      </c>
      <c r="C527" s="14">
        <f>IFERROR(IF(INDEX('01_Formulario_A05'!$D:$D,MATCH("D08-DOC-RUN-001.SCHEMA.TRIGGER",'01_Formulario_A05'!$A:$A,0))="","— (a preencher em 01_Formulario_A05)",INDEX('01_Formulario_A05'!$D:$D,MATCH("D08-DOC-RUN-001.SCHEMA.TRIGGER",'01_Formulario_A05'!$A:$A,0))),"— (a preencher em 01_Formulario_A05)")</f>
        <v/>
      </c>
    </row>
    <row r="528">
      <c r="A528" s="13" t="inlineStr">
        <is>
          <t>D08-DOC-RUN-001.SCHEMA.PRECONDICOES</t>
        </is>
      </c>
      <c r="B528" s="2" t="inlineStr">
        <is>
          <t>precondicoes</t>
        </is>
      </c>
      <c r="C528" s="14">
        <f>IFERROR(IF(INDEX('01_Formulario_A05'!$D:$D,MATCH("D08-DOC-RUN-001.SCHEMA.PRECONDICOES",'01_Formulario_A05'!$A:$A,0))="","— (a preencher em 01_Formulario_A05)",INDEX('01_Formulario_A05'!$D:$D,MATCH("D08-DOC-RUN-001.SCHEMA.PRECONDICOES",'01_Formulario_A05'!$A:$A,0))),"— (a preencher em 01_Formulario_A05)")</f>
        <v/>
      </c>
    </row>
    <row r="529">
      <c r="A529" s="13" t="inlineStr">
        <is>
          <t>D08-DOC-RUN-001.SCHEMA.SISTEMAS</t>
        </is>
      </c>
      <c r="B529" s="2" t="inlineStr">
        <is>
          <t>sistemas</t>
        </is>
      </c>
      <c r="C529" s="14">
        <f>IFERROR(IF(INDEX('01_Formulario_A05'!$D:$D,MATCH("D08-DOC-RUN-001.SCHEMA.SISTEMAS",'01_Formulario_A05'!$A:$A,0))="","— (a preencher em 01_Formulario_A05)",INDEX('01_Formulario_A05'!$D:$D,MATCH("D08-DOC-RUN-001.SCHEMA.SISTEMAS",'01_Formulario_A05'!$A:$A,0))),"— (a preencher em 01_Formulario_A05)")</f>
        <v/>
      </c>
    </row>
    <row r="530">
      <c r="A530" s="13" t="inlineStr">
        <is>
          <t>D08-DOC-RUN-001.SCHEMA.CREDENCIAIS_NECESSARIAS</t>
        </is>
      </c>
      <c r="B530" s="2" t="inlineStr">
        <is>
          <t>credenciais_necessarias</t>
        </is>
      </c>
      <c r="C530" s="14">
        <f>IFERROR(IF(INDEX('01_Formulario_A05'!$D:$D,MATCH("D08-DOC-RUN-001.SCHEMA.CREDENCIAIS_NECESSARIAS",'01_Formulario_A05'!$A:$A,0))="","— (a preencher em 01_Formulario_A05)",INDEX('01_Formulario_A05'!$D:$D,MATCH("D08-DOC-RUN-001.SCHEMA.CREDENCIAIS_NECESSARIAS",'01_Formulario_A05'!$A:$A,0))),"— (a preencher em 01_Formulario_A05)")</f>
        <v/>
      </c>
    </row>
    <row r="531">
      <c r="A531" s="13" t="inlineStr">
        <is>
          <t>D08-DOC-RUN-001.SCHEMA.PASSOS</t>
        </is>
      </c>
      <c r="B531" s="2" t="inlineStr">
        <is>
          <t>passos</t>
        </is>
      </c>
      <c r="C531" s="14">
        <f>IFERROR(IF(INDEX('01_Formulario_A05'!$D:$D,MATCH("D08-DOC-RUN-001.SCHEMA.PASSOS",'01_Formulario_A05'!$A:$A,0))="","— (a preencher em 01_Formulario_A05)",INDEX('01_Formulario_A05'!$D:$D,MATCH("D08-DOC-RUN-001.SCHEMA.PASSOS",'01_Formulario_A05'!$A:$A,0))),"— (a preencher em 01_Formulario_A05)")</f>
        <v/>
      </c>
    </row>
    <row r="532">
      <c r="A532" s="13" t="inlineStr">
        <is>
          <t>D08-DOC-RUN-001.SCHEMA.RESULTADO_ESPERADO</t>
        </is>
      </c>
      <c r="B532" s="2" t="inlineStr">
        <is>
          <t>resultado_esperado</t>
        </is>
      </c>
      <c r="C532" s="14">
        <f>IFERROR(IF(INDEX('01_Formulario_A05'!$D:$D,MATCH("D08-DOC-RUN-001.SCHEMA.RESULTADO_ESPERADO",'01_Formulario_A05'!$A:$A,0))="","— (a preencher em 01_Formulario_A05)",INDEX('01_Formulario_A05'!$D:$D,MATCH("D08-DOC-RUN-001.SCHEMA.RESULTADO_ESPERADO",'01_Formulario_A05'!$A:$A,0))),"— (a preencher em 01_Formulario_A05)")</f>
        <v/>
      </c>
    </row>
    <row r="533">
      <c r="A533" s="13" t="inlineStr">
        <is>
          <t>D08-DOC-RUN-001.SCHEMA.VERIFICACAO</t>
        </is>
      </c>
      <c r="B533" s="2" t="inlineStr">
        <is>
          <t>verificacao</t>
        </is>
      </c>
      <c r="C533" s="14">
        <f>IFERROR(IF(INDEX('01_Formulario_A05'!$D:$D,MATCH("D08-DOC-RUN-001.SCHEMA.VERIFICACAO",'01_Formulario_A05'!$A:$A,0))="","— (a preencher em 01_Formulario_A05)",INDEX('01_Formulario_A05'!$D:$D,MATCH("D08-DOC-RUN-001.SCHEMA.VERIFICACAO",'01_Formulario_A05'!$A:$A,0))),"— (a preencher em 01_Formulario_A05)")</f>
        <v/>
      </c>
    </row>
    <row r="534">
      <c r="A534" s="13" t="inlineStr">
        <is>
          <t>D08-DOC-RUN-001.SCHEMA.EVIDENCIA</t>
        </is>
      </c>
      <c r="B534" s="2" t="inlineStr">
        <is>
          <t>evidencia</t>
        </is>
      </c>
      <c r="C534" s="14">
        <f>IFERROR(IF(INDEX('01_Formulario_A05'!$D:$D,MATCH("D08-DOC-RUN-001.SCHEMA.EVIDENCIA",'01_Formulario_A05'!$A:$A,0))="","— (a preencher em 01_Formulario_A05)",INDEX('01_Formulario_A05'!$D:$D,MATCH("D08-DOC-RUN-001.SCHEMA.EVIDENCIA",'01_Formulario_A05'!$A:$A,0))),"— (a preencher em 01_Formulario_A05)")</f>
        <v/>
      </c>
    </row>
    <row r="535">
      <c r="A535" s="13" t="inlineStr">
        <is>
          <t>D08-DOC-RUN-001.SCHEMA.EXCECOES</t>
        </is>
      </c>
      <c r="B535" s="2" t="inlineStr">
        <is>
          <t>excecoes</t>
        </is>
      </c>
      <c r="C535" s="14">
        <f>IFERROR(IF(INDEX('01_Formulario_A05'!$D:$D,MATCH("D08-DOC-RUN-001.SCHEMA.EXCECOES",'01_Formulario_A05'!$A:$A,0))="","— (a preencher em 01_Formulario_A05)",INDEX('01_Formulario_A05'!$D:$D,MATCH("D08-DOC-RUN-001.SCHEMA.EXCECOES",'01_Formulario_A05'!$A:$A,0))),"— (a preencher em 01_Formulario_A05)")</f>
        <v/>
      </c>
    </row>
    <row r="536">
      <c r="A536" s="13" t="inlineStr">
        <is>
          <t>D08-DOC-RUN-001.SCHEMA.ROLLBACK</t>
        </is>
      </c>
      <c r="B536" s="2" t="inlineStr">
        <is>
          <t>rollback</t>
        </is>
      </c>
      <c r="C536" s="14">
        <f>IFERROR(IF(INDEX('01_Formulario_A05'!$D:$D,MATCH("D08-DOC-RUN-001.SCHEMA.ROLLBACK",'01_Formulario_A05'!$A:$A,0))="","— (a preencher em 01_Formulario_A05)",INDEX('01_Formulario_A05'!$D:$D,MATCH("D08-DOC-RUN-001.SCHEMA.ROLLBACK",'01_Formulario_A05'!$A:$A,0))),"— (a preencher em 01_Formulario_A05)")</f>
        <v/>
      </c>
    </row>
    <row r="537">
      <c r="A537" s="13" t="inlineStr">
        <is>
          <t>D08-DOC-RUN-001.SCHEMA.ESCALACAO</t>
        </is>
      </c>
      <c r="B537" s="2" t="inlineStr">
        <is>
          <t>escalacao</t>
        </is>
      </c>
      <c r="C537" s="14">
        <f>IFERROR(IF(INDEX('01_Formulario_A05'!$D:$D,MATCH("D08-DOC-RUN-001.SCHEMA.ESCALACAO",'01_Formulario_A05'!$A:$A,0))="","— (a preencher em 01_Formulario_A05)",INDEX('01_Formulario_A05'!$D:$D,MATCH("D08-DOC-RUN-001.SCHEMA.ESCALACAO",'01_Formulario_A05'!$A:$A,0))),"— (a preencher em 01_Formulario_A05)")</f>
        <v/>
      </c>
    </row>
    <row r="538">
      <c r="A538" s="13" t="inlineStr">
        <is>
          <t>D08-DOC-RUN-001.SCHEMA.OWNER</t>
        </is>
      </c>
      <c r="B538" s="2" t="inlineStr">
        <is>
          <t>owner</t>
        </is>
      </c>
      <c r="C538" s="14">
        <f>IFERROR(IF(INDEX('01_Formulario_A05'!$D:$D,MATCH("D08-DOC-RUN-001.SCHEMA.OWNER",'01_Formulario_A05'!$A:$A,0))="","— (a preencher em 01_Formulario_A05)",INDEX('01_Formulario_A05'!$D:$D,MATCH("D08-DOC-RUN-001.SCHEMA.OWNER",'01_Formulario_A05'!$A:$A,0))),"— (a preencher em 01_Formulario_A05)")</f>
        <v/>
      </c>
    </row>
    <row r="539">
      <c r="A539" s="13" t="inlineStr">
        <is>
          <t>D08-DOC-RUN-001.SCHEMA.FREQUENCIA</t>
        </is>
      </c>
      <c r="B539" s="2" t="inlineStr">
        <is>
          <t>frequencia</t>
        </is>
      </c>
      <c r="C539" s="14">
        <f>IFERROR(IF(INDEX('01_Formulario_A05'!$D:$D,MATCH("D08-DOC-RUN-001.SCHEMA.FREQUENCIA",'01_Formulario_A05'!$A:$A,0))="","— (a preencher em 01_Formulario_A05)",INDEX('01_Formulario_A05'!$D:$D,MATCH("D08-DOC-RUN-001.SCHEMA.FREQUENCIA",'01_Formulario_A05'!$A:$A,0))),"— (a preencher em 01_Formulario_A05)")</f>
        <v/>
      </c>
    </row>
    <row r="540">
      <c r="A540" s="5" t="inlineStr">
        <is>
          <t>D09-DOC-PPE-001 — Plano de Pesquisa e Experimentação [PRE_PREENCHIDO/PENDENTE]</t>
        </is>
      </c>
      <c r="B540" s="6" t="n"/>
      <c r="C540" s="7" t="n"/>
    </row>
    <row r="541">
      <c r="A541" s="13" t="inlineStr">
        <is>
          <t>D09-DOC-PPE-001.QUESTION.PERGUNTA_DE_PESQUISA</t>
        </is>
      </c>
      <c r="B541" s="2" t="inlineStr">
        <is>
          <t>pergunta_de_pesquisa</t>
        </is>
      </c>
      <c r="C541" s="14">
        <f>IFERROR(IF(INDEX('01_Formulario_A06'!$D:$D,MATCH("D09-DOC-PPE-001.QUESTION.PERGUNTA_DE_PESQUISA",'01_Formulario_A06'!$A:$A,0))="","— (a preencher em 01_Formulario_A06)",INDEX('01_Formulario_A06'!$D:$D,MATCH("D09-DOC-PPE-001.QUESTION.PERGUNTA_DE_PESQUISA",'01_Formulario_A06'!$A:$A,0))),"— (a preencher em 01_Formulario_A06)")</f>
        <v/>
      </c>
    </row>
    <row r="542">
      <c r="A542" s="13" t="inlineStr">
        <is>
          <t>D09-DOC-PPE-001.HYPOTHESIS.HIPOTESE</t>
        </is>
      </c>
      <c r="B542" s="2" t="inlineStr">
        <is>
          <t>hipotese</t>
        </is>
      </c>
      <c r="C542" s="14">
        <f>IFERROR(IF(INDEX('01_Formulario_A06'!$D:$D,MATCH("D09-DOC-PPE-001.HYPOTHESIS.HIPOTESE",'01_Formulario_A06'!$A:$A,0))="","— (a preencher em 01_Formulario_A06)",INDEX('01_Formulario_A06'!$D:$D,MATCH("D09-DOC-PPE-001.HYPOTHESIS.HIPOTESE",'01_Formulario_A06'!$A:$A,0))),"— (a preencher em 01_Formulario_A06)")</f>
        <v/>
      </c>
    </row>
    <row r="543">
      <c r="A543" s="13" t="inlineStr">
        <is>
          <t>D09-DOC-PPE-001.HYPOTHESIS.PRESSUPOSTOS</t>
        </is>
      </c>
      <c r="B543" s="2" t="inlineStr">
        <is>
          <t>pressupostos</t>
        </is>
      </c>
      <c r="C543" s="14">
        <f>IFERROR(IF(INDEX('01_Formulario_A06'!$D:$D,MATCH("D09-DOC-PPE-001.HYPOTHESIS.PRESSUPOSTOS",'01_Formulario_A06'!$A:$A,0))="","— (a preencher em 01_Formulario_A06)",INDEX('01_Formulario_A06'!$D:$D,MATCH("D09-DOC-PPE-001.HYPOTHESIS.PRESSUPOSTOS",'01_Formulario_A06'!$A:$A,0))),"— (a preencher em 01_Formulario_A06)")</f>
        <v/>
      </c>
    </row>
    <row r="544">
      <c r="A544" s="13" t="inlineStr">
        <is>
          <t>D09-DOC-PPE-001.EVIDENCE_REVIEW.FONTES_EXISTENTES</t>
        </is>
      </c>
      <c r="B544" s="2" t="inlineStr">
        <is>
          <t>fontes_existentes</t>
        </is>
      </c>
      <c r="C544" s="14">
        <f>IFERROR(IF(INDEX('01_Formulario_A06'!$D:$D,MATCH("D09-DOC-PPE-001.EVIDENCE_REVIEW.FONTES_EXISTENTES",'01_Formulario_A06'!$A:$A,0))="","— (a preencher em 01_Formulario_A06)",INDEX('01_Formulario_A06'!$D:$D,MATCH("D09-DOC-PPE-001.EVIDENCE_REVIEW.FONTES_EXISTENTES",'01_Formulario_A06'!$A:$A,0))),"— (a preencher em 01_Formulario_A06)")</f>
        <v/>
      </c>
    </row>
    <row r="545">
      <c r="A545" s="13" t="inlineStr">
        <is>
          <t>D09-DOC-PPE-001.EVIDENCE_REVIEW.LACUNAS</t>
        </is>
      </c>
      <c r="B545" s="2" t="inlineStr">
        <is>
          <t>lacunas</t>
        </is>
      </c>
      <c r="C545" s="14">
        <f>IFERROR(IF(INDEX('01_Formulario_A06'!$D:$D,MATCH("D09-DOC-PPE-001.EVIDENCE_REVIEW.LACUNAS",'01_Formulario_A06'!$A:$A,0))="","— (a preencher em 01_Formulario_A06)",INDEX('01_Formulario_A06'!$D:$D,MATCH("D09-DOC-PPE-001.EVIDENCE_REVIEW.LACUNAS",'01_Formulario_A06'!$A:$A,0))),"— (a preencher em 01_Formulario_A06)")</f>
        <v/>
      </c>
    </row>
    <row r="546">
      <c r="A546" s="13" t="inlineStr">
        <is>
          <t>D09-DOC-PPE-001.METHOD.METODO</t>
        </is>
      </c>
      <c r="B546" s="2" t="inlineStr">
        <is>
          <t>metodo</t>
        </is>
      </c>
      <c r="C546" s="14">
        <f>IFERROR(IF(INDEX('01_Formulario_A06'!$D:$D,MATCH("D09-DOC-PPE-001.METHOD.METODO",'01_Formulario_A06'!$A:$A,0))="","— (a preencher em 01_Formulario_A06)",INDEX('01_Formulario_A06'!$D:$D,MATCH("D09-DOC-PPE-001.METHOD.METODO",'01_Formulario_A06'!$A:$A,0))),"— (a preencher em 01_Formulario_A06)")</f>
        <v/>
      </c>
    </row>
    <row r="547">
      <c r="A547" s="13" t="inlineStr">
        <is>
          <t>D09-DOC-PPE-001.METHOD.DESENHO</t>
        </is>
      </c>
      <c r="B547" s="2" t="inlineStr">
        <is>
          <t>desenho</t>
        </is>
      </c>
      <c r="C547" s="14">
        <f>IFERROR(IF(INDEX('01_Formulario_A06'!$D:$D,MATCH("D09-DOC-PPE-001.METHOD.DESENHO",'01_Formulario_A06'!$A:$A,0))="","— (a preencher em 01_Formulario_A06)",INDEX('01_Formulario_A06'!$D:$D,MATCH("D09-DOC-PPE-001.METHOD.DESENHO",'01_Formulario_A06'!$A:$A,0))),"— (a preencher em 01_Formulario_A06)")</f>
        <v/>
      </c>
    </row>
    <row r="548">
      <c r="A548" s="13" t="inlineStr">
        <is>
          <t>D09-DOC-PPE-001.POPULATION.PUBLICO</t>
        </is>
      </c>
      <c r="B548" s="2" t="inlineStr">
        <is>
          <t>publico</t>
        </is>
      </c>
      <c r="C548" s="14">
        <f>IFERROR(IF(INDEX('01_Formulario_A06'!$D:$D,MATCH("D09-DOC-PPE-001.POPULATION.PUBLICO",'01_Formulario_A06'!$A:$A,0))="","— (a preencher em 01_Formulario_A06)",INDEX('01_Formulario_A06'!$D:$D,MATCH("D09-DOC-PPE-001.POPULATION.PUBLICO",'01_Formulario_A06'!$A:$A,0))),"— (a preencher em 01_Formulario_A06)")</f>
        <v/>
      </c>
    </row>
    <row r="549">
      <c r="A549" s="13" t="inlineStr">
        <is>
          <t>D09-DOC-PPE-001.POPULATION.AMOSTRA</t>
        </is>
      </c>
      <c r="B549" s="2" t="inlineStr">
        <is>
          <t>amostra</t>
        </is>
      </c>
      <c r="C549" s="14">
        <f>IFERROR(IF(INDEX('01_Formulario_A06'!$D:$D,MATCH("D09-DOC-PPE-001.POPULATION.AMOSTRA",'01_Formulario_A06'!$A:$A,0))="","— (a preencher em 01_Formulario_A06)",INDEX('01_Formulario_A06'!$D:$D,MATCH("D09-DOC-PPE-001.POPULATION.AMOSTRA",'01_Formulario_A06'!$A:$A,0))),"— (a preencher em 01_Formulario_A06)")</f>
        <v/>
      </c>
    </row>
    <row r="550">
      <c r="A550" s="13" t="inlineStr">
        <is>
          <t>D09-DOC-PPE-001.VARIABLES.INDEPENDENTE</t>
        </is>
      </c>
      <c r="B550" s="2" t="inlineStr">
        <is>
          <t>independente</t>
        </is>
      </c>
      <c r="C550" s="14">
        <f>IFERROR(IF(INDEX('01_Formulario_A06'!$D:$D,MATCH("D09-DOC-PPE-001.VARIABLES.INDEPENDENTE",'01_Formulario_A06'!$A:$A,0))="","— (a preencher em 01_Formulario_A06)",INDEX('01_Formulario_A06'!$D:$D,MATCH("D09-DOC-PPE-001.VARIABLES.INDEPENDENTE",'01_Formulario_A06'!$A:$A,0))),"— (a preencher em 01_Formulario_A06)")</f>
        <v/>
      </c>
    </row>
    <row r="551">
      <c r="A551" s="13" t="inlineStr">
        <is>
          <t>D09-DOC-PPE-001.VARIABLES.DEPENDENTE</t>
        </is>
      </c>
      <c r="B551" s="2" t="inlineStr">
        <is>
          <t>dependente</t>
        </is>
      </c>
      <c r="C551" s="14">
        <f>IFERROR(IF(INDEX('01_Formulario_A06'!$D:$D,MATCH("D09-DOC-PPE-001.VARIABLES.DEPENDENTE",'01_Formulario_A06'!$A:$A,0))="","— (a preencher em 01_Formulario_A06)",INDEX('01_Formulario_A06'!$D:$D,MATCH("D09-DOC-PPE-001.VARIABLES.DEPENDENTE",'01_Formulario_A06'!$A:$A,0))),"— (a preencher em 01_Formulario_A06)")</f>
        <v/>
      </c>
    </row>
    <row r="552">
      <c r="A552" s="13" t="inlineStr">
        <is>
          <t>D09-DOC-PPE-001.VARIABLES.CONTROLE</t>
        </is>
      </c>
      <c r="B552" s="2" t="inlineStr">
        <is>
          <t>controle</t>
        </is>
      </c>
      <c r="C552" s="14">
        <f>IFERROR(IF(INDEX('01_Formulario_A06'!$D:$D,MATCH("D09-DOC-PPE-001.VARIABLES.CONTROLE",'01_Formulario_A06'!$A:$A,0))="","— (a preencher em 01_Formulario_A06)",INDEX('01_Formulario_A06'!$D:$D,MATCH("D09-DOC-PPE-001.VARIABLES.CONTROLE",'01_Formulario_A06'!$A:$A,0))),"— (a preencher em 01_Formulario_A06)")</f>
        <v/>
      </c>
    </row>
    <row r="553">
      <c r="A553" s="13" t="inlineStr">
        <is>
          <t>D09-DOC-PPE-001.PROTOCOL.PROCEDIMENTO</t>
        </is>
      </c>
      <c r="B553" s="2" t="inlineStr">
        <is>
          <t>procedimento</t>
        </is>
      </c>
      <c r="C553" s="14">
        <f>IFERROR(IF(INDEX('01_Formulario_A06'!$D:$D,MATCH("D09-DOC-PPE-001.PROTOCOL.PROCEDIMENTO",'01_Formulario_A06'!$A:$A,0))="","— (a preencher em 01_Formulario_A06)",INDEX('01_Formulario_A06'!$D:$D,MATCH("D09-DOC-PPE-001.PROTOCOL.PROCEDIMENTO",'01_Formulario_A06'!$A:$A,0))),"— (a preencher em 01_Formulario_A06)")</f>
        <v/>
      </c>
    </row>
    <row r="554">
      <c r="A554" s="13" t="inlineStr">
        <is>
          <t>D09-DOC-PPE-001.EXPERIMENT.INTERVENCAO</t>
        </is>
      </c>
      <c r="B554" s="2" t="inlineStr">
        <is>
          <t>intervencao</t>
        </is>
      </c>
      <c r="C554" s="14">
        <f>IFERROR(IF(INDEX('01_Formulario_A06'!$D:$D,MATCH("D09-DOC-PPE-001.EXPERIMENT.INTERVENCAO",'01_Formulario_A06'!$A:$A,0))="","— (a preencher em 01_Formulario_A06)",INDEX('01_Formulario_A06'!$D:$D,MATCH("D09-DOC-PPE-001.EXPERIMENT.INTERVENCAO",'01_Formulario_A06'!$A:$A,0))),"— (a preencher em 01_Formulario_A06)")</f>
        <v/>
      </c>
    </row>
    <row r="555">
      <c r="A555" s="13" t="inlineStr">
        <is>
          <t>D09-DOC-PPE-001.EXPERIMENT.COMPARACAO</t>
        </is>
      </c>
      <c r="B555" s="2" t="inlineStr">
        <is>
          <t>comparacao</t>
        </is>
      </c>
      <c r="C555" s="14">
        <f>IFERROR(IF(INDEX('01_Formulario_A06'!$D:$D,MATCH("D09-DOC-PPE-001.EXPERIMENT.COMPARACAO",'01_Formulario_A06'!$A:$A,0))="","— (a preencher em 01_Formulario_A06)",INDEX('01_Formulario_A06'!$D:$D,MATCH("D09-DOC-PPE-001.EXPERIMENT.COMPARACAO",'01_Formulario_A06'!$A:$A,0))),"— (a preencher em 01_Formulario_A06)")</f>
        <v/>
      </c>
    </row>
    <row r="556">
      <c r="A556" s="13" t="inlineStr">
        <is>
          <t>D09-DOC-PPE-001.MEASUREMENT.METRICAS</t>
        </is>
      </c>
      <c r="B556" s="2" t="inlineStr">
        <is>
          <t>metricas</t>
        </is>
      </c>
      <c r="C556" s="14">
        <f>IFERROR(IF(INDEX('01_Formulario_A06'!$D:$D,MATCH("D09-DOC-PPE-001.MEASUREMENT.METRICAS",'01_Formulario_A06'!$A:$A,0))="","— (a preencher em 01_Formulario_A06)",INDEX('01_Formulario_A06'!$D:$D,MATCH("D09-DOC-PPE-001.MEASUREMENT.METRICAS",'01_Formulario_A06'!$A:$A,0))),"— (a preencher em 01_Formulario_A06)")</f>
        <v/>
      </c>
    </row>
    <row r="557">
      <c r="A557" s="13" t="inlineStr">
        <is>
          <t>D09-DOC-PPE-001.MEASUREMENT.INSTRUMENTOS</t>
        </is>
      </c>
      <c r="B557" s="2" t="inlineStr">
        <is>
          <t>instrumentos</t>
        </is>
      </c>
      <c r="C557" s="14">
        <f>IFERROR(IF(INDEX('01_Formulario_A06'!$D:$D,MATCH("D09-DOC-PPE-001.MEASUREMENT.INSTRUMENTOS",'01_Formulario_A06'!$A:$A,0))="","— (a preencher em 01_Formulario_A06)",INDEX('01_Formulario_A06'!$D:$D,MATCH("D09-DOC-PPE-001.MEASUREMENT.INSTRUMENTOS",'01_Formulario_A06'!$A:$A,0))),"— (a preencher em 01_Formulario_A06)")</f>
        <v/>
      </c>
    </row>
    <row r="558">
      <c r="A558" s="13" t="inlineStr">
        <is>
          <t>D09-DOC-PPE-001.ANALYSIS.METODO_DE_ANALISE</t>
        </is>
      </c>
      <c r="B558" s="2" t="inlineStr">
        <is>
          <t>metodo_de_analise</t>
        </is>
      </c>
      <c r="C558" s="14">
        <f>IFERROR(IF(INDEX('01_Formulario_A06'!$D:$D,MATCH("D09-DOC-PPE-001.ANALYSIS.METODO_DE_ANALISE",'01_Formulario_A06'!$A:$A,0))="","— (a preencher em 01_Formulario_A06)",INDEX('01_Formulario_A06'!$D:$D,MATCH("D09-DOC-PPE-001.ANALYSIS.METODO_DE_ANALISE",'01_Formulario_A06'!$A:$A,0))),"— (a preencher em 01_Formulario_A06)")</f>
        <v/>
      </c>
    </row>
    <row r="559">
      <c r="A559" s="13" t="inlineStr">
        <is>
          <t>D09-DOC-PPE-001.CRITERIA.SUCESSO</t>
        </is>
      </c>
      <c r="B559" s="2" t="inlineStr">
        <is>
          <t>sucesso</t>
        </is>
      </c>
      <c r="C559" s="14">
        <f>IFERROR(IF(INDEX('01_Formulario_A06'!$D:$D,MATCH("D09-DOC-PPE-001.CRITERIA.SUCESSO",'01_Formulario_A06'!$A:$A,0))="","— (a preencher em 01_Formulario_A06)",INDEX('01_Formulario_A06'!$D:$D,MATCH("D09-DOC-PPE-001.CRITERIA.SUCESSO",'01_Formulario_A06'!$A:$A,0))),"— (a preencher em 01_Formulario_A06)")</f>
        <v/>
      </c>
    </row>
    <row r="560">
      <c r="A560" s="13" t="inlineStr">
        <is>
          <t>D09-DOC-PPE-001.CRITERIA.FALHA</t>
        </is>
      </c>
      <c r="B560" s="2" t="inlineStr">
        <is>
          <t>falha</t>
        </is>
      </c>
      <c r="C560" s="14">
        <f>IFERROR(IF(INDEX('01_Formulario_A06'!$D:$D,MATCH("D09-DOC-PPE-001.CRITERIA.FALHA",'01_Formulario_A06'!$A:$A,0))="","— (a preencher em 01_Formulario_A06)",INDEX('01_Formulario_A06'!$D:$D,MATCH("D09-DOC-PPE-001.CRITERIA.FALHA",'01_Formulario_A06'!$A:$A,0))),"— (a preencher em 01_Formulario_A06)")</f>
        <v/>
      </c>
    </row>
    <row r="561">
      <c r="A561" s="13" t="inlineStr">
        <is>
          <t>D09-DOC-PPE-001.CRITERIA.INCONCLUSIVO</t>
        </is>
      </c>
      <c r="B561" s="2" t="inlineStr">
        <is>
          <t>inconclusivo</t>
        </is>
      </c>
      <c r="C561" s="14">
        <f>IFERROR(IF(INDEX('01_Formulario_A06'!$D:$D,MATCH("D09-DOC-PPE-001.CRITERIA.INCONCLUSIVO",'01_Formulario_A06'!$A:$A,0))="","— (a preencher em 01_Formulario_A06)",INDEX('01_Formulario_A06'!$D:$D,MATCH("D09-DOC-PPE-001.CRITERIA.INCONCLUSIVO",'01_Formulario_A06'!$A:$A,0))),"— (a preencher em 01_Formulario_A06)")</f>
        <v/>
      </c>
    </row>
    <row r="562">
      <c r="A562" s="13" t="inlineStr">
        <is>
          <t>D09-DOC-PPE-001.RESULTS.RESULTADO</t>
        </is>
      </c>
      <c r="B562" s="2" t="inlineStr">
        <is>
          <t>resultado</t>
        </is>
      </c>
      <c r="C562" s="14">
        <f>IFERROR(IF(INDEX('01_Formulario_A06'!$D:$D,MATCH("D09-DOC-PPE-001.RESULTS.RESULTADO",'01_Formulario_A06'!$A:$A,0))="","— (a preencher em 01_Formulario_A06)",INDEX('01_Formulario_A06'!$D:$D,MATCH("D09-DOC-PPE-001.RESULTS.RESULTADO",'01_Formulario_A06'!$A:$A,0))),"— (a preencher em 01_Formulario_A06)")</f>
        <v/>
      </c>
    </row>
    <row r="563">
      <c r="A563" s="13" t="inlineStr">
        <is>
          <t>D09-DOC-PPE-001.RESULTS.LIMITACOES</t>
        </is>
      </c>
      <c r="B563" s="2" t="inlineStr">
        <is>
          <t>limitacoes</t>
        </is>
      </c>
      <c r="C563" s="14">
        <f>IFERROR(IF(INDEX('01_Formulario_A06'!$D:$D,MATCH("D09-DOC-PPE-001.RESULTS.LIMITACOES",'01_Formulario_A06'!$A:$A,0))="","— (a preencher em 01_Formulario_A06)",INDEX('01_Formulario_A06'!$D:$D,MATCH("D09-DOC-PPE-001.RESULTS.LIMITACOES",'01_Formulario_A06'!$A:$A,0))),"— (a preencher em 01_Formulario_A06)")</f>
        <v/>
      </c>
    </row>
    <row r="564">
      <c r="A564" s="13" t="inlineStr">
        <is>
          <t>D09-DOC-PPE-001.DECISION.DECISAO_DERIVADA</t>
        </is>
      </c>
      <c r="B564" s="2" t="inlineStr">
        <is>
          <t>decisao_derivada</t>
        </is>
      </c>
      <c r="C564" s="14">
        <f>IFERROR(IF(INDEX('01_Formulario_A06'!$D:$D,MATCH("D09-DOC-PPE-001.DECISION.DECISAO_DERIVADA",'01_Formulario_A06'!$A:$A,0))="","— (a preencher em 01_Formulario_A06)",INDEX('01_Formulario_A06'!$D:$D,MATCH("D09-DOC-PPE-001.DECISION.DECISAO_DERIVADA",'01_Formulario_A06'!$A:$A,0))),"— (a preencher em 01_Formulario_A06)")</f>
        <v/>
      </c>
    </row>
    <row r="565">
      <c r="A565" s="5" t="inlineStr">
        <is>
          <t>D09-DOC-DEB-001 — Dossiê de Evidências e Base Científica [PRE_PREENCHIDO/PENDENTE]</t>
        </is>
      </c>
      <c r="B565" s="6" t="n"/>
      <c r="C565" s="7" t="n"/>
    </row>
    <row r="566">
      <c r="A566" s="13" t="inlineStr">
        <is>
          <t>D09-DOC-DEB-001.SCHEMA.CLAIM_ID</t>
        </is>
      </c>
      <c r="B566" s="2" t="inlineStr">
        <is>
          <t>claim_id</t>
        </is>
      </c>
      <c r="C566" s="14">
        <f>IFERROR(IF(INDEX('01_Formulario_A06'!$D:$D,MATCH("D09-DOC-DEB-001.SCHEMA.CLAIM_ID",'01_Formulario_A06'!$A:$A,0))="","— (a preencher em 01_Formulario_A06)",INDEX('01_Formulario_A06'!$D:$D,MATCH("D09-DOC-DEB-001.SCHEMA.CLAIM_ID",'01_Formulario_A06'!$A:$A,0))),"— (a preencher em 01_Formulario_A06)")</f>
        <v/>
      </c>
    </row>
    <row r="567">
      <c r="A567" s="13" t="inlineStr">
        <is>
          <t>D09-DOC-DEB-001.SCHEMA.CLAIM</t>
        </is>
      </c>
      <c r="B567" s="2" t="inlineStr">
        <is>
          <t>claim</t>
        </is>
      </c>
      <c r="C567" s="14">
        <f>IFERROR(IF(INDEX('01_Formulario_A06'!$D:$D,MATCH("D09-DOC-DEB-001.SCHEMA.CLAIM",'01_Formulario_A06'!$A:$A,0))="","— (a preencher em 01_Formulario_A06)",INDEX('01_Formulario_A06'!$D:$D,MATCH("D09-DOC-DEB-001.SCHEMA.CLAIM",'01_Formulario_A06'!$A:$A,0))),"— (a preencher em 01_Formulario_A06)")</f>
        <v/>
      </c>
    </row>
    <row r="568">
      <c r="A568" s="13" t="inlineStr">
        <is>
          <t>D09-DOC-DEB-001.SCHEMA.DOMAIN</t>
        </is>
      </c>
      <c r="B568" s="2" t="inlineStr">
        <is>
          <t>domain</t>
        </is>
      </c>
      <c r="C568" s="14">
        <f>IFERROR(IF(INDEX('01_Formulario_A06'!$D:$D,MATCH("D09-DOC-DEB-001.SCHEMA.DOMAIN",'01_Formulario_A06'!$A:$A,0))="","— (a preencher em 01_Formulario_A06)",INDEX('01_Formulario_A06'!$D:$D,MATCH("D09-DOC-DEB-001.SCHEMA.DOMAIN",'01_Formulario_A06'!$A:$A,0))),"— (a preencher em 01_Formulario_A06)")</f>
        <v/>
      </c>
    </row>
    <row r="569">
      <c r="A569" s="13" t="inlineStr">
        <is>
          <t>D09-DOC-DEB-001.SCHEMA.EVIDENCE_CLASS</t>
        </is>
      </c>
      <c r="B569" s="2" t="inlineStr">
        <is>
          <t>evidence_class</t>
        </is>
      </c>
      <c r="C569" s="14">
        <f>IFERROR(IF(INDEX('01_Formulario_A06'!$D:$D,MATCH("D09-DOC-DEB-001.SCHEMA.EVIDENCE_CLASS",'01_Formulario_A06'!$A:$A,0))="","— (a preencher em 01_Formulario_A06)",INDEX('01_Formulario_A06'!$D:$D,MATCH("D09-DOC-DEB-001.SCHEMA.EVIDENCE_CLASS",'01_Formulario_A06'!$A:$A,0))),"— (a preencher em 01_Formulario_A06)")</f>
        <v/>
      </c>
    </row>
    <row r="570">
      <c r="A570" s="13" t="inlineStr">
        <is>
          <t>D09-DOC-DEB-001.SCHEMA.SOURCE_ID</t>
        </is>
      </c>
      <c r="B570" s="2" t="inlineStr">
        <is>
          <t>source_id</t>
        </is>
      </c>
      <c r="C570" s="14">
        <f>IFERROR(IF(INDEX('01_Formulario_A06'!$D:$D,MATCH("D09-DOC-DEB-001.SCHEMA.SOURCE_ID",'01_Formulario_A06'!$A:$A,0))="","— (a preencher em 01_Formulario_A06)",INDEX('01_Formulario_A06'!$D:$D,MATCH("D09-DOC-DEB-001.SCHEMA.SOURCE_ID",'01_Formulario_A06'!$A:$A,0))),"— (a preencher em 01_Formulario_A06)")</f>
        <v/>
      </c>
    </row>
    <row r="571">
      <c r="A571" s="13" t="inlineStr">
        <is>
          <t>D09-DOC-DEB-001.SCHEMA.SOURCE_TYPE</t>
        </is>
      </c>
      <c r="B571" s="2" t="inlineStr">
        <is>
          <t>source_type</t>
        </is>
      </c>
      <c r="C571" s="14">
        <f>IFERROR(IF(INDEX('01_Formulario_A06'!$D:$D,MATCH("D09-DOC-DEB-001.SCHEMA.SOURCE_TYPE",'01_Formulario_A06'!$A:$A,0))="","— (a preencher em 01_Formulario_A06)",INDEX('01_Formulario_A06'!$D:$D,MATCH("D09-DOC-DEB-001.SCHEMA.SOURCE_TYPE",'01_Formulario_A06'!$A:$A,0))),"— (a preencher em 01_Formulario_A06)")</f>
        <v/>
      </c>
    </row>
    <row r="572">
      <c r="A572" s="13" t="inlineStr">
        <is>
          <t>D09-DOC-DEB-001.SCHEMA.CITATION</t>
        </is>
      </c>
      <c r="B572" s="2" t="inlineStr">
        <is>
          <t>citation</t>
        </is>
      </c>
      <c r="C572" s="14">
        <f>IFERROR(IF(INDEX('01_Formulario_A06'!$D:$D,MATCH("D09-DOC-DEB-001.SCHEMA.CITATION",'01_Formulario_A06'!$A:$A,0))="","— (a preencher em 01_Formulario_A06)",INDEX('01_Formulario_A06'!$D:$D,MATCH("D09-DOC-DEB-001.SCHEMA.CITATION",'01_Formulario_A06'!$A:$A,0))),"— (a preencher em 01_Formulario_A06)")</f>
        <v/>
      </c>
    </row>
    <row r="573">
      <c r="A573" s="13" t="inlineStr">
        <is>
          <t>D09-DOC-DEB-001.SCHEMA.LOCATOR</t>
        </is>
      </c>
      <c r="B573" s="2" t="inlineStr">
        <is>
          <t>locator</t>
        </is>
      </c>
      <c r="C573" s="14">
        <f>IFERROR(IF(INDEX('01_Formulario_A06'!$D:$D,MATCH("D09-DOC-DEB-001.SCHEMA.LOCATOR",'01_Formulario_A06'!$A:$A,0))="","— (a preencher em 01_Formulario_A06)",INDEX('01_Formulario_A06'!$D:$D,MATCH("D09-DOC-DEB-001.SCHEMA.LOCATOR",'01_Formulario_A06'!$A:$A,0))),"— (a preencher em 01_Formulario_A06)")</f>
        <v/>
      </c>
    </row>
    <row r="574">
      <c r="A574" s="13" t="inlineStr">
        <is>
          <t>D09-DOC-DEB-001.SCHEMA.PUBLICATION_DATE</t>
        </is>
      </c>
      <c r="B574" s="2" t="inlineStr">
        <is>
          <t>publication_date</t>
        </is>
      </c>
      <c r="C574" s="14">
        <f>IFERROR(IF(INDEX('01_Formulario_A06'!$D:$D,MATCH("D09-DOC-DEB-001.SCHEMA.PUBLICATION_DATE",'01_Formulario_A06'!$A:$A,0))="","— (a preencher em 01_Formulario_A06)",INDEX('01_Formulario_A06'!$D:$D,MATCH("D09-DOC-DEB-001.SCHEMA.PUBLICATION_DATE",'01_Formulario_A06'!$A:$A,0))),"— (a preencher em 01_Formulario_A06)")</f>
        <v/>
      </c>
    </row>
    <row r="575">
      <c r="A575" s="13" t="inlineStr">
        <is>
          <t>D09-DOC-DEB-001.SCHEMA.POPULATION</t>
        </is>
      </c>
      <c r="B575" s="2" t="inlineStr">
        <is>
          <t>population</t>
        </is>
      </c>
      <c r="C575" s="14">
        <f>IFERROR(IF(INDEX('01_Formulario_A06'!$D:$D,MATCH("D09-DOC-DEB-001.SCHEMA.POPULATION",'01_Formulario_A06'!$A:$A,0))="","— (a preencher em 01_Formulario_A06)",INDEX('01_Formulario_A06'!$D:$D,MATCH("D09-DOC-DEB-001.SCHEMA.POPULATION",'01_Formulario_A06'!$A:$A,0))),"— (a preencher em 01_Formulario_A06)")</f>
        <v/>
      </c>
    </row>
    <row r="576">
      <c r="A576" s="13" t="inlineStr">
        <is>
          <t>D09-DOC-DEB-001.SCHEMA.FINDING</t>
        </is>
      </c>
      <c r="B576" s="2" t="inlineStr">
        <is>
          <t>finding</t>
        </is>
      </c>
      <c r="C576" s="14">
        <f>IFERROR(IF(INDEX('01_Formulario_A06'!$D:$D,MATCH("D09-DOC-DEB-001.SCHEMA.FINDING",'01_Formulario_A06'!$A:$A,0))="","— (a preencher em 01_Formulario_A06)",INDEX('01_Formulario_A06'!$D:$D,MATCH("D09-DOC-DEB-001.SCHEMA.FINDING",'01_Formulario_A06'!$A:$A,0))),"— (a preencher em 01_Formulario_A06)")</f>
        <v/>
      </c>
    </row>
    <row r="577">
      <c r="A577" s="13" t="inlineStr">
        <is>
          <t>D09-DOC-DEB-001.SCHEMA.LIMITATION</t>
        </is>
      </c>
      <c r="B577" s="2" t="inlineStr">
        <is>
          <t>limitation</t>
        </is>
      </c>
      <c r="C577" s="14">
        <f>IFERROR(IF(INDEX('01_Formulario_A06'!$D:$D,MATCH("D09-DOC-DEB-001.SCHEMA.LIMITATION",'01_Formulario_A06'!$A:$A,0))="","— (a preencher em 01_Formulario_A06)",INDEX('01_Formulario_A06'!$D:$D,MATCH("D09-DOC-DEB-001.SCHEMA.LIMITATION",'01_Formulario_A06'!$A:$A,0))),"— (a preencher em 01_Formulario_A06)")</f>
        <v/>
      </c>
    </row>
    <row r="578">
      <c r="A578" s="13" t="inlineStr">
        <is>
          <t>D09-DOC-DEB-001.SCHEMA.CONTRADICTORY_EVIDENCE</t>
        </is>
      </c>
      <c r="B578" s="2" t="inlineStr">
        <is>
          <t>contradictory_evidence</t>
        </is>
      </c>
      <c r="C578" s="14">
        <f>IFERROR(IF(INDEX('01_Formulario_A06'!$D:$D,MATCH("D09-DOC-DEB-001.SCHEMA.CONTRADICTORY_EVIDENCE",'01_Formulario_A06'!$A:$A,0))="","— (a preencher em 01_Formulario_A06)",INDEX('01_Formulario_A06'!$D:$D,MATCH("D09-DOC-DEB-001.SCHEMA.CONTRADICTORY_EVIDENCE",'01_Formulario_A06'!$A:$A,0))),"— (a preencher em 01_Formulario_A06)")</f>
        <v/>
      </c>
    </row>
    <row r="579">
      <c r="A579" s="13" t="inlineStr">
        <is>
          <t>D09-DOC-DEB-001.SCHEMA.SUPPORTED_DOCUMENTS</t>
        </is>
      </c>
      <c r="B579" s="2" t="inlineStr">
        <is>
          <t>supported_documents</t>
        </is>
      </c>
      <c r="C579" s="14">
        <f>IFERROR(IF(INDEX('01_Formulario_A06'!$D:$D,MATCH("D09-DOC-DEB-001.SCHEMA.SUPPORTED_DOCUMENTS",'01_Formulario_A06'!$A:$A,0))="","— (a preencher em 01_Formulario_A06)",INDEX('01_Formulario_A06'!$D:$D,MATCH("D09-DOC-DEB-001.SCHEMA.SUPPORTED_DOCUMENTS",'01_Formulario_A06'!$A:$A,0))),"— (a preencher em 01_Formulario_A06)")</f>
        <v/>
      </c>
    </row>
    <row r="580">
      <c r="A580" s="13" t="inlineStr">
        <is>
          <t>D09-DOC-DEB-001.SCHEMA.CONFIDENCE</t>
        </is>
      </c>
      <c r="B580" s="2" t="inlineStr">
        <is>
          <t>confidence</t>
        </is>
      </c>
      <c r="C580" s="14">
        <f>IFERROR(IF(INDEX('01_Formulario_A06'!$D:$D,MATCH("D09-DOC-DEB-001.SCHEMA.CONFIDENCE",'01_Formulario_A06'!$A:$A,0))="","— (a preencher em 01_Formulario_A06)",INDEX('01_Formulario_A06'!$D:$D,MATCH("D09-DOC-DEB-001.SCHEMA.CONFIDENCE",'01_Formulario_A06'!$A:$A,0))),"— (a preencher em 01_Formulario_A06)")</f>
        <v/>
      </c>
    </row>
    <row r="581">
      <c r="A581" s="13" t="inlineStr">
        <is>
          <t>D09-DOC-DEB-001.SCHEMA.STATUS</t>
        </is>
      </c>
      <c r="B581" s="2" t="inlineStr">
        <is>
          <t>status</t>
        </is>
      </c>
      <c r="C581" s="14">
        <f>IFERROR(IF(INDEX('01_Formulario_A06'!$D:$D,MATCH("D09-DOC-DEB-001.SCHEMA.STATUS",'01_Formulario_A06'!$A:$A,0))="","— (a preencher em 01_Formulario_A06)",INDEX('01_Formulario_A06'!$D:$D,MATCH("D09-DOC-DEB-001.SCHEMA.STATUS",'01_Formulario_A06'!$A:$A,0))),"— (a preencher em 01_Formulario_A06)")</f>
        <v/>
      </c>
    </row>
    <row r="582">
      <c r="A582" s="5" t="inlineStr">
        <is>
          <t>D10-DOC-DRP-001 — Documento de Requisitos de Produto [PRE_PREENCHIDO/PENDENTE]</t>
        </is>
      </c>
      <c r="B582" s="6" t="n"/>
      <c r="C582" s="7" t="n"/>
    </row>
    <row r="583">
      <c r="A583" s="13" t="inlineStr">
        <is>
          <t>D10-DOC-DRP-001.PROBLEM.PROBLEMA</t>
        </is>
      </c>
      <c r="B583" s="2" t="inlineStr">
        <is>
          <t>problema</t>
        </is>
      </c>
      <c r="C583" s="14">
        <f>IFERROR(IF(INDEX('01_Formulario_A02'!$D:$D,MATCH("D10-DOC-DRP-001.PROBLEM.PROBLEMA",'01_Formulario_A02'!$A:$A,0))="","— (a preencher em 01_Formulario_A02)",INDEX('01_Formulario_A02'!$D:$D,MATCH("D10-DOC-DRP-001.PROBLEM.PROBLEMA",'01_Formulario_A02'!$A:$A,0))),"— (a preencher em 01_Formulario_A02)")</f>
        <v/>
      </c>
    </row>
    <row r="584">
      <c r="A584" s="13" t="inlineStr">
        <is>
          <t>D10-DOC-DRP-001.PROBLEM.EVIDENCIA</t>
        </is>
      </c>
      <c r="B584" s="2" t="inlineStr">
        <is>
          <t>evidencia</t>
        </is>
      </c>
      <c r="C584" s="14">
        <f>IFERROR(IF(INDEX('01_Formulario_A02'!$D:$D,MATCH("D10-DOC-DRP-001.PROBLEM.EVIDENCIA",'01_Formulario_A02'!$A:$A,0))="","— (a preencher em 01_Formulario_A02)",INDEX('01_Formulario_A02'!$D:$D,MATCH("D10-DOC-DRP-001.PROBLEM.EVIDENCIA",'01_Formulario_A02'!$A:$A,0))),"— (a preencher em 01_Formulario_A02)")</f>
        <v/>
      </c>
    </row>
    <row r="585">
      <c r="A585" s="13" t="inlineStr">
        <is>
          <t>D10-DOC-DRP-001.PROBLEM.IMPACTO</t>
        </is>
      </c>
      <c r="B585" s="2" t="inlineStr">
        <is>
          <t>impacto</t>
        </is>
      </c>
      <c r="C585" s="14">
        <f>IFERROR(IF(INDEX('01_Formulario_A02'!$D:$D,MATCH("D10-DOC-DRP-001.PROBLEM.IMPACTO",'01_Formulario_A02'!$A:$A,0))="","— (a preencher em 01_Formulario_A02)",INDEX('01_Formulario_A02'!$D:$D,MATCH("D10-DOC-DRP-001.PROBLEM.IMPACTO",'01_Formulario_A02'!$A:$A,0))),"— (a preencher em 01_Formulario_A02)")</f>
        <v/>
      </c>
    </row>
    <row r="586">
      <c r="A586" s="13" t="inlineStr">
        <is>
          <t>D10-DOC-DRP-001.AUDIENCE.USUARIOS</t>
        </is>
      </c>
      <c r="B586" s="2" t="inlineStr">
        <is>
          <t>usuarios</t>
        </is>
      </c>
      <c r="C586" s="14">
        <f>IFERROR(IF(INDEX('01_Formulario_A02'!$D:$D,MATCH("D10-DOC-DRP-001.AUDIENCE.USUARIOS",'01_Formulario_A02'!$A:$A,0))="","— (a preencher em 01_Formulario_A02)",INDEX('01_Formulario_A02'!$D:$D,MATCH("D10-DOC-DRP-001.AUDIENCE.USUARIOS",'01_Formulario_A02'!$A:$A,0))),"— (a preencher em 01_Formulario_A02)")</f>
        <v/>
      </c>
    </row>
    <row r="587">
      <c r="A587" s="13" t="inlineStr">
        <is>
          <t>D10-DOC-DRP-001.AUDIENCE.CLIENTES</t>
        </is>
      </c>
      <c r="B587" s="2" t="inlineStr">
        <is>
          <t>clientes</t>
        </is>
      </c>
      <c r="C587" s="14">
        <f>IFERROR(IF(INDEX('01_Formulario_A02'!$D:$D,MATCH("D10-DOC-DRP-001.AUDIENCE.CLIENTES",'01_Formulario_A02'!$A:$A,0))="","— (a preencher em 01_Formulario_A02)",INDEX('01_Formulario_A02'!$D:$D,MATCH("D10-DOC-DRP-001.AUDIENCE.CLIENTES",'01_Formulario_A02'!$A:$A,0))),"— (a preencher em 01_Formulario_A02)")</f>
        <v/>
      </c>
    </row>
    <row r="588">
      <c r="A588" s="13" t="inlineStr">
        <is>
          <t>D10-DOC-DRP-001.AUDIENCE.ICP</t>
        </is>
      </c>
      <c r="B588" s="2" t="inlineStr">
        <is>
          <t>icp</t>
        </is>
      </c>
      <c r="C588" s="14">
        <f>IFERROR(IF(INDEX('01_Formulario_A02'!$D:$D,MATCH("D10-DOC-DRP-001.AUDIENCE.ICP",'01_Formulario_A02'!$A:$A,0))="","— (a preencher em 01_Formulario_A02)",INDEX('01_Formulario_A02'!$D:$D,MATCH("D10-DOC-DRP-001.AUDIENCE.ICP",'01_Formulario_A02'!$A:$A,0))),"— (a preencher em 01_Formulario_A02)")</f>
        <v/>
      </c>
    </row>
    <row r="589">
      <c r="A589" s="13" t="inlineStr">
        <is>
          <t>D10-DOC-DRP-001.JTBD.SITUACAO</t>
        </is>
      </c>
      <c r="B589" s="2" t="inlineStr">
        <is>
          <t>situacao</t>
        </is>
      </c>
      <c r="C589" s="14">
        <f>IFERROR(IF(INDEX('01_Formulario_A02'!$D:$D,MATCH("D10-DOC-DRP-001.JTBD.SITUACAO",'01_Formulario_A02'!$A:$A,0))="","— (a preencher em 01_Formulario_A02)",INDEX('01_Formulario_A02'!$D:$D,MATCH("D10-DOC-DRP-001.JTBD.SITUACAO",'01_Formulario_A02'!$A:$A,0))),"— (a preencher em 01_Formulario_A02)")</f>
        <v/>
      </c>
    </row>
    <row r="590">
      <c r="A590" s="13" t="inlineStr">
        <is>
          <t>D10-DOC-DRP-001.JTBD.TRABALHO</t>
        </is>
      </c>
      <c r="B590" s="2" t="inlineStr">
        <is>
          <t>trabalho</t>
        </is>
      </c>
      <c r="C590" s="14">
        <f>IFERROR(IF(INDEX('01_Formulario_A02'!$D:$D,MATCH("D10-DOC-DRP-001.JTBD.TRABALHO",'01_Formulario_A02'!$A:$A,0))="","— (a preencher em 01_Formulario_A02)",INDEX('01_Formulario_A02'!$D:$D,MATCH("D10-DOC-DRP-001.JTBD.TRABALHO",'01_Formulario_A02'!$A:$A,0))),"— (a preencher em 01_Formulario_A02)")</f>
        <v/>
      </c>
    </row>
    <row r="591">
      <c r="A591" s="13" t="inlineStr">
        <is>
          <t>D10-DOC-DRP-001.JTBD.OUTCOME</t>
        </is>
      </c>
      <c r="B591" s="2" t="inlineStr">
        <is>
          <t>outcome</t>
        </is>
      </c>
      <c r="C591" s="14">
        <f>IFERROR(IF(INDEX('01_Formulario_A02'!$D:$D,MATCH("D10-DOC-DRP-001.JTBD.OUTCOME",'01_Formulario_A02'!$A:$A,0))="","— (a preencher em 01_Formulario_A02)",INDEX('01_Formulario_A02'!$D:$D,MATCH("D10-DOC-DRP-001.JTBD.OUTCOME",'01_Formulario_A02'!$A:$A,0))),"— (a preencher em 01_Formulario_A02)")</f>
        <v/>
      </c>
    </row>
    <row r="592">
      <c r="A592" s="13" t="inlineStr">
        <is>
          <t>D10-DOC-DRP-001.VALUE.PROPOSTA_DE_VALOR</t>
        </is>
      </c>
      <c r="B592" s="2" t="inlineStr">
        <is>
          <t>proposta_de_valor</t>
        </is>
      </c>
      <c r="C592" s="14">
        <f>IFERROR(IF(INDEX('01_Formulario_A02'!$D:$D,MATCH("D10-DOC-DRP-001.VALUE.PROPOSTA_DE_VALOR",'01_Formulario_A02'!$A:$A,0))="","— (a preencher em 01_Formulario_A02)",INDEX('01_Formulario_A02'!$D:$D,MATCH("D10-DOC-DRP-001.VALUE.PROPOSTA_DE_VALOR",'01_Formulario_A02'!$A:$A,0))),"— (a preencher em 01_Formulario_A02)")</f>
        <v/>
      </c>
    </row>
    <row r="593">
      <c r="A593" s="13" t="inlineStr">
        <is>
          <t>D10-DOC-DRP-001.GOALS.OBJETIVOS</t>
        </is>
      </c>
      <c r="B593" s="2" t="inlineStr">
        <is>
          <t>objetivos</t>
        </is>
      </c>
      <c r="C593" s="14">
        <f>IFERROR(IF(INDEX('01_Formulario_A02'!$D:$D,MATCH("D10-DOC-DRP-001.GOALS.OBJETIVOS",'01_Formulario_A02'!$A:$A,0))="","— (a preencher em 01_Formulario_A02)",INDEX('01_Formulario_A02'!$D:$D,MATCH("D10-DOC-DRP-001.GOALS.OBJETIVOS",'01_Formulario_A02'!$A:$A,0))),"— (a preencher em 01_Formulario_A02)")</f>
        <v/>
      </c>
    </row>
    <row r="594">
      <c r="A594" s="13" t="inlineStr">
        <is>
          <t>D10-DOC-DRP-001.GOALS.METRICAS</t>
        </is>
      </c>
      <c r="B594" s="2" t="inlineStr">
        <is>
          <t>metricas</t>
        </is>
      </c>
      <c r="C594" s="14">
        <f>IFERROR(IF(INDEX('01_Formulario_A02'!$D:$D,MATCH("D10-DOC-DRP-001.GOALS.METRICAS",'01_Formulario_A02'!$A:$A,0))="","— (a preencher em 01_Formulario_A02)",INDEX('01_Formulario_A02'!$D:$D,MATCH("D10-DOC-DRP-001.GOALS.METRICAS",'01_Formulario_A02'!$A:$A,0))),"— (a preencher em 01_Formulario_A02)")</f>
        <v/>
      </c>
    </row>
    <row r="595">
      <c r="A595" s="13" t="inlineStr">
        <is>
          <t>D10-DOC-DRP-001.SCOPE.INCLUIDO</t>
        </is>
      </c>
      <c r="B595" s="2" t="inlineStr">
        <is>
          <t>incluido</t>
        </is>
      </c>
      <c r="C595" s="14">
        <f>IFERROR(IF(INDEX('01_Formulario_A02'!$D:$D,MATCH("D10-DOC-DRP-001.SCOPE.INCLUIDO",'01_Formulario_A02'!$A:$A,0))="","— (a preencher em 01_Formulario_A02)",INDEX('01_Formulario_A02'!$D:$D,MATCH("D10-DOC-DRP-001.SCOPE.INCLUIDO",'01_Formulario_A02'!$A:$A,0))),"— (a preencher em 01_Formulario_A02)")</f>
        <v/>
      </c>
    </row>
    <row r="596">
      <c r="A596" s="13" t="inlineStr">
        <is>
          <t>D10-DOC-DRP-001.SCOPE.EXCLUIDO</t>
        </is>
      </c>
      <c r="B596" s="2" t="inlineStr">
        <is>
          <t>excluido</t>
        </is>
      </c>
      <c r="C596" s="14">
        <f>IFERROR(IF(INDEX('01_Formulario_A02'!$D:$D,MATCH("D10-DOC-DRP-001.SCOPE.EXCLUIDO",'01_Formulario_A02'!$A:$A,0))="","— (a preencher em 01_Formulario_A02)",INDEX('01_Formulario_A02'!$D:$D,MATCH("D10-DOC-DRP-001.SCOPE.EXCLUIDO",'01_Formulario_A02'!$A:$A,0))),"— (a preencher em 01_Formulario_A02)")</f>
        <v/>
      </c>
    </row>
    <row r="597">
      <c r="A597" s="13" t="inlineStr">
        <is>
          <t>D10-DOC-DRP-001.CAPABILITIES.CAPACIDADE</t>
        </is>
      </c>
      <c r="B597" s="2" t="inlineStr">
        <is>
          <t>capacidade</t>
        </is>
      </c>
      <c r="C597" s="14">
        <f>IFERROR(IF(INDEX('01_Formulario_A02'!$D:$D,MATCH("D10-DOC-DRP-001.CAPABILITIES.CAPACIDADE",'01_Formulario_A02'!$A:$A,0))="","— (a preencher em 01_Formulario_A02)",INDEX('01_Formulario_A02'!$D:$D,MATCH("D10-DOC-DRP-001.CAPABILITIES.CAPACIDADE",'01_Formulario_A02'!$A:$A,0))),"— (a preencher em 01_Formulario_A02)")</f>
        <v/>
      </c>
    </row>
    <row r="598">
      <c r="A598" s="13" t="inlineStr">
        <is>
          <t>D10-DOC-DRP-001.CAPABILITIES.BENEFICIO</t>
        </is>
      </c>
      <c r="B598" s="2" t="inlineStr">
        <is>
          <t>beneficio</t>
        </is>
      </c>
      <c r="C598" s="14">
        <f>IFERROR(IF(INDEX('01_Formulario_A02'!$D:$D,MATCH("D10-DOC-DRP-001.CAPABILITIES.BENEFICIO",'01_Formulario_A02'!$A:$A,0))="","— (a preencher em 01_Formulario_A02)",INDEX('01_Formulario_A02'!$D:$D,MATCH("D10-DOC-DRP-001.CAPABILITIES.BENEFICIO",'01_Formulario_A02'!$A:$A,0))),"— (a preencher em 01_Formulario_A02)")</f>
        <v/>
      </c>
    </row>
    <row r="599">
      <c r="A599" s="13" t="inlineStr">
        <is>
          <t>D10-DOC-DRP-001.REQUIREMENTS.FUNCIONAIS</t>
        </is>
      </c>
      <c r="B599" s="2" t="inlineStr">
        <is>
          <t>funcionais</t>
        </is>
      </c>
      <c r="C599" s="14">
        <f>IFERROR(IF(INDEX('01_Formulario_A02'!$D:$D,MATCH("D10-DOC-DRP-001.REQUIREMENTS.FUNCIONAIS",'01_Formulario_A02'!$A:$A,0))="","— (a preencher em 01_Formulario_A02)",INDEX('01_Formulario_A02'!$D:$D,MATCH("D10-DOC-DRP-001.REQUIREMENTS.FUNCIONAIS",'01_Formulario_A02'!$A:$A,0))),"— (a preencher em 01_Formulario_A02)")</f>
        <v/>
      </c>
    </row>
    <row r="600">
      <c r="A600" s="13" t="inlineStr">
        <is>
          <t>D10-DOC-DRP-001.REQUIREMENTS.NAO_FUNCIONAIS</t>
        </is>
      </c>
      <c r="B600" s="2" t="inlineStr">
        <is>
          <t>nao_funcionais</t>
        </is>
      </c>
      <c r="C600" s="14">
        <f>IFERROR(IF(INDEX('01_Formulario_A02'!$D:$D,MATCH("D10-DOC-DRP-001.REQUIREMENTS.NAO_FUNCIONAIS",'01_Formulario_A02'!$A:$A,0))="","— (a preencher em 01_Formulario_A02)",INDEX('01_Formulario_A02'!$D:$D,MATCH("D10-DOC-DRP-001.REQUIREMENTS.NAO_FUNCIONAIS",'01_Formulario_A02'!$A:$A,0))),"— (a preencher em 01_Formulario_A02)")</f>
        <v/>
      </c>
    </row>
    <row r="601">
      <c r="A601" s="13" t="inlineStr">
        <is>
          <t>D10-DOC-DRP-001.JOURNEYS.JORNADAS</t>
        </is>
      </c>
      <c r="B601" s="2" t="inlineStr">
        <is>
          <t>jornadas</t>
        </is>
      </c>
      <c r="C601" s="14">
        <f>IFERROR(IF(INDEX('01_Formulario_A02'!$D:$D,MATCH("D10-DOC-DRP-001.JOURNEYS.JORNADAS",'01_Formulario_A02'!$A:$A,0))="","— (a preencher em 01_Formulario_A02)",INDEX('01_Formulario_A02'!$D:$D,MATCH("D10-DOC-DRP-001.JOURNEYS.JORNADAS",'01_Formulario_A02'!$A:$A,0))),"— (a preencher em 01_Formulario_A02)")</f>
        <v/>
      </c>
    </row>
    <row r="602">
      <c r="A602" s="13" t="inlineStr">
        <is>
          <t>D10-DOC-DRP-001.JOURNEYS.FLUXOS</t>
        </is>
      </c>
      <c r="B602" s="2" t="inlineStr">
        <is>
          <t>fluxos</t>
        </is>
      </c>
      <c r="C602" s="14">
        <f>IFERROR(IF(INDEX('01_Formulario_A02'!$D:$D,MATCH("D10-DOC-DRP-001.JOURNEYS.FLUXOS",'01_Formulario_A02'!$A:$A,0))="","— (a preencher em 01_Formulario_A02)",INDEX('01_Formulario_A02'!$D:$D,MATCH("D10-DOC-DRP-001.JOURNEYS.FLUXOS",'01_Formulario_A02'!$A:$A,0))),"— (a preencher em 01_Formulario_A02)")</f>
        <v/>
      </c>
    </row>
    <row r="603">
      <c r="A603" s="13" t="inlineStr">
        <is>
          <t>D10-DOC-DRP-001.CONSTRAINTS.RESTRICOES</t>
        </is>
      </c>
      <c r="B603" s="2" t="inlineStr">
        <is>
          <t>restricoes</t>
        </is>
      </c>
      <c r="C603" s="14">
        <f>IFERROR(IF(INDEX('01_Formulario_A02'!$D:$D,MATCH("D10-DOC-DRP-001.CONSTRAINTS.RESTRICOES",'01_Formulario_A02'!$A:$A,0))="","— (a preencher em 01_Formulario_A02)",INDEX('01_Formulario_A02'!$D:$D,MATCH("D10-DOC-DRP-001.CONSTRAINTS.RESTRICOES",'01_Formulario_A02'!$A:$A,0))),"— (a preencher em 01_Formulario_A02)")</f>
        <v/>
      </c>
    </row>
    <row r="604">
      <c r="A604" s="13" t="inlineStr">
        <is>
          <t>D10-DOC-DRP-001.DEPENDENCIES.DEPENDENCIAS</t>
        </is>
      </c>
      <c r="B604" s="2" t="inlineStr">
        <is>
          <t>dependencias</t>
        </is>
      </c>
      <c r="C604" s="14">
        <f>IFERROR(IF(INDEX('01_Formulario_A02'!$D:$D,MATCH("D10-DOC-DRP-001.DEPENDENCIES.DEPENDENCIAS",'01_Formulario_A02'!$A:$A,0))="","— (a preencher em 01_Formulario_A02)",INDEX('01_Formulario_A02'!$D:$D,MATCH("D10-DOC-DRP-001.DEPENDENCIES.DEPENDENCIAS",'01_Formulario_A02'!$A:$A,0))),"— (a preencher em 01_Formulario_A02)")</f>
        <v/>
      </c>
    </row>
    <row r="605">
      <c r="A605" s="13" t="inlineStr">
        <is>
          <t>D10-DOC-DRP-001.ACCEPTANCE.CRITERIOS_DE_ACEITE</t>
        </is>
      </c>
      <c r="B605" s="2" t="inlineStr">
        <is>
          <t>criterios_de_aceite</t>
        </is>
      </c>
      <c r="C605" s="14">
        <f>IFERROR(IF(INDEX('01_Formulario_A02'!$D:$D,MATCH("D10-DOC-DRP-001.ACCEPTANCE.CRITERIOS_DE_ACEITE",'01_Formulario_A02'!$A:$A,0))="","— (a preencher em 01_Formulario_A02)",INDEX('01_Formulario_A02'!$D:$D,MATCH("D10-DOC-DRP-001.ACCEPTANCE.CRITERIOS_DE_ACEITE",'01_Formulario_A02'!$A:$A,0))),"— (a preencher em 01_Formulario_A02)")</f>
        <v/>
      </c>
    </row>
    <row r="606">
      <c r="A606" s="13" t="inlineStr">
        <is>
          <t>D10-DOC-DRP-001.ROADMAP.AGORA</t>
        </is>
      </c>
      <c r="B606" s="2" t="inlineStr">
        <is>
          <t>agora</t>
        </is>
      </c>
      <c r="C606" s="14">
        <f>IFERROR(IF(INDEX('01_Formulario_A02'!$D:$D,MATCH("D10-DOC-DRP-001.ROADMAP.AGORA",'01_Formulario_A02'!$A:$A,0))="","— (a preencher em 01_Formulario_A02)",INDEX('01_Formulario_A02'!$D:$D,MATCH("D10-DOC-DRP-001.ROADMAP.AGORA",'01_Formulario_A02'!$A:$A,0))),"— (a preencher em 01_Formulario_A02)")</f>
        <v/>
      </c>
    </row>
    <row r="607">
      <c r="A607" s="13" t="inlineStr">
        <is>
          <t>D10-DOC-DRP-001.ROADMAP.PROXIMO</t>
        </is>
      </c>
      <c r="B607" s="2" t="inlineStr">
        <is>
          <t>proximo</t>
        </is>
      </c>
      <c r="C607" s="14">
        <f>IFERROR(IF(INDEX('01_Formulario_A02'!$D:$D,MATCH("D10-DOC-DRP-001.ROADMAP.PROXIMO",'01_Formulario_A02'!$A:$A,0))="","— (a preencher em 01_Formulario_A02)",INDEX('01_Formulario_A02'!$D:$D,MATCH("D10-DOC-DRP-001.ROADMAP.PROXIMO",'01_Formulario_A02'!$A:$A,0))),"— (a preencher em 01_Formulario_A02)")</f>
        <v/>
      </c>
    </row>
    <row r="608">
      <c r="A608" s="13" t="inlineStr">
        <is>
          <t>D10-DOC-DRP-001.ROADMAP.DEPOIS</t>
        </is>
      </c>
      <c r="B608" s="2" t="inlineStr">
        <is>
          <t>depois</t>
        </is>
      </c>
      <c r="C608" s="14">
        <f>IFERROR(IF(INDEX('01_Formulario_A02'!$D:$D,MATCH("D10-DOC-DRP-001.ROADMAP.DEPOIS",'01_Formulario_A02'!$A:$A,0))="","— (a preencher em 01_Formulario_A02)",INDEX('01_Formulario_A02'!$D:$D,MATCH("D10-DOC-DRP-001.ROADMAP.DEPOIS",'01_Formulario_A02'!$A:$A,0))),"— (a preencher em 01_Formulario_A02)")</f>
        <v/>
      </c>
    </row>
    <row r="609">
      <c r="A609" s="13" t="inlineStr">
        <is>
          <t>D10-DOC-DRP-001.RISKS.RISCO</t>
        </is>
      </c>
      <c r="B609" s="2" t="inlineStr">
        <is>
          <t>risco</t>
        </is>
      </c>
      <c r="C609" s="14">
        <f>IFERROR(IF(INDEX('01_Formulario_A02'!$D:$D,MATCH("D10-DOC-DRP-001.RISKS.RISCO",'01_Formulario_A02'!$A:$A,0))="","— (a preencher em 01_Formulario_A02)",INDEX('01_Formulario_A02'!$D:$D,MATCH("D10-DOC-DRP-001.RISKS.RISCO",'01_Formulario_A02'!$A:$A,0))),"— (a preencher em 01_Formulario_A02)")</f>
        <v/>
      </c>
    </row>
    <row r="610">
      <c r="A610" s="13" t="inlineStr">
        <is>
          <t>D10-DOC-DRP-001.RISKS.MITIGACAO</t>
        </is>
      </c>
      <c r="B610" s="2" t="inlineStr">
        <is>
          <t>mitigacao</t>
        </is>
      </c>
      <c r="C610" s="14">
        <f>IFERROR(IF(INDEX('01_Formulario_A02'!$D:$D,MATCH("D10-DOC-DRP-001.RISKS.MITIGACAO",'01_Formulario_A02'!$A:$A,0))="","— (a preencher em 01_Formulario_A02)",INDEX('01_Formulario_A02'!$D:$D,MATCH("D10-DOC-DRP-001.RISKS.MITIGACAO",'01_Formulario_A02'!$A:$A,0))),"— (a preencher em 01_Formulario_A02)")</f>
        <v/>
      </c>
    </row>
    <row r="611">
      <c r="A611" s="5" t="inlineStr">
        <is>
          <t>D10-DOC-PRD-001 — Requisitos Integrados dos Produtos [PRE_PREENCHIDO/PENDENTE]</t>
        </is>
      </c>
      <c r="B611" s="6" t="n"/>
      <c r="C611" s="7" t="n"/>
    </row>
    <row r="612">
      <c r="A612" s="13" t="inlineStr">
        <is>
          <t>D10-DOC-PRD-001.SCHEMA.PRODUCT_ID</t>
        </is>
      </c>
      <c r="B612" s="2" t="inlineStr">
        <is>
          <t>product_id</t>
        </is>
      </c>
      <c r="C612" s="14">
        <f>IFERROR(IF(INDEX('01_Formulario_A02'!$D:$D,MATCH("D10-DOC-PRD-001.SCHEMA.PRODUCT_ID",'01_Formulario_A02'!$A:$A,0))="","— (a preencher em 01_Formulario_A02)",INDEX('01_Formulario_A02'!$D:$D,MATCH("D10-DOC-PRD-001.SCHEMA.PRODUCT_ID",'01_Formulario_A02'!$A:$A,0))),"— (a preencher em 01_Formulario_A02)")</f>
        <v/>
      </c>
    </row>
    <row r="613">
      <c r="A613" s="13" t="inlineStr">
        <is>
          <t>D10-DOC-PRD-001.SCHEMA.PRODUCT_NAME</t>
        </is>
      </c>
      <c r="B613" s="2" t="inlineStr">
        <is>
          <t>product_name</t>
        </is>
      </c>
      <c r="C613" s="14">
        <f>IFERROR(IF(INDEX('01_Formulario_A02'!$D:$D,MATCH("D10-DOC-PRD-001.SCHEMA.PRODUCT_NAME",'01_Formulario_A02'!$A:$A,0))="","— (a preencher em 01_Formulario_A02)",INDEX('01_Formulario_A02'!$D:$D,MATCH("D10-DOC-PRD-001.SCHEMA.PRODUCT_NAME",'01_Formulario_A02'!$A:$A,0))),"— (a preencher em 01_Formulario_A02)")</f>
        <v/>
      </c>
    </row>
    <row r="614">
      <c r="A614" s="13" t="inlineStr">
        <is>
          <t>D10-DOC-PRD-001.SCHEMA.PROBLEM</t>
        </is>
      </c>
      <c r="B614" s="2" t="inlineStr">
        <is>
          <t>problem</t>
        </is>
      </c>
      <c r="C614" s="14">
        <f>IFERROR(IF(INDEX('01_Formulario_A02'!$D:$D,MATCH("D10-DOC-PRD-001.SCHEMA.PROBLEM",'01_Formulario_A02'!$A:$A,0))="","— (a preencher em 01_Formulario_A02)",INDEX('01_Formulario_A02'!$D:$D,MATCH("D10-DOC-PRD-001.SCHEMA.PROBLEM",'01_Formulario_A02'!$A:$A,0))),"— (a preencher em 01_Formulario_A02)")</f>
        <v/>
      </c>
    </row>
    <row r="615">
      <c r="A615" s="13" t="inlineStr">
        <is>
          <t>D10-DOC-PRD-001.SCHEMA.TARGET_USER</t>
        </is>
      </c>
      <c r="B615" s="2" t="inlineStr">
        <is>
          <t>target_user</t>
        </is>
      </c>
      <c r="C615" s="14">
        <f>IFERROR(IF(INDEX('01_Formulario_A02'!$D:$D,MATCH("D10-DOC-PRD-001.SCHEMA.TARGET_USER",'01_Formulario_A02'!$A:$A,0))="","— (a preencher em 01_Formulario_A02)",INDEX('01_Formulario_A02'!$D:$D,MATCH("D10-DOC-PRD-001.SCHEMA.TARGET_USER",'01_Formulario_A02'!$A:$A,0))),"— (a preencher em 01_Formulario_A02)")</f>
        <v/>
      </c>
    </row>
    <row r="616">
      <c r="A616" s="13" t="inlineStr">
        <is>
          <t>D10-DOC-PRD-001.SCHEMA.JTBD</t>
        </is>
      </c>
      <c r="B616" s="2" t="inlineStr">
        <is>
          <t>jtbd</t>
        </is>
      </c>
      <c r="C616" s="14">
        <f>IFERROR(IF(INDEX('01_Formulario_A02'!$D:$D,MATCH("D10-DOC-PRD-001.SCHEMA.JTBD",'01_Formulario_A02'!$A:$A,0))="","— (a preencher em 01_Formulario_A02)",INDEX('01_Formulario_A02'!$D:$D,MATCH("D10-DOC-PRD-001.SCHEMA.JTBD",'01_Formulario_A02'!$A:$A,0))),"— (a preencher em 01_Formulario_A02)")</f>
        <v/>
      </c>
    </row>
    <row r="617">
      <c r="A617" s="13" t="inlineStr">
        <is>
          <t>D10-DOC-PRD-001.SCHEMA.GOALS</t>
        </is>
      </c>
      <c r="B617" s="2" t="inlineStr">
        <is>
          <t>goals</t>
        </is>
      </c>
      <c r="C617" s="14">
        <f>IFERROR(IF(INDEX('01_Formulario_A02'!$D:$D,MATCH("D10-DOC-PRD-001.SCHEMA.GOALS",'01_Formulario_A02'!$A:$A,0))="","— (a preencher em 01_Formulario_A02)",INDEX('01_Formulario_A02'!$D:$D,MATCH("D10-DOC-PRD-001.SCHEMA.GOALS",'01_Formulario_A02'!$A:$A,0))),"— (a preencher em 01_Formulario_A02)")</f>
        <v/>
      </c>
    </row>
    <row r="618">
      <c r="A618" s="13" t="inlineStr">
        <is>
          <t>D10-DOC-PRD-001.SCHEMA.NON_GOALS</t>
        </is>
      </c>
      <c r="B618" s="2" t="inlineStr">
        <is>
          <t>non_goals</t>
        </is>
      </c>
      <c r="C618" s="14">
        <f>IFERROR(IF(INDEX('01_Formulario_A02'!$D:$D,MATCH("D10-DOC-PRD-001.SCHEMA.NON_GOALS",'01_Formulario_A02'!$A:$A,0))="","— (a preencher em 01_Formulario_A02)",INDEX('01_Formulario_A02'!$D:$D,MATCH("D10-DOC-PRD-001.SCHEMA.NON_GOALS",'01_Formulario_A02'!$A:$A,0))),"— (a preencher em 01_Formulario_A02)")</f>
        <v/>
      </c>
    </row>
    <row r="619">
      <c r="A619" s="13" t="inlineStr">
        <is>
          <t>D10-DOC-PRD-001.SCHEMA.USE_CASES</t>
        </is>
      </c>
      <c r="B619" s="2" t="inlineStr">
        <is>
          <t>use_cases</t>
        </is>
      </c>
      <c r="C619" s="14">
        <f>IFERROR(IF(INDEX('01_Formulario_A02'!$D:$D,MATCH("D10-DOC-PRD-001.SCHEMA.USE_CASES",'01_Formulario_A02'!$A:$A,0))="","— (a preencher em 01_Formulario_A02)",INDEX('01_Formulario_A02'!$D:$D,MATCH("D10-DOC-PRD-001.SCHEMA.USE_CASES",'01_Formulario_A02'!$A:$A,0))),"— (a preencher em 01_Formulario_A02)")</f>
        <v/>
      </c>
    </row>
    <row r="620">
      <c r="A620" s="13" t="inlineStr">
        <is>
          <t>D10-DOC-PRD-001.SCHEMA.USER_STORIES</t>
        </is>
      </c>
      <c r="B620" s="2" t="inlineStr">
        <is>
          <t>user_stories</t>
        </is>
      </c>
      <c r="C620" s="14">
        <f>IFERROR(IF(INDEX('01_Formulario_A02'!$D:$D,MATCH("D10-DOC-PRD-001.SCHEMA.USER_STORIES",'01_Formulario_A02'!$A:$A,0))="","— (a preencher em 01_Formulario_A02)",INDEX('01_Formulario_A02'!$D:$D,MATCH("D10-DOC-PRD-001.SCHEMA.USER_STORIES",'01_Formulario_A02'!$A:$A,0))),"— (a preencher em 01_Formulario_A02)")</f>
        <v/>
      </c>
    </row>
    <row r="621">
      <c r="A621" s="13" t="inlineStr">
        <is>
          <t>D10-DOC-PRD-001.SCHEMA.FUNCTIONAL_REQUIREMENTS</t>
        </is>
      </c>
      <c r="B621" s="2" t="inlineStr">
        <is>
          <t>functional_requirements</t>
        </is>
      </c>
      <c r="C621" s="14">
        <f>IFERROR(IF(INDEX('01_Formulario_A02'!$D:$D,MATCH("D10-DOC-PRD-001.SCHEMA.FUNCTIONAL_REQUIREMENTS",'01_Formulario_A02'!$A:$A,0))="","— (a preencher em 01_Formulario_A02)",INDEX('01_Formulario_A02'!$D:$D,MATCH("D10-DOC-PRD-001.SCHEMA.FUNCTIONAL_REQUIREMENTS",'01_Formulario_A02'!$A:$A,0))),"— (a preencher em 01_Formulario_A02)")</f>
        <v/>
      </c>
    </row>
    <row r="622">
      <c r="A622" s="13" t="inlineStr">
        <is>
          <t>D10-DOC-PRD-001.SCHEMA.NON_FUNCTIONAL_REQUIREMENTS</t>
        </is>
      </c>
      <c r="B622" s="2" t="inlineStr">
        <is>
          <t>non_functional_requirements</t>
        </is>
      </c>
      <c r="C622" s="14">
        <f>IFERROR(IF(INDEX('01_Formulario_A02'!$D:$D,MATCH("D10-DOC-PRD-001.SCHEMA.NON_FUNCTIONAL_REQUIREMENTS",'01_Formulario_A02'!$A:$A,0))="","— (a preencher em 01_Formulario_A02)",INDEX('01_Formulario_A02'!$D:$D,MATCH("D10-DOC-PRD-001.SCHEMA.NON_FUNCTIONAL_REQUIREMENTS",'01_Formulario_A02'!$A:$A,0))),"— (a preencher em 01_Formulario_A02)")</f>
        <v/>
      </c>
    </row>
    <row r="623">
      <c r="A623" s="13" t="inlineStr">
        <is>
          <t>D10-DOC-PRD-001.SCHEMA.USER_FLOWS</t>
        </is>
      </c>
      <c r="B623" s="2" t="inlineStr">
        <is>
          <t>user_flows</t>
        </is>
      </c>
      <c r="C623" s="14">
        <f>IFERROR(IF(INDEX('01_Formulario_A02'!$D:$D,MATCH("D10-DOC-PRD-001.SCHEMA.USER_FLOWS",'01_Formulario_A02'!$A:$A,0))="","— (a preencher em 01_Formulario_A02)",INDEX('01_Formulario_A02'!$D:$D,MATCH("D10-DOC-PRD-001.SCHEMA.USER_FLOWS",'01_Formulario_A02'!$A:$A,0))),"— (a preencher em 01_Formulario_A02)")</f>
        <v/>
      </c>
    </row>
    <row r="624">
      <c r="A624" s="13" t="inlineStr">
        <is>
          <t>D10-DOC-PRD-001.SCHEMA.STATES</t>
        </is>
      </c>
      <c r="B624" s="2" t="inlineStr">
        <is>
          <t>states</t>
        </is>
      </c>
      <c r="C624" s="14">
        <f>IFERROR(IF(INDEX('01_Formulario_A02'!$D:$D,MATCH("D10-DOC-PRD-001.SCHEMA.STATES",'01_Formulario_A02'!$A:$A,0))="","— (a preencher em 01_Formulario_A02)",INDEX('01_Formulario_A02'!$D:$D,MATCH("D10-DOC-PRD-001.SCHEMA.STATES",'01_Formulario_A02'!$A:$A,0))),"— (a preencher em 01_Formulario_A02)")</f>
        <v/>
      </c>
    </row>
    <row r="625">
      <c r="A625" s="13" t="inlineStr">
        <is>
          <t>D10-DOC-PRD-001.SCHEMA.EDGE_CASES</t>
        </is>
      </c>
      <c r="B625" s="2" t="inlineStr">
        <is>
          <t>edge_cases</t>
        </is>
      </c>
      <c r="C625" s="14">
        <f>IFERROR(IF(INDEX('01_Formulario_A02'!$D:$D,MATCH("D10-DOC-PRD-001.SCHEMA.EDGE_CASES",'01_Formulario_A02'!$A:$A,0))="","— (a preencher em 01_Formulario_A02)",INDEX('01_Formulario_A02'!$D:$D,MATCH("D10-DOC-PRD-001.SCHEMA.EDGE_CASES",'01_Formulario_A02'!$A:$A,0))),"— (a preencher em 01_Formulario_A02)")</f>
        <v/>
      </c>
    </row>
    <row r="626">
      <c r="A626" s="13" t="inlineStr">
        <is>
          <t>D10-DOC-PRD-001.SCHEMA.INTEGRATIONS</t>
        </is>
      </c>
      <c r="B626" s="2" t="inlineStr">
        <is>
          <t>integrations</t>
        </is>
      </c>
      <c r="C626" s="14">
        <f>IFERROR(IF(INDEX('01_Formulario_A02'!$D:$D,MATCH("D10-DOC-PRD-001.SCHEMA.INTEGRATIONS",'01_Formulario_A02'!$A:$A,0))="","— (a preencher em 01_Formulario_A02)",INDEX('01_Formulario_A02'!$D:$D,MATCH("D10-DOC-PRD-001.SCHEMA.INTEGRATIONS",'01_Formulario_A02'!$A:$A,0))),"— (a preencher em 01_Formulario_A02)")</f>
        <v/>
      </c>
    </row>
    <row r="627">
      <c r="A627" s="13" t="inlineStr">
        <is>
          <t>D10-DOC-PRD-001.SCHEMA.DATA_REQUIREMENTS</t>
        </is>
      </c>
      <c r="B627" s="2" t="inlineStr">
        <is>
          <t>data_requirements</t>
        </is>
      </c>
      <c r="C627" s="14">
        <f>IFERROR(IF(INDEX('01_Formulario_A02'!$D:$D,MATCH("D10-DOC-PRD-001.SCHEMA.DATA_REQUIREMENTS",'01_Formulario_A02'!$A:$A,0))="","— (a preencher em 01_Formulario_A02)",INDEX('01_Formulario_A02'!$D:$D,MATCH("D10-DOC-PRD-001.SCHEMA.DATA_REQUIREMENTS",'01_Formulario_A02'!$A:$A,0))),"— (a preencher em 01_Formulario_A02)")</f>
        <v/>
      </c>
    </row>
    <row r="628">
      <c r="A628" s="13" t="inlineStr">
        <is>
          <t>D10-DOC-PRD-001.SCHEMA.ANALYTICS</t>
        </is>
      </c>
      <c r="B628" s="2" t="inlineStr">
        <is>
          <t>analytics</t>
        </is>
      </c>
      <c r="C628" s="14">
        <f>IFERROR(IF(INDEX('01_Formulario_A02'!$D:$D,MATCH("D10-DOC-PRD-001.SCHEMA.ANALYTICS",'01_Formulario_A02'!$A:$A,0))="","— (a preencher em 01_Formulario_A02)",INDEX('01_Formulario_A02'!$D:$D,MATCH("D10-DOC-PRD-001.SCHEMA.ANALYTICS",'01_Formulario_A02'!$A:$A,0))),"— (a preencher em 01_Formulario_A02)")</f>
        <v/>
      </c>
    </row>
    <row r="629">
      <c r="A629" s="13" t="inlineStr">
        <is>
          <t>D10-DOC-PRD-001.SCHEMA.SECURITY</t>
        </is>
      </c>
      <c r="B629" s="2" t="inlineStr">
        <is>
          <t>security</t>
        </is>
      </c>
      <c r="C629" s="14">
        <f>IFERROR(IF(INDEX('01_Formulario_A02'!$D:$D,MATCH("D10-DOC-PRD-001.SCHEMA.SECURITY",'01_Formulario_A02'!$A:$A,0))="","— (a preencher em 01_Formulario_A02)",INDEX('01_Formulario_A02'!$D:$D,MATCH("D10-DOC-PRD-001.SCHEMA.SECURITY",'01_Formulario_A02'!$A:$A,0))),"— (a preencher em 01_Formulario_A02)")</f>
        <v/>
      </c>
    </row>
    <row r="630">
      <c r="A630" s="13" t="inlineStr">
        <is>
          <t>D10-DOC-PRD-001.SCHEMA.PRIVACY</t>
        </is>
      </c>
      <c r="B630" s="2" t="inlineStr">
        <is>
          <t>privacy</t>
        </is>
      </c>
      <c r="C630" s="14">
        <f>IFERROR(IF(INDEX('01_Formulario_A02'!$D:$D,MATCH("D10-DOC-PRD-001.SCHEMA.PRIVACY",'01_Formulario_A02'!$A:$A,0))="","— (a preencher em 01_Formulario_A02)",INDEX('01_Formulario_A02'!$D:$D,MATCH("D10-DOC-PRD-001.SCHEMA.PRIVACY",'01_Formulario_A02'!$A:$A,0))),"— (a preencher em 01_Formulario_A02)")</f>
        <v/>
      </c>
    </row>
    <row r="631">
      <c r="A631" s="13" t="inlineStr">
        <is>
          <t>D10-DOC-PRD-001.SCHEMA.ACCESSIBILITY</t>
        </is>
      </c>
      <c r="B631" s="2" t="inlineStr">
        <is>
          <t>accessibility</t>
        </is>
      </c>
      <c r="C631" s="14">
        <f>IFERROR(IF(INDEX('01_Formulario_A02'!$D:$D,MATCH("D10-DOC-PRD-001.SCHEMA.ACCESSIBILITY",'01_Formulario_A02'!$A:$A,0))="","— (a preencher em 01_Formulario_A02)",INDEX('01_Formulario_A02'!$D:$D,MATCH("D10-DOC-PRD-001.SCHEMA.ACCESSIBILITY",'01_Formulario_A02'!$A:$A,0))),"— (a preencher em 01_Formulario_A02)")</f>
        <v/>
      </c>
    </row>
    <row r="632">
      <c r="A632" s="13" t="inlineStr">
        <is>
          <t>D10-DOC-PRD-001.SCHEMA.ACCEPTANCE_CRITERIA</t>
        </is>
      </c>
      <c r="B632" s="2" t="inlineStr">
        <is>
          <t>acceptance_criteria</t>
        </is>
      </c>
      <c r="C632" s="14">
        <f>IFERROR(IF(INDEX('01_Formulario_A02'!$D:$D,MATCH("D10-DOC-PRD-001.SCHEMA.ACCEPTANCE_CRITERIA",'01_Formulario_A02'!$A:$A,0))="","— (a preencher em 01_Formulario_A02)",INDEX('01_Formulario_A02'!$D:$D,MATCH("D10-DOC-PRD-001.SCHEMA.ACCEPTANCE_CRITERIA",'01_Formulario_A02'!$A:$A,0))),"— (a preencher em 01_Formulario_A02)")</f>
        <v/>
      </c>
    </row>
    <row r="633">
      <c r="A633" s="13" t="inlineStr">
        <is>
          <t>D10-DOC-PRD-001.SCHEMA.DEPENDENCIES</t>
        </is>
      </c>
      <c r="B633" s="2" t="inlineStr">
        <is>
          <t>dependencies</t>
        </is>
      </c>
      <c r="C633" s="14">
        <f>IFERROR(IF(INDEX('01_Formulario_A02'!$D:$D,MATCH("D10-DOC-PRD-001.SCHEMA.DEPENDENCIES",'01_Formulario_A02'!$A:$A,0))="","— (a preencher em 01_Formulario_A02)",INDEX('01_Formulario_A02'!$D:$D,MATCH("D10-DOC-PRD-001.SCHEMA.DEPENDENCIES",'01_Formulario_A02'!$A:$A,0))),"— (a preencher em 01_Formulario_A02)")</f>
        <v/>
      </c>
    </row>
    <row r="634">
      <c r="A634" s="13" t="inlineStr">
        <is>
          <t>D10-DOC-PRD-001.SCHEMA.RELEASE_CRITERIA</t>
        </is>
      </c>
      <c r="B634" s="2" t="inlineStr">
        <is>
          <t>release_criteria</t>
        </is>
      </c>
      <c r="C634" s="14">
        <f>IFERROR(IF(INDEX('01_Formulario_A02'!$D:$D,MATCH("D10-DOC-PRD-001.SCHEMA.RELEASE_CRITERIA",'01_Formulario_A02'!$A:$A,0))="","— (a preencher em 01_Formulario_A02)",INDEX('01_Formulario_A02'!$D:$D,MATCH("D10-DOC-PRD-001.SCHEMA.RELEASE_CRITERIA",'01_Formulario_A02'!$A:$A,0))),"— (a preencher em 01_Formulario_A02)")</f>
        <v/>
      </c>
    </row>
    <row r="635">
      <c r="A635" s="5" t="inlineStr">
        <is>
          <t>D11-DOC-EEP-001 — Especificação de Experiência e Projeto [PRE_PREENCHIDO/PENDENTE]</t>
        </is>
      </c>
      <c r="B635" s="6" t="n"/>
      <c r="C635" s="7" t="n"/>
    </row>
    <row r="636">
      <c r="A636" s="13" t="inlineStr">
        <is>
          <t>D11-DOC-EEP-001.USER_RESEARCH.EVIDENCIAS</t>
        </is>
      </c>
      <c r="B636" s="2" t="inlineStr">
        <is>
          <t>evidencias</t>
        </is>
      </c>
      <c r="C636" s="14">
        <f>IFERROR(IF(INDEX('01_Formulario_A02'!$D:$D,MATCH("D11-DOC-EEP-001.USER_RESEARCH.EVIDENCIAS",'01_Formulario_A02'!$A:$A,0))="","— (a preencher em 01_Formulario_A02)",INDEX('01_Formulario_A02'!$D:$D,MATCH("D11-DOC-EEP-001.USER_RESEARCH.EVIDENCIAS",'01_Formulario_A02'!$A:$A,0))),"— (a preencher em 01_Formulario_A02)")</f>
        <v/>
      </c>
    </row>
    <row r="637">
      <c r="A637" s="13" t="inlineStr">
        <is>
          <t>D11-DOC-EEP-001.USER_RESEARCH.NECESSIDADES</t>
        </is>
      </c>
      <c r="B637" s="2" t="inlineStr">
        <is>
          <t>necessidades</t>
        </is>
      </c>
      <c r="C637" s="14">
        <f>IFERROR(IF(INDEX('01_Formulario_A02'!$D:$D,MATCH("D11-DOC-EEP-001.USER_RESEARCH.NECESSIDADES",'01_Formulario_A02'!$A:$A,0))="","— (a preencher em 01_Formulario_A02)",INDEX('01_Formulario_A02'!$D:$D,MATCH("D11-DOC-EEP-001.USER_RESEARCH.NECESSIDADES",'01_Formulario_A02'!$A:$A,0))),"— (a preencher em 01_Formulario_A02)")</f>
        <v/>
      </c>
    </row>
    <row r="638">
      <c r="A638" s="13" t="inlineStr">
        <is>
          <t>D11-DOC-EEP-001.PERSONAS.PERFIL</t>
        </is>
      </c>
      <c r="B638" s="2" t="inlineStr">
        <is>
          <t>perfil</t>
        </is>
      </c>
      <c r="C638" s="14">
        <f>IFERROR(IF(INDEX('01_Formulario_A02'!$D:$D,MATCH("D11-DOC-EEP-001.PERSONAS.PERFIL",'01_Formulario_A02'!$A:$A,0))="","— (a preencher em 01_Formulario_A02)",INDEX('01_Formulario_A02'!$D:$D,MATCH("D11-DOC-EEP-001.PERSONAS.PERFIL",'01_Formulario_A02'!$A:$A,0))),"— (a preencher em 01_Formulario_A02)")</f>
        <v/>
      </c>
    </row>
    <row r="639">
      <c r="A639" s="13" t="inlineStr">
        <is>
          <t>D11-DOC-EEP-001.PERSONAS.CONTEXTO</t>
        </is>
      </c>
      <c r="B639" s="2" t="inlineStr">
        <is>
          <t>contexto</t>
        </is>
      </c>
      <c r="C639" s="14">
        <f>IFERROR(IF(INDEX('01_Formulario_A02'!$D:$D,MATCH("D11-DOC-EEP-001.PERSONAS.CONTEXTO",'01_Formulario_A02'!$A:$A,0))="","— (a preencher em 01_Formulario_A02)",INDEX('01_Formulario_A02'!$D:$D,MATCH("D11-DOC-EEP-001.PERSONAS.CONTEXTO",'01_Formulario_A02'!$A:$A,0))),"— (a preencher em 01_Formulario_A02)")</f>
        <v/>
      </c>
    </row>
    <row r="640">
      <c r="A640" s="13" t="inlineStr">
        <is>
          <t>D11-DOC-EEP-001.JOURNEYS.ETAPA</t>
        </is>
      </c>
      <c r="B640" s="2" t="inlineStr">
        <is>
          <t>etapa</t>
        </is>
      </c>
      <c r="C640" s="14">
        <f>IFERROR(IF(INDEX('01_Formulario_A02'!$D:$D,MATCH("D11-DOC-EEP-001.JOURNEYS.ETAPA",'01_Formulario_A02'!$A:$A,0))="","— (a preencher em 01_Formulario_A02)",INDEX('01_Formulario_A02'!$D:$D,MATCH("D11-DOC-EEP-001.JOURNEYS.ETAPA",'01_Formulario_A02'!$A:$A,0))),"— (a preencher em 01_Formulario_A02)")</f>
        <v/>
      </c>
    </row>
    <row r="641">
      <c r="A641" s="13" t="inlineStr">
        <is>
          <t>D11-DOC-EEP-001.JOURNEYS.ACAO</t>
        </is>
      </c>
      <c r="B641" s="2" t="inlineStr">
        <is>
          <t>acao</t>
        </is>
      </c>
      <c r="C641" s="14">
        <f>IFERROR(IF(INDEX('01_Formulario_A02'!$D:$D,MATCH("D11-DOC-EEP-001.JOURNEYS.ACAO",'01_Formulario_A02'!$A:$A,0))="","— (a preencher em 01_Formulario_A02)",INDEX('01_Formulario_A02'!$D:$D,MATCH("D11-DOC-EEP-001.JOURNEYS.ACAO",'01_Formulario_A02'!$A:$A,0))),"— (a preencher em 01_Formulario_A02)")</f>
        <v/>
      </c>
    </row>
    <row r="642">
      <c r="A642" s="13" t="inlineStr">
        <is>
          <t>D11-DOC-EEP-001.JOURNEYS.FRICCAO</t>
        </is>
      </c>
      <c r="B642" s="2" t="inlineStr">
        <is>
          <t>friccao</t>
        </is>
      </c>
      <c r="C642" s="14">
        <f>IFERROR(IF(INDEX('01_Formulario_A02'!$D:$D,MATCH("D11-DOC-EEP-001.JOURNEYS.FRICCAO",'01_Formulario_A02'!$A:$A,0))="","— (a preencher em 01_Formulario_A02)",INDEX('01_Formulario_A02'!$D:$D,MATCH("D11-DOC-EEP-001.JOURNEYS.FRICCAO",'01_Formulario_A02'!$A:$A,0))),"— (a preencher em 01_Formulario_A02)")</f>
        <v/>
      </c>
    </row>
    <row r="643">
      <c r="A643" s="13" t="inlineStr">
        <is>
          <t>D11-DOC-EEP-001.INFORMATION_ARCHITECTURE.NAVEGACAO</t>
        </is>
      </c>
      <c r="B643" s="2" t="inlineStr">
        <is>
          <t>navegacao</t>
        </is>
      </c>
      <c r="C643" s="14">
        <f>IFERROR(IF(INDEX('01_Formulario_A02'!$D:$D,MATCH("D11-DOC-EEP-001.INFORMATION_ARCHITECTURE.NAVEGACAO",'01_Formulario_A02'!$A:$A,0))="","— (a preencher em 01_Formulario_A02)",INDEX('01_Formulario_A02'!$D:$D,MATCH("D11-DOC-EEP-001.INFORMATION_ARCHITECTURE.NAVEGACAO",'01_Formulario_A02'!$A:$A,0))),"— (a preencher em 01_Formulario_A02)")</f>
        <v/>
      </c>
    </row>
    <row r="644">
      <c r="A644" s="13" t="inlineStr">
        <is>
          <t>D11-DOC-EEP-001.INFORMATION_ARCHITECTURE.HIERARQUIA</t>
        </is>
      </c>
      <c r="B644" s="2" t="inlineStr">
        <is>
          <t>hierarquia</t>
        </is>
      </c>
      <c r="C644" s="14">
        <f>IFERROR(IF(INDEX('01_Formulario_A02'!$D:$D,MATCH("D11-DOC-EEP-001.INFORMATION_ARCHITECTURE.HIERARQUIA",'01_Formulario_A02'!$A:$A,0))="","— (a preencher em 01_Formulario_A02)",INDEX('01_Formulario_A02'!$D:$D,MATCH("D11-DOC-EEP-001.INFORMATION_ARCHITECTURE.HIERARQUIA",'01_Formulario_A02'!$A:$A,0))),"— (a preencher em 01_Formulario_A02)")</f>
        <v/>
      </c>
    </row>
    <row r="645">
      <c r="A645" s="13" t="inlineStr">
        <is>
          <t>D11-DOC-EEP-001.FLOWS.ENTRADA</t>
        </is>
      </c>
      <c r="B645" s="2" t="inlineStr">
        <is>
          <t>entrada</t>
        </is>
      </c>
      <c r="C645" s="14">
        <f>IFERROR(IF(INDEX('01_Formulario_A02'!$D:$D,MATCH("D11-DOC-EEP-001.FLOWS.ENTRADA",'01_Formulario_A02'!$A:$A,0))="","— (a preencher em 01_Formulario_A02)",INDEX('01_Formulario_A02'!$D:$D,MATCH("D11-DOC-EEP-001.FLOWS.ENTRADA",'01_Formulario_A02'!$A:$A,0))),"— (a preencher em 01_Formulario_A02)")</f>
        <v/>
      </c>
    </row>
    <row r="646">
      <c r="A646" s="13" t="inlineStr">
        <is>
          <t>D11-DOC-EEP-001.FLOWS.DECISAO</t>
        </is>
      </c>
      <c r="B646" s="2" t="inlineStr">
        <is>
          <t>decisao</t>
        </is>
      </c>
      <c r="C646" s="14">
        <f>IFERROR(IF(INDEX('01_Formulario_A02'!$D:$D,MATCH("D11-DOC-EEP-001.FLOWS.DECISAO",'01_Formulario_A02'!$A:$A,0))="","— (a preencher em 01_Formulario_A02)",INDEX('01_Formulario_A02'!$D:$D,MATCH("D11-DOC-EEP-001.FLOWS.DECISAO",'01_Formulario_A02'!$A:$A,0))),"— (a preencher em 01_Formulario_A02)")</f>
        <v/>
      </c>
    </row>
    <row r="647">
      <c r="A647" s="13" t="inlineStr">
        <is>
          <t>D11-DOC-EEP-001.FLOWS.SAIDA</t>
        </is>
      </c>
      <c r="B647" s="2" t="inlineStr">
        <is>
          <t>saida</t>
        </is>
      </c>
      <c r="C647" s="14">
        <f>IFERROR(IF(INDEX('01_Formulario_A02'!$D:$D,MATCH("D11-DOC-EEP-001.FLOWS.SAIDA",'01_Formulario_A02'!$A:$A,0))="","— (a preencher em 01_Formulario_A02)",INDEX('01_Formulario_A02'!$D:$D,MATCH("D11-DOC-EEP-001.FLOWS.SAIDA",'01_Formulario_A02'!$A:$A,0))),"— (a preencher em 01_Formulario_A02)")</f>
        <v/>
      </c>
    </row>
    <row r="648">
      <c r="A648" s="13" t="inlineStr">
        <is>
          <t>D11-DOC-EEP-001.INTERACTION.COMPORTAMENTO</t>
        </is>
      </c>
      <c r="B648" s="2" t="inlineStr">
        <is>
          <t>comportamento</t>
        </is>
      </c>
      <c r="C648" s="14">
        <f>IFERROR(IF(INDEX('01_Formulario_A02'!$D:$D,MATCH("D11-DOC-EEP-001.INTERACTION.COMPORTAMENTO",'01_Formulario_A02'!$A:$A,0))="","— (a preencher em 01_Formulario_A02)",INDEX('01_Formulario_A02'!$D:$D,MATCH("D11-DOC-EEP-001.INTERACTION.COMPORTAMENTO",'01_Formulario_A02'!$A:$A,0))),"— (a preencher em 01_Formulario_A02)")</f>
        <v/>
      </c>
    </row>
    <row r="649">
      <c r="A649" s="13" t="inlineStr">
        <is>
          <t>D11-DOC-EEP-001.INTERACTION.FEEDBACK</t>
        </is>
      </c>
      <c r="B649" s="2" t="inlineStr">
        <is>
          <t>feedback</t>
        </is>
      </c>
      <c r="C649" s="14">
        <f>IFERROR(IF(INDEX('01_Formulario_A02'!$D:$D,MATCH("D11-DOC-EEP-001.INTERACTION.FEEDBACK",'01_Formulario_A02'!$A:$A,0))="","— (a preencher em 01_Formulario_A02)",INDEX('01_Formulario_A02'!$D:$D,MATCH("D11-DOC-EEP-001.INTERACTION.FEEDBACK",'01_Formulario_A02'!$A:$A,0))),"— (a preencher em 01_Formulario_A02)")</f>
        <v/>
      </c>
    </row>
    <row r="650">
      <c r="A650" s="13" t="inlineStr">
        <is>
          <t>D11-DOC-EEP-001.STATES.LOADING</t>
        </is>
      </c>
      <c r="B650" s="2" t="inlineStr">
        <is>
          <t>loading</t>
        </is>
      </c>
      <c r="C650" s="14">
        <f>IFERROR(IF(INDEX('01_Formulario_A02'!$D:$D,MATCH("D11-DOC-EEP-001.STATES.LOADING",'01_Formulario_A02'!$A:$A,0))="","— (a preencher em 01_Formulario_A02)",INDEX('01_Formulario_A02'!$D:$D,MATCH("D11-DOC-EEP-001.STATES.LOADING",'01_Formulario_A02'!$A:$A,0))),"— (a preencher em 01_Formulario_A02)")</f>
        <v/>
      </c>
    </row>
    <row r="651">
      <c r="A651" s="13" t="inlineStr">
        <is>
          <t>D11-DOC-EEP-001.STATES.VAZIO</t>
        </is>
      </c>
      <c r="B651" s="2" t="inlineStr">
        <is>
          <t>vazio</t>
        </is>
      </c>
      <c r="C651" s="14">
        <f>IFERROR(IF(INDEX('01_Formulario_A02'!$D:$D,MATCH("D11-DOC-EEP-001.STATES.VAZIO",'01_Formulario_A02'!$A:$A,0))="","— (a preencher em 01_Formulario_A02)",INDEX('01_Formulario_A02'!$D:$D,MATCH("D11-DOC-EEP-001.STATES.VAZIO",'01_Formulario_A02'!$A:$A,0))),"— (a preencher em 01_Formulario_A02)")</f>
        <v/>
      </c>
    </row>
    <row r="652">
      <c r="A652" s="13" t="inlineStr">
        <is>
          <t>D11-DOC-EEP-001.STATES.ERRO</t>
        </is>
      </c>
      <c r="B652" s="2" t="inlineStr">
        <is>
          <t>erro</t>
        </is>
      </c>
      <c r="C652" s="14">
        <f>IFERROR(IF(INDEX('01_Formulario_A02'!$D:$D,MATCH("D11-DOC-EEP-001.STATES.ERRO",'01_Formulario_A02'!$A:$A,0))="","— (a preencher em 01_Formulario_A02)",INDEX('01_Formulario_A02'!$D:$D,MATCH("D11-DOC-EEP-001.STATES.ERRO",'01_Formulario_A02'!$A:$A,0))),"— (a preencher em 01_Formulario_A02)")</f>
        <v/>
      </c>
    </row>
    <row r="653">
      <c r="A653" s="13" t="inlineStr">
        <is>
          <t>D11-DOC-EEP-001.STATES.SUCESSO</t>
        </is>
      </c>
      <c r="B653" s="2" t="inlineStr">
        <is>
          <t>sucesso</t>
        </is>
      </c>
      <c r="C653" s="14">
        <f>IFERROR(IF(INDEX('01_Formulario_A02'!$D:$D,MATCH("D11-DOC-EEP-001.STATES.SUCESSO",'01_Formulario_A02'!$A:$A,0))="","— (a preencher em 01_Formulario_A02)",INDEX('01_Formulario_A02'!$D:$D,MATCH("D11-DOC-EEP-001.STATES.SUCESSO",'01_Formulario_A02'!$A:$A,0))),"— (a preencher em 01_Formulario_A02)")</f>
        <v/>
      </c>
    </row>
    <row r="654">
      <c r="A654" s="13" t="inlineStr">
        <is>
          <t>D11-DOC-EEP-001.CONTENT.MICROCOPY</t>
        </is>
      </c>
      <c r="B654" s="2" t="inlineStr">
        <is>
          <t>microcopy</t>
        </is>
      </c>
      <c r="C654" s="14">
        <f>IFERROR(IF(INDEX('01_Formulario_A02'!$D:$D,MATCH("D11-DOC-EEP-001.CONTENT.MICROCOPY",'01_Formulario_A02'!$A:$A,0))="","— (a preencher em 01_Formulario_A02)",INDEX('01_Formulario_A02'!$D:$D,MATCH("D11-DOC-EEP-001.CONTENT.MICROCOPY",'01_Formulario_A02'!$A:$A,0))),"— (a preencher em 01_Formulario_A02)")</f>
        <v/>
      </c>
    </row>
    <row r="655">
      <c r="A655" s="13" t="inlineStr">
        <is>
          <t>D11-DOC-EEP-001.CONTENT.ORIENTACAO</t>
        </is>
      </c>
      <c r="B655" s="2" t="inlineStr">
        <is>
          <t>orientacao</t>
        </is>
      </c>
      <c r="C655" s="14">
        <f>IFERROR(IF(INDEX('01_Formulario_A02'!$D:$D,MATCH("D11-DOC-EEP-001.CONTENT.ORIENTACAO",'01_Formulario_A02'!$A:$A,0))="","— (a preencher em 01_Formulario_A02)",INDEX('01_Formulario_A02'!$D:$D,MATCH("D11-DOC-EEP-001.CONTENT.ORIENTACAO",'01_Formulario_A02'!$A:$A,0))),"— (a preencher em 01_Formulario_A02)")</f>
        <v/>
      </c>
    </row>
    <row r="656">
      <c r="A656" s="13" t="inlineStr">
        <is>
          <t>D11-DOC-EEP-001.RESPONSIVE.MOBILE</t>
        </is>
      </c>
      <c r="B656" s="2" t="inlineStr">
        <is>
          <t>mobile</t>
        </is>
      </c>
      <c r="C656" s="14">
        <f>IFERROR(IF(INDEX('01_Formulario_A02'!$D:$D,MATCH("D11-DOC-EEP-001.RESPONSIVE.MOBILE",'01_Formulario_A02'!$A:$A,0))="","— (a preencher em 01_Formulario_A02)",INDEX('01_Formulario_A02'!$D:$D,MATCH("D11-DOC-EEP-001.RESPONSIVE.MOBILE",'01_Formulario_A02'!$A:$A,0))),"— (a preencher em 01_Formulario_A02)")</f>
        <v/>
      </c>
    </row>
    <row r="657">
      <c r="A657" s="13" t="inlineStr">
        <is>
          <t>D11-DOC-EEP-001.RESPONSIVE.TABLET</t>
        </is>
      </c>
      <c r="B657" s="2" t="inlineStr">
        <is>
          <t>tablet</t>
        </is>
      </c>
      <c r="C657" s="14">
        <f>IFERROR(IF(INDEX('01_Formulario_A02'!$D:$D,MATCH("D11-DOC-EEP-001.RESPONSIVE.TABLET",'01_Formulario_A02'!$A:$A,0))="","— (a preencher em 01_Formulario_A02)",INDEX('01_Formulario_A02'!$D:$D,MATCH("D11-DOC-EEP-001.RESPONSIVE.TABLET",'01_Formulario_A02'!$A:$A,0))),"— (a preencher em 01_Formulario_A02)")</f>
        <v/>
      </c>
    </row>
    <row r="658">
      <c r="A658" s="13" t="inlineStr">
        <is>
          <t>D11-DOC-EEP-001.RESPONSIVE.DESKTOP</t>
        </is>
      </c>
      <c r="B658" s="2" t="inlineStr">
        <is>
          <t>desktop</t>
        </is>
      </c>
      <c r="C658" s="14">
        <f>IFERROR(IF(INDEX('01_Formulario_A02'!$D:$D,MATCH("D11-DOC-EEP-001.RESPONSIVE.DESKTOP",'01_Formulario_A02'!$A:$A,0))="","— (a preencher em 01_Formulario_A02)",INDEX('01_Formulario_A02'!$D:$D,MATCH("D11-DOC-EEP-001.RESPONSIVE.DESKTOP",'01_Formulario_A02'!$A:$A,0))),"— (a preencher em 01_Formulario_A02)")</f>
        <v/>
      </c>
    </row>
    <row r="659">
      <c r="A659" s="13" t="inlineStr">
        <is>
          <t>D11-DOC-EEP-001.ACCESSIBILITY.TECLADO</t>
        </is>
      </c>
      <c r="B659" s="2" t="inlineStr">
        <is>
          <t>teclado</t>
        </is>
      </c>
      <c r="C659" s="14">
        <f>IFERROR(IF(INDEX('01_Formulario_A02'!$D:$D,MATCH("D11-DOC-EEP-001.ACCESSIBILITY.TECLADO",'01_Formulario_A02'!$A:$A,0))="","— (a preencher em 01_Formulario_A02)",INDEX('01_Formulario_A02'!$D:$D,MATCH("D11-DOC-EEP-001.ACCESSIBILITY.TECLADO",'01_Formulario_A02'!$A:$A,0))),"— (a preencher em 01_Formulario_A02)")</f>
        <v/>
      </c>
    </row>
    <row r="660">
      <c r="A660" s="13" t="inlineStr">
        <is>
          <t>D11-DOC-EEP-001.ACCESSIBILITY.CONTRASTE</t>
        </is>
      </c>
      <c r="B660" s="2" t="inlineStr">
        <is>
          <t>contraste</t>
        </is>
      </c>
      <c r="C660" s="14">
        <f>IFERROR(IF(INDEX('01_Formulario_A02'!$D:$D,MATCH("D11-DOC-EEP-001.ACCESSIBILITY.CONTRASTE",'01_Formulario_A02'!$A:$A,0))="","— (a preencher em 01_Formulario_A02)",INDEX('01_Formulario_A02'!$D:$D,MATCH("D11-DOC-EEP-001.ACCESSIBILITY.CONTRASTE",'01_Formulario_A02'!$A:$A,0))),"— (a preencher em 01_Formulario_A02)")</f>
        <v/>
      </c>
    </row>
    <row r="661">
      <c r="A661" s="13" t="inlineStr">
        <is>
          <t>D11-DOC-EEP-001.ACCESSIBILITY.SEMANTICA</t>
        </is>
      </c>
      <c r="B661" s="2" t="inlineStr">
        <is>
          <t>semantica</t>
        </is>
      </c>
      <c r="C661" s="14">
        <f>IFERROR(IF(INDEX('01_Formulario_A02'!$D:$D,MATCH("D11-DOC-EEP-001.ACCESSIBILITY.SEMANTICA",'01_Formulario_A02'!$A:$A,0))="","— (a preencher em 01_Formulario_A02)",INDEX('01_Formulario_A02'!$D:$D,MATCH("D11-DOC-EEP-001.ACCESSIBILITY.SEMANTICA",'01_Formulario_A02'!$A:$A,0))),"— (a preencher em 01_Formulario_A02)")</f>
        <v/>
      </c>
    </row>
    <row r="662">
      <c r="A662" s="13" t="inlineStr">
        <is>
          <t>D11-DOC-EEP-001.ACCESSIBILITY.MOVIMENTO</t>
        </is>
      </c>
      <c r="B662" s="2" t="inlineStr">
        <is>
          <t>movimento</t>
        </is>
      </c>
      <c r="C662" s="14">
        <f>IFERROR(IF(INDEX('01_Formulario_A02'!$D:$D,MATCH("D11-DOC-EEP-001.ACCESSIBILITY.MOVIMENTO",'01_Formulario_A02'!$A:$A,0))="","— (a preencher em 01_Formulario_A02)",INDEX('01_Formulario_A02'!$D:$D,MATCH("D11-DOC-EEP-001.ACCESSIBILITY.MOVIMENTO",'01_Formulario_A02'!$A:$A,0))),"— (a preencher em 01_Formulario_A02)")</f>
        <v/>
      </c>
    </row>
    <row r="663">
      <c r="A663" s="13" t="inlineStr">
        <is>
          <t>D11-DOC-EEP-001.PROTOTYPE.ARTEFATO</t>
        </is>
      </c>
      <c r="B663" s="2" t="inlineStr">
        <is>
          <t>artefato</t>
        </is>
      </c>
      <c r="C663" s="14">
        <f>IFERROR(IF(INDEX('01_Formulario_A02'!$D:$D,MATCH("D11-DOC-EEP-001.PROTOTYPE.ARTEFATO",'01_Formulario_A02'!$A:$A,0))="","— (a preencher em 01_Formulario_A02)",INDEX('01_Formulario_A02'!$D:$D,MATCH("D11-DOC-EEP-001.PROTOTYPE.ARTEFATO",'01_Formulario_A02'!$A:$A,0))),"— (a preencher em 01_Formulario_A02)")</f>
        <v/>
      </c>
    </row>
    <row r="664">
      <c r="A664" s="13" t="inlineStr">
        <is>
          <t>D11-DOC-EEP-001.PROTOTYPE.STATUS</t>
        </is>
      </c>
      <c r="B664" s="2" t="inlineStr">
        <is>
          <t>status</t>
        </is>
      </c>
      <c r="C664" s="14">
        <f>IFERROR(IF(INDEX('01_Formulario_A02'!$D:$D,MATCH("D11-DOC-EEP-001.PROTOTYPE.STATUS",'01_Formulario_A02'!$A:$A,0))="","— (a preencher em 01_Formulario_A02)",INDEX('01_Formulario_A02'!$D:$D,MATCH("D11-DOC-EEP-001.PROTOTYPE.STATUS",'01_Formulario_A02'!$A:$A,0))),"— (a preencher em 01_Formulario_A02)")</f>
        <v/>
      </c>
    </row>
    <row r="665">
      <c r="A665" s="13" t="inlineStr">
        <is>
          <t>D11-DOC-EEP-001.VALIDATION.TESTE</t>
        </is>
      </c>
      <c r="B665" s="2" t="inlineStr">
        <is>
          <t>teste</t>
        </is>
      </c>
      <c r="C665" s="14">
        <f>IFERROR(IF(INDEX('01_Formulario_A02'!$D:$D,MATCH("D11-DOC-EEP-001.VALIDATION.TESTE",'01_Formulario_A02'!$A:$A,0))="","— (a preencher em 01_Formulario_A02)",INDEX('01_Formulario_A02'!$D:$D,MATCH("D11-DOC-EEP-001.VALIDATION.TESTE",'01_Formulario_A02'!$A:$A,0))),"— (a preencher em 01_Formulario_A02)")</f>
        <v/>
      </c>
    </row>
    <row r="666">
      <c r="A666" s="13" t="inlineStr">
        <is>
          <t>D11-DOC-EEP-001.VALIDATION.RESULTADO</t>
        </is>
      </c>
      <c r="B666" s="2" t="inlineStr">
        <is>
          <t>resultado</t>
        </is>
      </c>
      <c r="C666" s="14">
        <f>IFERROR(IF(INDEX('01_Formulario_A02'!$D:$D,MATCH("D11-DOC-EEP-001.VALIDATION.RESULTADO",'01_Formulario_A02'!$A:$A,0))="","— (a preencher em 01_Formulario_A02)",INDEX('01_Formulario_A02'!$D:$D,MATCH("D11-DOC-EEP-001.VALIDATION.RESULTADO",'01_Formulario_A02'!$A:$A,0))),"— (a preencher em 01_Formulario_A02)")</f>
        <v/>
      </c>
    </row>
    <row r="667">
      <c r="A667" s="5" t="inlineStr">
        <is>
          <t>D11-DOC-DSI-001 — Sistema de Design e Interface [PRE_PREENCHIDO/PENDENTE]</t>
        </is>
      </c>
      <c r="B667" s="6" t="n"/>
      <c r="C667" s="7" t="n"/>
    </row>
    <row r="668">
      <c r="A668" s="13" t="inlineStr">
        <is>
          <t>D11-DOC-DSI-001.FOUNDATIONS.PRINCIPIOS</t>
        </is>
      </c>
      <c r="B668" s="2" t="inlineStr">
        <is>
          <t>principios</t>
        </is>
      </c>
      <c r="C668" s="14">
        <f>IFERROR(IF(INDEX('01_Formulario_A02'!$D:$D,MATCH("D11-DOC-DSI-001.FOUNDATIONS.PRINCIPIOS",'01_Formulario_A02'!$A:$A,0))="","— (a preencher em 01_Formulario_A02)",INDEX('01_Formulario_A02'!$D:$D,MATCH("D11-DOC-DSI-001.FOUNDATIONS.PRINCIPIOS",'01_Formulario_A02'!$A:$A,0))),"— (a preencher em 01_Formulario_A02)")</f>
        <v/>
      </c>
    </row>
    <row r="669">
      <c r="A669" s="13" t="inlineStr">
        <is>
          <t>D11-DOC-DSI-001.TOKENS.COR</t>
        </is>
      </c>
      <c r="B669" s="2" t="inlineStr">
        <is>
          <t>cor</t>
        </is>
      </c>
      <c r="C669" s="14">
        <f>IFERROR(IF(INDEX('01_Formulario_A02'!$D:$D,MATCH("D11-DOC-DSI-001.TOKENS.COR",'01_Formulario_A02'!$A:$A,0))="","— (a preencher em 01_Formulario_A02)",INDEX('01_Formulario_A02'!$D:$D,MATCH("D11-DOC-DSI-001.TOKENS.COR",'01_Formulario_A02'!$A:$A,0))),"— (a preencher em 01_Formulario_A02)")</f>
        <v/>
      </c>
    </row>
    <row r="670">
      <c r="A670" s="13" t="inlineStr">
        <is>
          <t>D11-DOC-DSI-001.TOKENS.TIPOGRAFIA</t>
        </is>
      </c>
      <c r="B670" s="2" t="inlineStr">
        <is>
          <t>tipografia</t>
        </is>
      </c>
      <c r="C670" s="14">
        <f>IFERROR(IF(INDEX('01_Formulario_A02'!$D:$D,MATCH("D11-DOC-DSI-001.TOKENS.TIPOGRAFIA",'01_Formulario_A02'!$A:$A,0))="","— (a preencher em 01_Formulario_A02)",INDEX('01_Formulario_A02'!$D:$D,MATCH("D11-DOC-DSI-001.TOKENS.TIPOGRAFIA",'01_Formulario_A02'!$A:$A,0))),"— (a preencher em 01_Formulario_A02)")</f>
        <v/>
      </c>
    </row>
    <row r="671">
      <c r="A671" s="13" t="inlineStr">
        <is>
          <t>D11-DOC-DSI-001.TOKENS.ESPACAMENTO</t>
        </is>
      </c>
      <c r="B671" s="2" t="inlineStr">
        <is>
          <t>espacamento</t>
        </is>
      </c>
      <c r="C671" s="14">
        <f>IFERROR(IF(INDEX('01_Formulario_A02'!$D:$D,MATCH("D11-DOC-DSI-001.TOKENS.ESPACAMENTO",'01_Formulario_A02'!$A:$A,0))="","— (a preencher em 01_Formulario_A02)",INDEX('01_Formulario_A02'!$D:$D,MATCH("D11-DOC-DSI-001.TOKENS.ESPACAMENTO",'01_Formulario_A02'!$A:$A,0))),"— (a preencher em 01_Formulario_A02)")</f>
        <v/>
      </c>
    </row>
    <row r="672">
      <c r="A672" s="13" t="inlineStr">
        <is>
          <t>D11-DOC-DSI-001.TOKENS.RAIO</t>
        </is>
      </c>
      <c r="B672" s="2" t="inlineStr">
        <is>
          <t>raio</t>
        </is>
      </c>
      <c r="C672" s="14">
        <f>IFERROR(IF(INDEX('01_Formulario_A02'!$D:$D,MATCH("D11-DOC-DSI-001.TOKENS.RAIO",'01_Formulario_A02'!$A:$A,0))="","— (a preencher em 01_Formulario_A02)",INDEX('01_Formulario_A02'!$D:$D,MATCH("D11-DOC-DSI-001.TOKENS.RAIO",'01_Formulario_A02'!$A:$A,0))),"— (a preencher em 01_Formulario_A02)")</f>
        <v/>
      </c>
    </row>
    <row r="673">
      <c r="A673" s="13" t="inlineStr">
        <is>
          <t>D11-DOC-DSI-001.TOKENS.SOMBRA</t>
        </is>
      </c>
      <c r="B673" s="2" t="inlineStr">
        <is>
          <t>sombra</t>
        </is>
      </c>
      <c r="C673" s="14">
        <f>IFERROR(IF(INDEX('01_Formulario_A02'!$D:$D,MATCH("D11-DOC-DSI-001.TOKENS.SOMBRA",'01_Formulario_A02'!$A:$A,0))="","— (a preencher em 01_Formulario_A02)",INDEX('01_Formulario_A02'!$D:$D,MATCH("D11-DOC-DSI-001.TOKENS.SOMBRA",'01_Formulario_A02'!$A:$A,0))),"— (a preencher em 01_Formulario_A02)")</f>
        <v/>
      </c>
    </row>
    <row r="674">
      <c r="A674" s="13" t="inlineStr">
        <is>
          <t>D11-DOC-DSI-001.GRID.BREAKPOINTS</t>
        </is>
      </c>
      <c r="B674" s="2" t="inlineStr">
        <is>
          <t>breakpoints</t>
        </is>
      </c>
      <c r="C674" s="14">
        <f>IFERROR(IF(INDEX('01_Formulario_A02'!$D:$D,MATCH("D11-DOC-DSI-001.GRID.BREAKPOINTS",'01_Formulario_A02'!$A:$A,0))="","— (a preencher em 01_Formulario_A02)",INDEX('01_Formulario_A02'!$D:$D,MATCH("D11-DOC-DSI-001.GRID.BREAKPOINTS",'01_Formulario_A02'!$A:$A,0))),"— (a preencher em 01_Formulario_A02)")</f>
        <v/>
      </c>
    </row>
    <row r="675">
      <c r="A675" s="13" t="inlineStr">
        <is>
          <t>D11-DOC-DSI-001.GRID.COLUNAS</t>
        </is>
      </c>
      <c r="B675" s="2" t="inlineStr">
        <is>
          <t>colunas</t>
        </is>
      </c>
      <c r="C675" s="14">
        <f>IFERROR(IF(INDEX('01_Formulario_A02'!$D:$D,MATCH("D11-DOC-DSI-001.GRID.COLUNAS",'01_Formulario_A02'!$A:$A,0))="","— (a preencher em 01_Formulario_A02)",INDEX('01_Formulario_A02'!$D:$D,MATCH("D11-DOC-DSI-001.GRID.COLUNAS",'01_Formulario_A02'!$A:$A,0))),"— (a preencher em 01_Formulario_A02)")</f>
        <v/>
      </c>
    </row>
    <row r="676">
      <c r="A676" s="13" t="inlineStr">
        <is>
          <t>D11-DOC-DSI-001.COMPONENTS.COMPONENTE</t>
        </is>
      </c>
      <c r="B676" s="2" t="inlineStr">
        <is>
          <t>componente</t>
        </is>
      </c>
      <c r="C676" s="14">
        <f>IFERROR(IF(INDEX('01_Formulario_A02'!$D:$D,MATCH("D11-DOC-DSI-001.COMPONENTS.COMPONENTE",'01_Formulario_A02'!$A:$A,0))="","— (a preencher em 01_Formulario_A02)",INDEX('01_Formulario_A02'!$D:$D,MATCH("D11-DOC-DSI-001.COMPONENTS.COMPONENTE",'01_Formulario_A02'!$A:$A,0))),"— (a preencher em 01_Formulario_A02)")</f>
        <v/>
      </c>
    </row>
    <row r="677">
      <c r="A677" s="13" t="inlineStr">
        <is>
          <t>D11-DOC-DSI-001.COMPONENTS.VARIANTE</t>
        </is>
      </c>
      <c r="B677" s="2" t="inlineStr">
        <is>
          <t>variante</t>
        </is>
      </c>
      <c r="C677" s="14">
        <f>IFERROR(IF(INDEX('01_Formulario_A02'!$D:$D,MATCH("D11-DOC-DSI-001.COMPONENTS.VARIANTE",'01_Formulario_A02'!$A:$A,0))="","— (a preencher em 01_Formulario_A02)",INDEX('01_Formulario_A02'!$D:$D,MATCH("D11-DOC-DSI-001.COMPONENTS.VARIANTE",'01_Formulario_A02'!$A:$A,0))),"— (a preencher em 01_Formulario_A02)")</f>
        <v/>
      </c>
    </row>
    <row r="678">
      <c r="A678" s="13" t="inlineStr">
        <is>
          <t>D11-DOC-DSI-001.COMPONENTS.ESTADO</t>
        </is>
      </c>
      <c r="B678" s="2" t="inlineStr">
        <is>
          <t>estado</t>
        </is>
      </c>
      <c r="C678" s="14">
        <f>IFERROR(IF(INDEX('01_Formulario_A02'!$D:$D,MATCH("D11-DOC-DSI-001.COMPONENTS.ESTADO",'01_Formulario_A02'!$A:$A,0))="","— (a preencher em 01_Formulario_A02)",INDEX('01_Formulario_A02'!$D:$D,MATCH("D11-DOC-DSI-001.COMPONENTS.ESTADO",'01_Formulario_A02'!$A:$A,0))),"— (a preencher em 01_Formulario_A02)")</f>
        <v/>
      </c>
    </row>
    <row r="679">
      <c r="A679" s="13" t="inlineStr">
        <is>
          <t>D11-DOC-DSI-001.PATTERNS.NAVEGACAO</t>
        </is>
      </c>
      <c r="B679" s="2" t="inlineStr">
        <is>
          <t>navegacao</t>
        </is>
      </c>
      <c r="C679" s="14">
        <f>IFERROR(IF(INDEX('01_Formulario_A02'!$D:$D,MATCH("D11-DOC-DSI-001.PATTERNS.NAVEGACAO",'01_Formulario_A02'!$A:$A,0))="","— (a preencher em 01_Formulario_A02)",INDEX('01_Formulario_A02'!$D:$D,MATCH("D11-DOC-DSI-001.PATTERNS.NAVEGACAO",'01_Formulario_A02'!$A:$A,0))),"— (a preencher em 01_Formulario_A02)")</f>
        <v/>
      </c>
    </row>
    <row r="680">
      <c r="A680" s="13" t="inlineStr">
        <is>
          <t>D11-DOC-DSI-001.PATTERNS.FORMULARIO</t>
        </is>
      </c>
      <c r="B680" s="2" t="inlineStr">
        <is>
          <t>formulario</t>
        </is>
      </c>
      <c r="C680" s="14">
        <f>IFERROR(IF(INDEX('01_Formulario_A02'!$D:$D,MATCH("D11-DOC-DSI-001.PATTERNS.FORMULARIO",'01_Formulario_A02'!$A:$A,0))="","— (a preencher em 01_Formulario_A02)",INDEX('01_Formulario_A02'!$D:$D,MATCH("D11-DOC-DSI-001.PATTERNS.FORMULARIO",'01_Formulario_A02'!$A:$A,0))),"— (a preencher em 01_Formulario_A02)")</f>
        <v/>
      </c>
    </row>
    <row r="681">
      <c r="A681" s="13" t="inlineStr">
        <is>
          <t>D11-DOC-DSI-001.PATTERNS.FEEDBACK</t>
        </is>
      </c>
      <c r="B681" s="2" t="inlineStr">
        <is>
          <t>feedback</t>
        </is>
      </c>
      <c r="C681" s="14">
        <f>IFERROR(IF(INDEX('01_Formulario_A02'!$D:$D,MATCH("D11-DOC-DSI-001.PATTERNS.FEEDBACK",'01_Formulario_A02'!$A:$A,0))="","— (a preencher em 01_Formulario_A02)",INDEX('01_Formulario_A02'!$D:$D,MATCH("D11-DOC-DSI-001.PATTERNS.FEEDBACK",'01_Formulario_A02'!$A:$A,0))),"— (a preencher em 01_Formulario_A02)")</f>
        <v/>
      </c>
    </row>
    <row r="682">
      <c r="A682" s="13" t="inlineStr">
        <is>
          <t>D11-DOC-DSI-001.ICONS.BIBLIOTECA</t>
        </is>
      </c>
      <c r="B682" s="2" t="inlineStr">
        <is>
          <t>biblioteca</t>
        </is>
      </c>
      <c r="C682" s="14">
        <f>IFERROR(IF(INDEX('01_Formulario_A02'!$D:$D,MATCH("D11-DOC-DSI-001.ICONS.BIBLIOTECA",'01_Formulario_A02'!$A:$A,0))="","— (a preencher em 01_Formulario_A02)",INDEX('01_Formulario_A02'!$D:$D,MATCH("D11-DOC-DSI-001.ICONS.BIBLIOTECA",'01_Formulario_A02'!$A:$A,0))),"— (a preencher em 01_Formulario_A02)")</f>
        <v/>
      </c>
    </row>
    <row r="683">
      <c r="A683" s="13" t="inlineStr">
        <is>
          <t>D11-DOC-DSI-001.ICONS.REGRAS</t>
        </is>
      </c>
      <c r="B683" s="2" t="inlineStr">
        <is>
          <t>regras</t>
        </is>
      </c>
      <c r="C683" s="14">
        <f>IFERROR(IF(INDEX('01_Formulario_A02'!$D:$D,MATCH("D11-DOC-DSI-001.ICONS.REGRAS",'01_Formulario_A02'!$A:$A,0))="","— (a preencher em 01_Formulario_A02)",INDEX('01_Formulario_A02'!$D:$D,MATCH("D11-DOC-DSI-001.ICONS.REGRAS",'01_Formulario_A02'!$A:$A,0))),"— (a preencher em 01_Formulario_A02)")</f>
        <v/>
      </c>
    </row>
    <row r="684">
      <c r="A684" s="13" t="inlineStr">
        <is>
          <t>D11-DOC-DSI-001.MOTION.DURACAO</t>
        </is>
      </c>
      <c r="B684" s="2" t="inlineStr">
        <is>
          <t>duracao</t>
        </is>
      </c>
      <c r="C684" s="14">
        <f>IFERROR(IF(INDEX('01_Formulario_A02'!$D:$D,MATCH("D11-DOC-DSI-001.MOTION.DURACAO",'01_Formulario_A02'!$A:$A,0))="","— (a preencher em 01_Formulario_A02)",INDEX('01_Formulario_A02'!$D:$D,MATCH("D11-DOC-DSI-001.MOTION.DURACAO",'01_Formulario_A02'!$A:$A,0))),"— (a preencher em 01_Formulario_A02)")</f>
        <v/>
      </c>
    </row>
    <row r="685">
      <c r="A685" s="13" t="inlineStr">
        <is>
          <t>D11-DOC-DSI-001.MOTION.EASING</t>
        </is>
      </c>
      <c r="B685" s="2" t="inlineStr">
        <is>
          <t>easing</t>
        </is>
      </c>
      <c r="C685" s="14">
        <f>IFERROR(IF(INDEX('01_Formulario_A02'!$D:$D,MATCH("D11-DOC-DSI-001.MOTION.EASING",'01_Formulario_A02'!$A:$A,0))="","— (a preencher em 01_Formulario_A02)",INDEX('01_Formulario_A02'!$D:$D,MATCH("D11-DOC-DSI-001.MOTION.EASING",'01_Formulario_A02'!$A:$A,0))),"— (a preencher em 01_Formulario_A02)")</f>
        <v/>
      </c>
    </row>
    <row r="686">
      <c r="A686" s="13" t="inlineStr">
        <is>
          <t>D11-DOC-DSI-001.MOTION.REDUCED_MOTION</t>
        </is>
      </c>
      <c r="B686" s="2" t="inlineStr">
        <is>
          <t>reduced_motion</t>
        </is>
      </c>
      <c r="C686" s="14">
        <f>IFERROR(IF(INDEX('01_Formulario_A02'!$D:$D,MATCH("D11-DOC-DSI-001.MOTION.REDUCED_MOTION",'01_Formulario_A02'!$A:$A,0))="","— (a preencher em 01_Formulario_A02)",INDEX('01_Formulario_A02'!$D:$D,MATCH("D11-DOC-DSI-001.MOTION.REDUCED_MOTION",'01_Formulario_A02'!$A:$A,0))),"— (a preencher em 01_Formulario_A02)")</f>
        <v/>
      </c>
    </row>
    <row r="687">
      <c r="A687" s="13" t="inlineStr">
        <is>
          <t>D11-DOC-DSI-001.ACCESSIBILITY.WCAG</t>
        </is>
      </c>
      <c r="B687" s="2" t="inlineStr">
        <is>
          <t>wcag</t>
        </is>
      </c>
      <c r="C687" s="14">
        <f>IFERROR(IF(INDEX('01_Formulario_A02'!$D:$D,MATCH("D11-DOC-DSI-001.ACCESSIBILITY.WCAG",'01_Formulario_A02'!$A:$A,0))="","— (a preencher em 01_Formulario_A02)",INDEX('01_Formulario_A02'!$D:$D,MATCH("D11-DOC-DSI-001.ACCESSIBILITY.WCAG",'01_Formulario_A02'!$A:$A,0))),"— (a preencher em 01_Formulario_A02)")</f>
        <v/>
      </c>
    </row>
    <row r="688">
      <c r="A688" s="13" t="inlineStr">
        <is>
          <t>D11-DOC-DSI-001.ACCESSIBILITY.FOCO</t>
        </is>
      </c>
      <c r="B688" s="2" t="inlineStr">
        <is>
          <t>foco</t>
        </is>
      </c>
      <c r="C688" s="14">
        <f>IFERROR(IF(INDEX('01_Formulario_A02'!$D:$D,MATCH("D11-DOC-DSI-001.ACCESSIBILITY.FOCO",'01_Formulario_A02'!$A:$A,0))="","— (a preencher em 01_Formulario_A02)",INDEX('01_Formulario_A02'!$D:$D,MATCH("D11-DOC-DSI-001.ACCESSIBILITY.FOCO",'01_Formulario_A02'!$A:$A,0))),"— (a preencher em 01_Formulario_A02)")</f>
        <v/>
      </c>
    </row>
    <row r="689">
      <c r="A689" s="13" t="inlineStr">
        <is>
          <t>D11-DOC-DSI-001.ACCESSIBILITY.CONTRASTE</t>
        </is>
      </c>
      <c r="B689" s="2" t="inlineStr">
        <is>
          <t>contraste</t>
        </is>
      </c>
      <c r="C689" s="14">
        <f>IFERROR(IF(INDEX('01_Formulario_A02'!$D:$D,MATCH("D11-DOC-DSI-001.ACCESSIBILITY.CONTRASTE",'01_Formulario_A02'!$A:$A,0))="","— (a preencher em 01_Formulario_A02)",INDEX('01_Formulario_A02'!$D:$D,MATCH("D11-DOC-DSI-001.ACCESSIBILITY.CONTRASTE",'01_Formulario_A02'!$A:$A,0))),"— (a preencher em 01_Formulario_A02)")</f>
        <v/>
      </c>
    </row>
    <row r="690">
      <c r="A690" s="13" t="inlineStr">
        <is>
          <t>D11-DOC-DSI-001.CONTENT_DESIGN.VOZ</t>
        </is>
      </c>
      <c r="B690" s="2" t="inlineStr">
        <is>
          <t>voz</t>
        </is>
      </c>
      <c r="C690" s="14">
        <f>IFERROR(IF(INDEX('01_Formulario_A02'!$D:$D,MATCH("D11-DOC-DSI-001.CONTENT_DESIGN.VOZ",'01_Formulario_A02'!$A:$A,0))="","— (a preencher em 01_Formulario_A02)",INDEX('01_Formulario_A02'!$D:$D,MATCH("D11-DOC-DSI-001.CONTENT_DESIGN.VOZ",'01_Formulario_A02'!$A:$A,0))),"— (a preencher em 01_Formulario_A02)")</f>
        <v/>
      </c>
    </row>
    <row r="691">
      <c r="A691" s="13" t="inlineStr">
        <is>
          <t>D11-DOC-DSI-001.CONTENT_DESIGN.TOM</t>
        </is>
      </c>
      <c r="B691" s="2" t="inlineStr">
        <is>
          <t>tom</t>
        </is>
      </c>
      <c r="C691" s="14">
        <f>IFERROR(IF(INDEX('01_Formulario_A02'!$D:$D,MATCH("D11-DOC-DSI-001.CONTENT_DESIGN.TOM",'01_Formulario_A02'!$A:$A,0))="","— (a preencher em 01_Formulario_A02)",INDEX('01_Formulario_A02'!$D:$D,MATCH("D11-DOC-DSI-001.CONTENT_DESIGN.TOM",'01_Formulario_A02'!$A:$A,0))),"— (a preencher em 01_Formulario_A02)")</f>
        <v/>
      </c>
    </row>
    <row r="692">
      <c r="A692" s="13" t="inlineStr">
        <is>
          <t>D11-DOC-DSI-001.CONTENT_DESIGN.NOMENCLATURA</t>
        </is>
      </c>
      <c r="B692" s="2" t="inlineStr">
        <is>
          <t>nomenclatura</t>
        </is>
      </c>
      <c r="C692" s="14">
        <f>IFERROR(IF(INDEX('01_Formulario_A02'!$D:$D,MATCH("D11-DOC-DSI-001.CONTENT_DESIGN.NOMENCLATURA",'01_Formulario_A02'!$A:$A,0))="","— (a preencher em 01_Formulario_A02)",INDEX('01_Formulario_A02'!$D:$D,MATCH("D11-DOC-DSI-001.CONTENT_DESIGN.NOMENCLATURA",'01_Formulario_A02'!$A:$A,0))),"— (a preencher em 01_Formulario_A02)")</f>
        <v/>
      </c>
    </row>
    <row r="693">
      <c r="A693" s="13" t="inlineStr">
        <is>
          <t>D11-DOC-DSI-001.GOVERNANCE.VERSAO</t>
        </is>
      </c>
      <c r="B693" s="2" t="inlineStr">
        <is>
          <t>versao</t>
        </is>
      </c>
      <c r="C693" s="14">
        <f>IFERROR(IF(INDEX('01_Formulario_A02'!$D:$D,MATCH("D11-DOC-DSI-001.GOVERNANCE.VERSAO",'01_Formulario_A02'!$A:$A,0))="","— (a preencher em 01_Formulario_A02)",INDEX('01_Formulario_A02'!$D:$D,MATCH("D11-DOC-DSI-001.GOVERNANCE.VERSAO",'01_Formulario_A02'!$A:$A,0))),"— (a preencher em 01_Formulario_A02)")</f>
        <v/>
      </c>
    </row>
    <row r="694">
      <c r="A694" s="13" t="inlineStr">
        <is>
          <t>D11-DOC-DSI-001.GOVERNANCE.OWNER</t>
        </is>
      </c>
      <c r="B694" s="2" t="inlineStr">
        <is>
          <t>owner</t>
        </is>
      </c>
      <c r="C694" s="14">
        <f>IFERROR(IF(INDEX('01_Formulario_A02'!$D:$D,MATCH("D11-DOC-DSI-001.GOVERNANCE.OWNER",'01_Formulario_A02'!$A:$A,0))="","— (a preencher em 01_Formulario_A02)",INDEX('01_Formulario_A02'!$D:$D,MATCH("D11-DOC-DSI-001.GOVERNANCE.OWNER",'01_Formulario_A02'!$A:$A,0))),"— (a preencher em 01_Formulario_A02)")</f>
        <v/>
      </c>
    </row>
    <row r="695">
      <c r="A695" s="13" t="inlineStr">
        <is>
          <t>D11-DOC-DSI-001.GOVERNANCE.CONTRIBUICAO</t>
        </is>
      </c>
      <c r="B695" s="2" t="inlineStr">
        <is>
          <t>contribuicao</t>
        </is>
      </c>
      <c r="C695" s="14">
        <f>IFERROR(IF(INDEX('01_Formulario_A02'!$D:$D,MATCH("D11-DOC-DSI-001.GOVERNANCE.CONTRIBUICAO",'01_Formulario_A02'!$A:$A,0))="","— (a preencher em 01_Formulario_A02)",INDEX('01_Formulario_A02'!$D:$D,MATCH("D11-DOC-DSI-001.GOVERNANCE.CONTRIBUICAO",'01_Formulario_A02'!$A:$A,0))),"— (a preencher em 01_Formulario_A02)")</f>
        <v/>
      </c>
    </row>
    <row r="696">
      <c r="A696" s="13" t="inlineStr">
        <is>
          <t>D11-DOC-DSI-001.ENGINEERING_HANDOFF.PACKAGE</t>
        </is>
      </c>
      <c r="B696" s="2" t="inlineStr">
        <is>
          <t>package</t>
        </is>
      </c>
      <c r="C696" s="14">
        <f>IFERROR(IF(INDEX('01_Formulario_A02'!$D:$D,MATCH("D11-DOC-DSI-001.ENGINEERING_HANDOFF.PACKAGE",'01_Formulario_A02'!$A:$A,0))="","— (a preencher em 01_Formulario_A02)",INDEX('01_Formulario_A02'!$D:$D,MATCH("D11-DOC-DSI-001.ENGINEERING_HANDOFF.PACKAGE",'01_Formulario_A02'!$A:$A,0))),"— (a preencher em 01_Formulario_A02)")</f>
        <v/>
      </c>
    </row>
    <row r="697">
      <c r="A697" s="13" t="inlineStr">
        <is>
          <t>D11-DOC-DSI-001.ENGINEERING_HANDOFF.TOKENS</t>
        </is>
      </c>
      <c r="B697" s="2" t="inlineStr">
        <is>
          <t>tokens</t>
        </is>
      </c>
      <c r="C697" s="14">
        <f>IFERROR(IF(INDEX('01_Formulario_A02'!$D:$D,MATCH("D11-DOC-DSI-001.ENGINEERING_HANDOFF.TOKENS",'01_Formulario_A02'!$A:$A,0))="","— (a preencher em 01_Formulario_A02)",INDEX('01_Formulario_A02'!$D:$D,MATCH("D11-DOC-DSI-001.ENGINEERING_HANDOFF.TOKENS",'01_Formulario_A02'!$A:$A,0))),"— (a preencher em 01_Formulario_A02)")</f>
        <v/>
      </c>
    </row>
    <row r="698">
      <c r="A698" s="13" t="inlineStr">
        <is>
          <t>D11-DOC-DSI-001.ENGINEERING_HANDOFF.STORYBOOK</t>
        </is>
      </c>
      <c r="B698" s="2" t="inlineStr">
        <is>
          <t>storybook</t>
        </is>
      </c>
      <c r="C698" s="14">
        <f>IFERROR(IF(INDEX('01_Formulario_A02'!$D:$D,MATCH("D11-DOC-DSI-001.ENGINEERING_HANDOFF.STORYBOOK",'01_Formulario_A02'!$A:$A,0))="","— (a preencher em 01_Formulario_A02)",INDEX('01_Formulario_A02'!$D:$D,MATCH("D11-DOC-DSI-001.ENGINEERING_HANDOFF.STORYBOOK",'01_Formulario_A02'!$A:$A,0))),"— (a preencher em 01_Formulario_A02)")</f>
        <v/>
      </c>
    </row>
    <row r="699">
      <c r="A699" s="5" t="inlineStr">
        <is>
          <t>D12-DOC-ETE-001 — Especificação Técnica de Engenharia [PRE_PREENCHIDO/PENDENTE]</t>
        </is>
      </c>
      <c r="B699" s="6" t="n"/>
      <c r="C699" s="7" t="n"/>
    </row>
    <row r="700">
      <c r="A700" s="13" t="inlineStr">
        <is>
          <t>D12-DOC-ETE-001.ARCHITECTURE.VISAO_GERAL</t>
        </is>
      </c>
      <c r="B700" s="2" t="inlineStr">
        <is>
          <t>visao_geral</t>
        </is>
      </c>
      <c r="C700" s="14">
        <f>IFERROR(IF(INDEX('01_Formulario_A04'!$D:$D,MATCH("D12-DOC-ETE-001.ARCHITECTURE.VISAO_GERAL",'01_Formulario_A04'!$A:$A,0))="","— (a preencher em 01_Formulario_A04)",INDEX('01_Formulario_A04'!$D:$D,MATCH("D12-DOC-ETE-001.ARCHITECTURE.VISAO_GERAL",'01_Formulario_A04'!$A:$A,0))),"— (a preencher em 01_Formulario_A04)")</f>
        <v/>
      </c>
    </row>
    <row r="701">
      <c r="A701" s="13" t="inlineStr">
        <is>
          <t>D12-DOC-ETE-001.ARCHITECTURE.DIAGRAMAS</t>
        </is>
      </c>
      <c r="B701" s="2" t="inlineStr">
        <is>
          <t>diagramas</t>
        </is>
      </c>
      <c r="C701" s="14">
        <f>IFERROR(IF(INDEX('01_Formulario_A04'!$D:$D,MATCH("D12-DOC-ETE-001.ARCHITECTURE.DIAGRAMAS",'01_Formulario_A04'!$A:$A,0))="","— (a preencher em 01_Formulario_A04)",INDEX('01_Formulario_A04'!$D:$D,MATCH("D12-DOC-ETE-001.ARCHITECTURE.DIAGRAMAS",'01_Formulario_A04'!$A:$A,0))),"— (a preencher em 01_Formulario_A04)")</f>
        <v/>
      </c>
    </row>
    <row r="702">
      <c r="A702" s="13" t="inlineStr">
        <is>
          <t>D12-DOC-ETE-001.REPOSITORIES.REPOSITORIO</t>
        </is>
      </c>
      <c r="B702" s="2" t="inlineStr">
        <is>
          <t>repositorio</t>
        </is>
      </c>
      <c r="C702" s="14">
        <f>IFERROR(IF(INDEX('01_Formulario_A04'!$D:$D,MATCH("D12-DOC-ETE-001.REPOSITORIES.REPOSITORIO",'01_Formulario_A04'!$A:$A,0))="","— (a preencher em 01_Formulario_A04)",INDEX('01_Formulario_A04'!$D:$D,MATCH("D12-DOC-ETE-001.REPOSITORIES.REPOSITORIO",'01_Formulario_A04'!$A:$A,0))),"— (a preencher em 01_Formulario_A04)")</f>
        <v/>
      </c>
    </row>
    <row r="703">
      <c r="A703" s="13" t="inlineStr">
        <is>
          <t>D12-DOC-ETE-001.REPOSITORIES.BRANCH</t>
        </is>
      </c>
      <c r="B703" s="2" t="inlineStr">
        <is>
          <t>branch</t>
        </is>
      </c>
      <c r="C703" s="14">
        <f>IFERROR(IF(INDEX('01_Formulario_A04'!$D:$D,MATCH("D12-DOC-ETE-001.REPOSITORIES.BRANCH",'01_Formulario_A04'!$A:$A,0))="","— (a preencher em 01_Formulario_A04)",INDEX('01_Formulario_A04'!$D:$D,MATCH("D12-DOC-ETE-001.REPOSITORIES.BRANCH",'01_Formulario_A04'!$A:$A,0))),"— (a preencher em 01_Formulario_A04)")</f>
        <v/>
      </c>
    </row>
    <row r="704">
      <c r="A704" s="13" t="inlineStr">
        <is>
          <t>D12-DOC-ETE-001.REPOSITORIES.FINALIDADE</t>
        </is>
      </c>
      <c r="B704" s="2" t="inlineStr">
        <is>
          <t>finalidade</t>
        </is>
      </c>
      <c r="C704" s="14">
        <f>IFERROR(IF(INDEX('01_Formulario_A04'!$D:$D,MATCH("D12-DOC-ETE-001.REPOSITORIES.FINALIDADE",'01_Formulario_A04'!$A:$A,0))="","— (a preencher em 01_Formulario_A04)",INDEX('01_Formulario_A04'!$D:$D,MATCH("D12-DOC-ETE-001.REPOSITORIES.FINALIDADE",'01_Formulario_A04'!$A:$A,0))),"— (a preencher em 01_Formulario_A04)")</f>
        <v/>
      </c>
    </row>
    <row r="705">
      <c r="A705" s="13" t="inlineStr">
        <is>
          <t>D12-DOC-ETE-001.STACK.FRAMEWORKS</t>
        </is>
      </c>
      <c r="B705" s="2" t="inlineStr">
        <is>
          <t>frameworks</t>
        </is>
      </c>
      <c r="C705" s="14">
        <f>IFERROR(IF(INDEX('01_Formulario_A04'!$D:$D,MATCH("D12-DOC-ETE-001.STACK.FRAMEWORKS",'01_Formulario_A04'!$A:$A,0))="","— (a preencher em 01_Formulario_A04)",INDEX('01_Formulario_A04'!$D:$D,MATCH("D12-DOC-ETE-001.STACK.FRAMEWORKS",'01_Formulario_A04'!$A:$A,0))),"— (a preencher em 01_Formulario_A04)")</f>
        <v/>
      </c>
    </row>
    <row r="706">
      <c r="A706" s="13" t="inlineStr">
        <is>
          <t>D12-DOC-ETE-001.STACK.LINGUAGENS</t>
        </is>
      </c>
      <c r="B706" s="2" t="inlineStr">
        <is>
          <t>linguagens</t>
        </is>
      </c>
      <c r="C706" s="14">
        <f>IFERROR(IF(INDEX('01_Formulario_A04'!$D:$D,MATCH("D12-DOC-ETE-001.STACK.LINGUAGENS",'01_Formulario_A04'!$A:$A,0))="","— (a preencher em 01_Formulario_A04)",INDEX('01_Formulario_A04'!$D:$D,MATCH("D12-DOC-ETE-001.STACK.LINGUAGENS",'01_Formulario_A04'!$A:$A,0))),"— (a preencher em 01_Formulario_A04)")</f>
        <v/>
      </c>
    </row>
    <row r="707">
      <c r="A707" s="13" t="inlineStr">
        <is>
          <t>D12-DOC-ETE-001.STACK.RUNTIME</t>
        </is>
      </c>
      <c r="B707" s="2" t="inlineStr">
        <is>
          <t>runtime</t>
        </is>
      </c>
      <c r="C707" s="14">
        <f>IFERROR(IF(INDEX('01_Formulario_A04'!$D:$D,MATCH("D12-DOC-ETE-001.STACK.RUNTIME",'01_Formulario_A04'!$A:$A,0))="","— (a preencher em 01_Formulario_A04)",INDEX('01_Formulario_A04'!$D:$D,MATCH("D12-DOC-ETE-001.STACK.RUNTIME",'01_Formulario_A04'!$A:$A,0))),"— (a preencher em 01_Formulario_A04)")</f>
        <v/>
      </c>
    </row>
    <row r="708">
      <c r="A708" s="13" t="inlineStr">
        <is>
          <t>D12-DOC-ETE-001.APPLICATIONS.APP</t>
        </is>
      </c>
      <c r="B708" s="2" t="inlineStr">
        <is>
          <t>app</t>
        </is>
      </c>
      <c r="C708" s="14">
        <f>IFERROR(IF(INDEX('01_Formulario_A04'!$D:$D,MATCH("D12-DOC-ETE-001.APPLICATIONS.APP",'01_Formulario_A04'!$A:$A,0))="","— (a preencher em 01_Formulario_A04)",INDEX('01_Formulario_A04'!$D:$D,MATCH("D12-DOC-ETE-001.APPLICATIONS.APP",'01_Formulario_A04'!$A:$A,0))),"— (a preencher em 01_Formulario_A04)")</f>
        <v/>
      </c>
    </row>
    <row r="709">
      <c r="A709" s="13" t="inlineStr">
        <is>
          <t>D12-DOC-ETE-001.APPLICATIONS.RESPONSABILIDADE</t>
        </is>
      </c>
      <c r="B709" s="2" t="inlineStr">
        <is>
          <t>responsabilidade</t>
        </is>
      </c>
      <c r="C709" s="14">
        <f>IFERROR(IF(INDEX('01_Formulario_A04'!$D:$D,MATCH("D12-DOC-ETE-001.APPLICATIONS.RESPONSABILIDADE",'01_Formulario_A04'!$A:$A,0))="","— (a preencher em 01_Formulario_A04)",INDEX('01_Formulario_A04'!$D:$D,MATCH("D12-DOC-ETE-001.APPLICATIONS.RESPONSABILIDADE",'01_Formulario_A04'!$A:$A,0))),"— (a preencher em 01_Formulario_A04)")</f>
        <v/>
      </c>
    </row>
    <row r="710">
      <c r="A710" s="13" t="inlineStr">
        <is>
          <t>D12-DOC-ETE-001.PACKAGES.PACKAGE</t>
        </is>
      </c>
      <c r="B710" s="2" t="inlineStr">
        <is>
          <t>package</t>
        </is>
      </c>
      <c r="C710" s="14">
        <f>IFERROR(IF(INDEX('01_Formulario_A04'!$D:$D,MATCH("D12-DOC-ETE-001.PACKAGES.PACKAGE",'01_Formulario_A04'!$A:$A,0))="","— (a preencher em 01_Formulario_A04)",INDEX('01_Formulario_A04'!$D:$D,MATCH("D12-DOC-ETE-001.PACKAGES.PACKAGE",'01_Formulario_A04'!$A:$A,0))),"— (a preencher em 01_Formulario_A04)")</f>
        <v/>
      </c>
    </row>
    <row r="711">
      <c r="A711" s="13" t="inlineStr">
        <is>
          <t>D12-DOC-ETE-001.PACKAGES.RESPONSABILIDADE</t>
        </is>
      </c>
      <c r="B711" s="2" t="inlineStr">
        <is>
          <t>responsabilidade</t>
        </is>
      </c>
      <c r="C711" s="14">
        <f>IFERROR(IF(INDEX('01_Formulario_A04'!$D:$D,MATCH("D12-DOC-ETE-001.PACKAGES.RESPONSABILIDADE",'01_Formulario_A04'!$A:$A,0))="","— (a preencher em 01_Formulario_A04)",INDEX('01_Formulario_A04'!$D:$D,MATCH("D12-DOC-ETE-001.PACKAGES.RESPONSABILIDADE",'01_Formulario_A04'!$A:$A,0))),"— (a preencher em 01_Formulario_A04)")</f>
        <v/>
      </c>
    </row>
    <row r="712">
      <c r="A712" s="13" t="inlineStr">
        <is>
          <t>D12-DOC-ETE-001.INTERFACES.API</t>
        </is>
      </c>
      <c r="B712" s="2" t="inlineStr">
        <is>
          <t>api</t>
        </is>
      </c>
      <c r="C712" s="14">
        <f>IFERROR(IF(INDEX('01_Formulario_A04'!$D:$D,MATCH("D12-DOC-ETE-001.INTERFACES.API",'01_Formulario_A04'!$A:$A,0))="","— (a preencher em 01_Formulario_A04)",INDEX('01_Formulario_A04'!$D:$D,MATCH("D12-DOC-ETE-001.INTERFACES.API",'01_Formulario_A04'!$A:$A,0))),"— (a preencher em 01_Formulario_A04)")</f>
        <v/>
      </c>
    </row>
    <row r="713">
      <c r="A713" s="13" t="inlineStr">
        <is>
          <t>D12-DOC-ETE-001.INTERFACES.EVENTOS</t>
        </is>
      </c>
      <c r="B713" s="2" t="inlineStr">
        <is>
          <t>eventos</t>
        </is>
      </c>
      <c r="C713" s="14">
        <f>IFERROR(IF(INDEX('01_Formulario_A04'!$D:$D,MATCH("D12-DOC-ETE-001.INTERFACES.EVENTOS",'01_Formulario_A04'!$A:$A,0))="","— (a preencher em 01_Formulario_A04)",INDEX('01_Formulario_A04'!$D:$D,MATCH("D12-DOC-ETE-001.INTERFACES.EVENTOS",'01_Formulario_A04'!$A:$A,0))),"— (a preencher em 01_Formulario_A04)")</f>
        <v/>
      </c>
    </row>
    <row r="714">
      <c r="A714" s="13" t="inlineStr">
        <is>
          <t>D12-DOC-ETE-001.INTERFACES.WEBHOOKS</t>
        </is>
      </c>
      <c r="B714" s="2" t="inlineStr">
        <is>
          <t>webhooks</t>
        </is>
      </c>
      <c r="C714" s="14">
        <f>IFERROR(IF(INDEX('01_Formulario_A04'!$D:$D,MATCH("D12-DOC-ETE-001.INTERFACES.WEBHOOKS",'01_Formulario_A04'!$A:$A,0))="","— (a preencher em 01_Formulario_A04)",INDEX('01_Formulario_A04'!$D:$D,MATCH("D12-DOC-ETE-001.INTERFACES.WEBHOOKS",'01_Formulario_A04'!$A:$A,0))),"— (a preencher em 01_Formulario_A04)")</f>
        <v/>
      </c>
    </row>
    <row r="715">
      <c r="A715" s="13" t="inlineStr">
        <is>
          <t>D12-DOC-ETE-001.DATA.BANCO</t>
        </is>
      </c>
      <c r="B715" s="2" t="inlineStr">
        <is>
          <t>banco</t>
        </is>
      </c>
      <c r="C715" s="14">
        <f>IFERROR(IF(INDEX('01_Formulario_A04'!$D:$D,MATCH("D12-DOC-ETE-001.DATA.BANCO",'01_Formulario_A04'!$A:$A,0))="","— (a preencher em 01_Formulario_A04)",INDEX('01_Formulario_A04'!$D:$D,MATCH("D12-DOC-ETE-001.DATA.BANCO",'01_Formulario_A04'!$A:$A,0))),"— (a preencher em 01_Formulario_A04)")</f>
        <v/>
      </c>
    </row>
    <row r="716">
      <c r="A716" s="13" t="inlineStr">
        <is>
          <t>D12-DOC-ETE-001.DATA.SCHEMA</t>
        </is>
      </c>
      <c r="B716" s="2" t="inlineStr">
        <is>
          <t>schema</t>
        </is>
      </c>
      <c r="C716" s="14">
        <f>IFERROR(IF(INDEX('01_Formulario_A04'!$D:$D,MATCH("D12-DOC-ETE-001.DATA.SCHEMA",'01_Formulario_A04'!$A:$A,0))="","— (a preencher em 01_Formulario_A04)",INDEX('01_Formulario_A04'!$D:$D,MATCH("D12-DOC-ETE-001.DATA.SCHEMA",'01_Formulario_A04'!$A:$A,0))),"— (a preencher em 01_Formulario_A04)")</f>
        <v/>
      </c>
    </row>
    <row r="717">
      <c r="A717" s="13" t="inlineStr">
        <is>
          <t>D12-DOC-ETE-001.DATA.MIGRACOES</t>
        </is>
      </c>
      <c r="B717" s="2" t="inlineStr">
        <is>
          <t>migracoes</t>
        </is>
      </c>
      <c r="C717" s="14">
        <f>IFERROR(IF(INDEX('01_Formulario_A04'!$D:$D,MATCH("D12-DOC-ETE-001.DATA.MIGRACOES",'01_Formulario_A04'!$A:$A,0))="","— (a preencher em 01_Formulario_A04)",INDEX('01_Formulario_A04'!$D:$D,MATCH("D12-DOC-ETE-001.DATA.MIGRACOES",'01_Formulario_A04'!$A:$A,0))),"— (a preencher em 01_Formulario_A04)")</f>
        <v/>
      </c>
    </row>
    <row r="718">
      <c r="A718" s="13" t="inlineStr">
        <is>
          <t>D12-DOC-ETE-001.AUTHENTICATION.AUTH</t>
        </is>
      </c>
      <c r="B718" s="2" t="inlineStr">
        <is>
          <t>auth</t>
        </is>
      </c>
      <c r="C718" s="14">
        <f>IFERROR(IF(INDEX('01_Formulario_A04'!$D:$D,MATCH("D12-DOC-ETE-001.AUTHENTICATION.AUTH",'01_Formulario_A04'!$A:$A,0))="","— (a preencher em 01_Formulario_A04)",INDEX('01_Formulario_A04'!$D:$D,MATCH("D12-DOC-ETE-001.AUTHENTICATION.AUTH",'01_Formulario_A04'!$A:$A,0))),"— (a preencher em 01_Formulario_A04)")</f>
        <v/>
      </c>
    </row>
    <row r="719">
      <c r="A719" s="13" t="inlineStr">
        <is>
          <t>D12-DOC-ETE-001.AUTHENTICATION.AUTORIZACAO</t>
        </is>
      </c>
      <c r="B719" s="2" t="inlineStr">
        <is>
          <t>autorizacao</t>
        </is>
      </c>
      <c r="C719" s="14">
        <f>IFERROR(IF(INDEX('01_Formulario_A04'!$D:$D,MATCH("D12-DOC-ETE-001.AUTHENTICATION.AUTORIZACAO",'01_Formulario_A04'!$A:$A,0))="","— (a preencher em 01_Formulario_A04)",INDEX('01_Formulario_A04'!$D:$D,MATCH("D12-DOC-ETE-001.AUTHENTICATION.AUTORIZACAO",'01_Formulario_A04'!$A:$A,0))),"— (a preencher em 01_Formulario_A04)")</f>
        <v/>
      </c>
    </row>
    <row r="720">
      <c r="A720" s="13" t="inlineStr">
        <is>
          <t>D12-DOC-ETE-001.INTEGRATIONS.SERVICO</t>
        </is>
      </c>
      <c r="B720" s="2" t="inlineStr">
        <is>
          <t>servico</t>
        </is>
      </c>
      <c r="C720" s="14">
        <f>IFERROR(IF(INDEX('01_Formulario_A04'!$D:$D,MATCH("D12-DOC-ETE-001.INTEGRATIONS.SERVICO",'01_Formulario_A04'!$A:$A,0))="","— (a preencher em 01_Formulario_A04)",INDEX('01_Formulario_A04'!$D:$D,MATCH("D12-DOC-ETE-001.INTEGRATIONS.SERVICO",'01_Formulario_A04'!$A:$A,0))),"— (a preencher em 01_Formulario_A04)")</f>
        <v/>
      </c>
    </row>
    <row r="721">
      <c r="A721" s="13" t="inlineStr">
        <is>
          <t>D12-DOC-ETE-001.INTEGRATIONS.CONTRATO</t>
        </is>
      </c>
      <c r="B721" s="2" t="inlineStr">
        <is>
          <t>contrato</t>
        </is>
      </c>
      <c r="C721" s="14">
        <f>IFERROR(IF(INDEX('01_Formulario_A04'!$D:$D,MATCH("D12-DOC-ETE-001.INTEGRATIONS.CONTRATO",'01_Formulario_A04'!$A:$A,0))="","— (a preencher em 01_Formulario_A04)",INDEX('01_Formulario_A04'!$D:$D,MATCH("D12-DOC-ETE-001.INTEGRATIONS.CONTRATO",'01_Formulario_A04'!$A:$A,0))),"— (a preencher em 01_Formulario_A04)")</f>
        <v/>
      </c>
    </row>
    <row r="722">
      <c r="A722" s="13" t="inlineStr">
        <is>
          <t>D12-DOC-ETE-001.INFRASTRUCTURE.HOSTING</t>
        </is>
      </c>
      <c r="B722" s="2" t="inlineStr">
        <is>
          <t>hosting</t>
        </is>
      </c>
      <c r="C722" s="14">
        <f>IFERROR(IF(INDEX('01_Formulario_A04'!$D:$D,MATCH("D12-DOC-ETE-001.INFRASTRUCTURE.HOSTING",'01_Formulario_A04'!$A:$A,0))="","— (a preencher em 01_Formulario_A04)",INDEX('01_Formulario_A04'!$D:$D,MATCH("D12-DOC-ETE-001.INFRASTRUCTURE.HOSTING",'01_Formulario_A04'!$A:$A,0))),"— (a preencher em 01_Formulario_A04)")</f>
        <v/>
      </c>
    </row>
    <row r="723">
      <c r="A723" s="13" t="inlineStr">
        <is>
          <t>D12-DOC-ETE-001.INFRASTRUCTURE.STORAGE</t>
        </is>
      </c>
      <c r="B723" s="2" t="inlineStr">
        <is>
          <t>storage</t>
        </is>
      </c>
      <c r="C723" s="14">
        <f>IFERROR(IF(INDEX('01_Formulario_A04'!$D:$D,MATCH("D12-DOC-ETE-001.INFRASTRUCTURE.STORAGE",'01_Formulario_A04'!$A:$A,0))="","— (a preencher em 01_Formulario_A04)",INDEX('01_Formulario_A04'!$D:$D,MATCH("D12-DOC-ETE-001.INFRASTRUCTURE.STORAGE",'01_Formulario_A04'!$A:$A,0))),"— (a preencher em 01_Formulario_A04)")</f>
        <v/>
      </c>
    </row>
    <row r="724">
      <c r="A724" s="13" t="inlineStr">
        <is>
          <t>D12-DOC-ETE-001.INFRASTRUCTURE.NETWORK</t>
        </is>
      </c>
      <c r="B724" s="2" t="inlineStr">
        <is>
          <t>network</t>
        </is>
      </c>
      <c r="C724" s="14">
        <f>IFERROR(IF(INDEX('01_Formulario_A04'!$D:$D,MATCH("D12-DOC-ETE-001.INFRASTRUCTURE.NETWORK",'01_Formulario_A04'!$A:$A,0))="","— (a preencher em 01_Formulario_A04)",INDEX('01_Formulario_A04'!$D:$D,MATCH("D12-DOC-ETE-001.INFRASTRUCTURE.NETWORK",'01_Formulario_A04'!$A:$A,0))),"— (a preencher em 01_Formulario_A04)")</f>
        <v/>
      </c>
    </row>
    <row r="725">
      <c r="A725" s="13" t="inlineStr">
        <is>
          <t>D12-DOC-ETE-001.ENVIRONMENTS.LOCAL</t>
        </is>
      </c>
      <c r="B725" s="2" t="inlineStr">
        <is>
          <t>local</t>
        </is>
      </c>
      <c r="C725" s="14">
        <f>IFERROR(IF(INDEX('01_Formulario_A04'!$D:$D,MATCH("D12-DOC-ETE-001.ENVIRONMENTS.LOCAL",'01_Formulario_A04'!$A:$A,0))="","— (a preencher em 01_Formulario_A04)",INDEX('01_Formulario_A04'!$D:$D,MATCH("D12-DOC-ETE-001.ENVIRONMENTS.LOCAL",'01_Formulario_A04'!$A:$A,0))),"— (a preencher em 01_Formulario_A04)")</f>
        <v/>
      </c>
    </row>
    <row r="726">
      <c r="A726" s="13" t="inlineStr">
        <is>
          <t>D12-DOC-ETE-001.ENVIRONMENTS.PREVIEW</t>
        </is>
      </c>
      <c r="B726" s="2" t="inlineStr">
        <is>
          <t>preview</t>
        </is>
      </c>
      <c r="C726" s="14">
        <f>IFERROR(IF(INDEX('01_Formulario_A04'!$D:$D,MATCH("D12-DOC-ETE-001.ENVIRONMENTS.PREVIEW",'01_Formulario_A04'!$A:$A,0))="","— (a preencher em 01_Formulario_A04)",INDEX('01_Formulario_A04'!$D:$D,MATCH("D12-DOC-ETE-001.ENVIRONMENTS.PREVIEW",'01_Formulario_A04'!$A:$A,0))),"— (a preencher em 01_Formulario_A04)")</f>
        <v/>
      </c>
    </row>
    <row r="727">
      <c r="A727" s="13" t="inlineStr">
        <is>
          <t>D12-DOC-ETE-001.ENVIRONMENTS.STAGING</t>
        </is>
      </c>
      <c r="B727" s="2" t="inlineStr">
        <is>
          <t>staging</t>
        </is>
      </c>
      <c r="C727" s="14">
        <f>IFERROR(IF(INDEX('01_Formulario_A04'!$D:$D,MATCH("D12-DOC-ETE-001.ENVIRONMENTS.STAGING",'01_Formulario_A04'!$A:$A,0))="","— (a preencher em 01_Formulario_A04)",INDEX('01_Formulario_A04'!$D:$D,MATCH("D12-DOC-ETE-001.ENVIRONMENTS.STAGING",'01_Formulario_A04'!$A:$A,0))),"— (a preencher em 01_Formulario_A04)")</f>
        <v/>
      </c>
    </row>
    <row r="728">
      <c r="A728" s="13" t="inlineStr">
        <is>
          <t>D12-DOC-ETE-001.ENVIRONMENTS.PRODUCTION</t>
        </is>
      </c>
      <c r="B728" s="2" t="inlineStr">
        <is>
          <t>production</t>
        </is>
      </c>
      <c r="C728" s="14">
        <f>IFERROR(IF(INDEX('01_Formulario_A04'!$D:$D,MATCH("D12-DOC-ETE-001.ENVIRONMENTS.PRODUCTION",'01_Formulario_A04'!$A:$A,0))="","— (a preencher em 01_Formulario_A04)",INDEX('01_Formulario_A04'!$D:$D,MATCH("D12-DOC-ETE-001.ENVIRONMENTS.PRODUCTION",'01_Formulario_A04'!$A:$A,0))),"— (a preencher em 01_Formulario_A04)")</f>
        <v/>
      </c>
    </row>
    <row r="729">
      <c r="A729" s="13" t="inlineStr">
        <is>
          <t>D12-DOC-ETE-001.CICD.BUILD</t>
        </is>
      </c>
      <c r="B729" s="2" t="inlineStr">
        <is>
          <t>build</t>
        </is>
      </c>
      <c r="C729" s="14">
        <f>IFERROR(IF(INDEX('01_Formulario_A04'!$D:$D,MATCH("D12-DOC-ETE-001.CICD.BUILD",'01_Formulario_A04'!$A:$A,0))="","— (a preencher em 01_Formulario_A04)",INDEX('01_Formulario_A04'!$D:$D,MATCH("D12-DOC-ETE-001.CICD.BUILD",'01_Formulario_A04'!$A:$A,0))),"— (a preencher em 01_Formulario_A04)")</f>
        <v/>
      </c>
    </row>
    <row r="730">
      <c r="A730" s="13" t="inlineStr">
        <is>
          <t>D12-DOC-ETE-001.CICD.TEST</t>
        </is>
      </c>
      <c r="B730" s="2" t="inlineStr">
        <is>
          <t>test</t>
        </is>
      </c>
      <c r="C730" s="14">
        <f>IFERROR(IF(INDEX('01_Formulario_A04'!$D:$D,MATCH("D12-DOC-ETE-001.CICD.TEST",'01_Formulario_A04'!$A:$A,0))="","— (a preencher em 01_Formulario_A04)",INDEX('01_Formulario_A04'!$D:$D,MATCH("D12-DOC-ETE-001.CICD.TEST",'01_Formulario_A04'!$A:$A,0))),"— (a preencher em 01_Formulario_A04)")</f>
        <v/>
      </c>
    </row>
    <row r="731">
      <c r="A731" s="13" t="inlineStr">
        <is>
          <t>D12-DOC-ETE-001.CICD.DEPLOY</t>
        </is>
      </c>
      <c r="B731" s="2" t="inlineStr">
        <is>
          <t>deploy</t>
        </is>
      </c>
      <c r="C731" s="14">
        <f>IFERROR(IF(INDEX('01_Formulario_A04'!$D:$D,MATCH("D12-DOC-ETE-001.CICD.DEPLOY",'01_Formulario_A04'!$A:$A,0))="","— (a preencher em 01_Formulario_A04)",INDEX('01_Formulario_A04'!$D:$D,MATCH("D12-DOC-ETE-001.CICD.DEPLOY",'01_Formulario_A04'!$A:$A,0))),"— (a preencher em 01_Formulario_A04)")</f>
        <v/>
      </c>
    </row>
    <row r="732">
      <c r="A732" s="13" t="inlineStr">
        <is>
          <t>D12-DOC-ETE-001.OBSERVABILITY.LOGS</t>
        </is>
      </c>
      <c r="B732" s="2" t="inlineStr">
        <is>
          <t>logs</t>
        </is>
      </c>
      <c r="C732" s="14">
        <f>IFERROR(IF(INDEX('01_Formulario_A04'!$D:$D,MATCH("D12-DOC-ETE-001.OBSERVABILITY.LOGS",'01_Formulario_A04'!$A:$A,0))="","— (a preencher em 01_Formulario_A04)",INDEX('01_Formulario_A04'!$D:$D,MATCH("D12-DOC-ETE-001.OBSERVABILITY.LOGS",'01_Formulario_A04'!$A:$A,0))),"— (a preencher em 01_Formulario_A04)")</f>
        <v/>
      </c>
    </row>
    <row r="733">
      <c r="A733" s="13" t="inlineStr">
        <is>
          <t>D12-DOC-ETE-001.OBSERVABILITY.METRICS</t>
        </is>
      </c>
      <c r="B733" s="2" t="inlineStr">
        <is>
          <t>metrics</t>
        </is>
      </c>
      <c r="C733" s="14">
        <f>IFERROR(IF(INDEX('01_Formulario_A04'!$D:$D,MATCH("D12-DOC-ETE-001.OBSERVABILITY.METRICS",'01_Formulario_A04'!$A:$A,0))="","— (a preencher em 01_Formulario_A04)",INDEX('01_Formulario_A04'!$D:$D,MATCH("D12-DOC-ETE-001.OBSERVABILITY.METRICS",'01_Formulario_A04'!$A:$A,0))),"— (a preencher em 01_Formulario_A04)")</f>
        <v/>
      </c>
    </row>
    <row r="734">
      <c r="A734" s="13" t="inlineStr">
        <is>
          <t>D12-DOC-ETE-001.OBSERVABILITY.ERRORS</t>
        </is>
      </c>
      <c r="B734" s="2" t="inlineStr">
        <is>
          <t>errors</t>
        </is>
      </c>
      <c r="C734" s="14">
        <f>IFERROR(IF(INDEX('01_Formulario_A04'!$D:$D,MATCH("D12-DOC-ETE-001.OBSERVABILITY.ERRORS",'01_Formulario_A04'!$A:$A,0))="","— (a preencher em 01_Formulario_A04)",INDEX('01_Formulario_A04'!$D:$D,MATCH("D12-DOC-ETE-001.OBSERVABILITY.ERRORS",'01_Formulario_A04'!$A:$A,0))),"— (a preencher em 01_Formulario_A04)")</f>
        <v/>
      </c>
    </row>
    <row r="735">
      <c r="A735" s="13" t="inlineStr">
        <is>
          <t>D12-DOC-ETE-001.PERFORMANCE.BUDGETS</t>
        </is>
      </c>
      <c r="B735" s="2" t="inlineStr">
        <is>
          <t>budgets</t>
        </is>
      </c>
      <c r="C735" s="14">
        <f>IFERROR(IF(INDEX('01_Formulario_A04'!$D:$D,MATCH("D12-DOC-ETE-001.PERFORMANCE.BUDGETS",'01_Formulario_A04'!$A:$A,0))="","— (a preencher em 01_Formulario_A04)",INDEX('01_Formulario_A04'!$D:$D,MATCH("D12-DOC-ETE-001.PERFORMANCE.BUDGETS",'01_Formulario_A04'!$A:$A,0))),"— (a preencher em 01_Formulario_A04)")</f>
        <v/>
      </c>
    </row>
    <row r="736">
      <c r="A736" s="13" t="inlineStr">
        <is>
          <t>D12-DOC-ETE-001.PERFORMANCE.LIMITES</t>
        </is>
      </c>
      <c r="B736" s="2" t="inlineStr">
        <is>
          <t>limites</t>
        </is>
      </c>
      <c r="C736" s="14">
        <f>IFERROR(IF(INDEX('01_Formulario_A04'!$D:$D,MATCH("D12-DOC-ETE-001.PERFORMANCE.LIMITES",'01_Formulario_A04'!$A:$A,0))="","— (a preencher em 01_Formulario_A04)",INDEX('01_Formulario_A04'!$D:$D,MATCH("D12-DOC-ETE-001.PERFORMANCE.LIMITES",'01_Formulario_A04'!$A:$A,0))),"— (a preencher em 01_Formulario_A04)")</f>
        <v/>
      </c>
    </row>
    <row r="737">
      <c r="A737" s="13" t="inlineStr">
        <is>
          <t>D12-DOC-ETE-001.SECURITY.SECRETS</t>
        </is>
      </c>
      <c r="B737" s="2" t="inlineStr">
        <is>
          <t>secrets</t>
        </is>
      </c>
      <c r="C737" s="14">
        <f>IFERROR(IF(INDEX('01_Formulario_A04'!$D:$D,MATCH("D12-DOC-ETE-001.SECURITY.SECRETS",'01_Formulario_A04'!$A:$A,0))="","— (a preencher em 01_Formulario_A04)",INDEX('01_Formulario_A04'!$D:$D,MATCH("D12-DOC-ETE-001.SECURITY.SECRETS",'01_Formulario_A04'!$A:$A,0))),"— (a preencher em 01_Formulario_A04)")</f>
        <v/>
      </c>
    </row>
    <row r="738">
      <c r="A738" s="13" t="inlineStr">
        <is>
          <t>D12-DOC-ETE-001.SECURITY.HEADERS</t>
        </is>
      </c>
      <c r="B738" s="2" t="inlineStr">
        <is>
          <t>headers</t>
        </is>
      </c>
      <c r="C738" s="14">
        <f>IFERROR(IF(INDEX('01_Formulario_A04'!$D:$D,MATCH("D12-DOC-ETE-001.SECURITY.HEADERS",'01_Formulario_A04'!$A:$A,0))="","— (a preencher em 01_Formulario_A04)",INDEX('01_Formulario_A04'!$D:$D,MATCH("D12-DOC-ETE-001.SECURITY.HEADERS",'01_Formulario_A04'!$A:$A,0))),"— (a preencher em 01_Formulario_A04)")</f>
        <v/>
      </c>
    </row>
    <row r="739">
      <c r="A739" s="13" t="inlineStr">
        <is>
          <t>D12-DOC-ETE-001.SECURITY.RATE_LIMIT</t>
        </is>
      </c>
      <c r="B739" s="2" t="inlineStr">
        <is>
          <t>rate_limit</t>
        </is>
      </c>
      <c r="C739" s="14">
        <f>IFERROR(IF(INDEX('01_Formulario_A04'!$D:$D,MATCH("D12-DOC-ETE-001.SECURITY.RATE_LIMIT",'01_Formulario_A04'!$A:$A,0))="","— (a preencher em 01_Formulario_A04)",INDEX('01_Formulario_A04'!$D:$D,MATCH("D12-DOC-ETE-001.SECURITY.RATE_LIMIT",'01_Formulario_A04'!$A:$A,0))),"— (a preencher em 01_Formulario_A04)")</f>
        <v/>
      </c>
    </row>
    <row r="740">
      <c r="A740" s="13" t="inlineStr">
        <is>
          <t>D12-DOC-ETE-001.TESTING.UNITARIO</t>
        </is>
      </c>
      <c r="B740" s="2" t="inlineStr">
        <is>
          <t>unitario</t>
        </is>
      </c>
      <c r="C740" s="14">
        <f>IFERROR(IF(INDEX('01_Formulario_A04'!$D:$D,MATCH("D12-DOC-ETE-001.TESTING.UNITARIO",'01_Formulario_A04'!$A:$A,0))="","— (a preencher em 01_Formulario_A04)",INDEX('01_Formulario_A04'!$D:$D,MATCH("D12-DOC-ETE-001.TESTING.UNITARIO",'01_Formulario_A04'!$A:$A,0))),"— (a preencher em 01_Formulario_A04)")</f>
        <v/>
      </c>
    </row>
    <row r="741">
      <c r="A741" s="13" t="inlineStr">
        <is>
          <t>D12-DOC-ETE-001.TESTING.INTEGRACAO</t>
        </is>
      </c>
      <c r="B741" s="2" t="inlineStr">
        <is>
          <t>integracao</t>
        </is>
      </c>
      <c r="C741" s="14">
        <f>IFERROR(IF(INDEX('01_Formulario_A04'!$D:$D,MATCH("D12-DOC-ETE-001.TESTING.INTEGRACAO",'01_Formulario_A04'!$A:$A,0))="","— (a preencher em 01_Formulario_A04)",INDEX('01_Formulario_A04'!$D:$D,MATCH("D12-DOC-ETE-001.TESTING.INTEGRACAO",'01_Formulario_A04'!$A:$A,0))),"— (a preencher em 01_Formulario_A04)")</f>
        <v/>
      </c>
    </row>
    <row r="742">
      <c r="A742" s="13" t="inlineStr">
        <is>
          <t>D12-DOC-ETE-001.TESTING.E2E</t>
        </is>
      </c>
      <c r="B742" s="2" t="inlineStr">
        <is>
          <t>e2e</t>
        </is>
      </c>
      <c r="C742" s="14">
        <f>IFERROR(IF(INDEX('01_Formulario_A04'!$D:$D,MATCH("D12-DOC-ETE-001.TESTING.E2E",'01_Formulario_A04'!$A:$A,0))="","— (a preencher em 01_Formulario_A04)",INDEX('01_Formulario_A04'!$D:$D,MATCH("D12-DOC-ETE-001.TESTING.E2E",'01_Formulario_A04'!$A:$A,0))),"— (a preencher em 01_Formulario_A04)")</f>
        <v/>
      </c>
    </row>
    <row r="743">
      <c r="A743" s="13" t="inlineStr">
        <is>
          <t>D12-DOC-ETE-001.DEPLOYMENT.PROCESSO</t>
        </is>
      </c>
      <c r="B743" s="2" t="inlineStr">
        <is>
          <t>processo</t>
        </is>
      </c>
      <c r="C743" s="14">
        <f>IFERROR(IF(INDEX('01_Formulario_A04'!$D:$D,MATCH("D12-DOC-ETE-001.DEPLOYMENT.PROCESSO",'01_Formulario_A04'!$A:$A,0))="","— (a preencher em 01_Formulario_A04)",INDEX('01_Formulario_A04'!$D:$D,MATCH("D12-DOC-ETE-001.DEPLOYMENT.PROCESSO",'01_Formulario_A04'!$A:$A,0))),"— (a preencher em 01_Formulario_A04)")</f>
        <v/>
      </c>
    </row>
    <row r="744">
      <c r="A744" s="13" t="inlineStr">
        <is>
          <t>D12-DOC-ETE-001.DEPLOYMENT.RELEASE</t>
        </is>
      </c>
      <c r="B744" s="2" t="inlineStr">
        <is>
          <t>release</t>
        </is>
      </c>
      <c r="C744" s="14">
        <f>IFERROR(IF(INDEX('01_Formulario_A04'!$D:$D,MATCH("D12-DOC-ETE-001.DEPLOYMENT.RELEASE",'01_Formulario_A04'!$A:$A,0))="","— (a preencher em 01_Formulario_A04)",INDEX('01_Formulario_A04'!$D:$D,MATCH("D12-DOC-ETE-001.DEPLOYMENT.RELEASE",'01_Formulario_A04'!$A:$A,0))),"— (a preencher em 01_Formulario_A04)")</f>
        <v/>
      </c>
    </row>
    <row r="745">
      <c r="A745" s="13" t="inlineStr">
        <is>
          <t>D12-DOC-ETE-001.ROLLBACK.CONDICAO</t>
        </is>
      </c>
      <c r="B745" s="2" t="inlineStr">
        <is>
          <t>condicao</t>
        </is>
      </c>
      <c r="C745" s="14">
        <f>IFERROR(IF(INDEX('01_Formulario_A04'!$D:$D,MATCH("D12-DOC-ETE-001.ROLLBACK.CONDICAO",'01_Formulario_A04'!$A:$A,0))="","— (a preencher em 01_Formulario_A04)",INDEX('01_Formulario_A04'!$D:$D,MATCH("D12-DOC-ETE-001.ROLLBACK.CONDICAO",'01_Formulario_A04'!$A:$A,0))),"— (a preencher em 01_Formulario_A04)")</f>
        <v/>
      </c>
    </row>
    <row r="746">
      <c r="A746" s="13" t="inlineStr">
        <is>
          <t>D12-DOC-ETE-001.ROLLBACK.PROCEDIMENTO</t>
        </is>
      </c>
      <c r="B746" s="2" t="inlineStr">
        <is>
          <t>procedimento</t>
        </is>
      </c>
      <c r="C746" s="14">
        <f>IFERROR(IF(INDEX('01_Formulario_A04'!$D:$D,MATCH("D12-DOC-ETE-001.ROLLBACK.PROCEDIMENTO",'01_Formulario_A04'!$A:$A,0))="","— (a preencher em 01_Formulario_A04)",INDEX('01_Formulario_A04'!$D:$D,MATCH("D12-DOC-ETE-001.ROLLBACK.PROCEDIMENTO",'01_Formulario_A04'!$A:$A,0))),"— (a preencher em 01_Formulario_A04)")</f>
        <v/>
      </c>
    </row>
    <row r="747">
      <c r="A747" s="13" t="inlineStr">
        <is>
          <t>D12-DOC-ETE-001.ADR_LINKS.DECISOES_ARQUITETURAIS</t>
        </is>
      </c>
      <c r="B747" s="2" t="inlineStr">
        <is>
          <t>decisoes_arquiteturais</t>
        </is>
      </c>
      <c r="C747" s="14">
        <f>IFERROR(IF(INDEX('01_Formulario_A04'!$D:$D,MATCH("D12-DOC-ETE-001.ADR_LINKS.DECISOES_ARQUITETURAIS",'01_Formulario_A04'!$A:$A,0))="","— (a preencher em 01_Formulario_A04)",INDEX('01_Formulario_A04'!$D:$D,MATCH("D12-DOC-ETE-001.ADR_LINKS.DECISOES_ARQUITETURAIS",'01_Formulario_A04'!$A:$A,0))),"— (a preencher em 01_Formulario_A04)")</f>
        <v/>
      </c>
    </row>
    <row r="748">
      <c r="A748" s="5" t="inlineStr">
        <is>
          <t>D13-DOC-DRM-001 — Documento de Requisitos de Mercado [PRE_PREENCHIDO/PENDENTE]</t>
        </is>
      </c>
      <c r="B748" s="6" t="n"/>
      <c r="C748" s="7" t="n"/>
    </row>
    <row r="749">
      <c r="A749" s="13" t="inlineStr">
        <is>
          <t>D13-DOC-DRM-001.MARKET.DEFINICAO</t>
        </is>
      </c>
      <c r="B749" s="2" t="inlineStr">
        <is>
          <t>definicao</t>
        </is>
      </c>
      <c r="C749" s="14">
        <f>IFERROR(IF(INDEX('01_Formulario_A01'!$D:$D,MATCH("D13-DOC-DRM-001.MARKET.DEFINICAO",'01_Formulario_A01'!$A:$A,0))="","— (a preencher em 01_Formulario_A01)",INDEX('01_Formulario_A01'!$D:$D,MATCH("D13-DOC-DRM-001.MARKET.DEFINICAO",'01_Formulario_A01'!$A:$A,0))),"— (a preencher em 01_Formulario_A01)")</f>
        <v/>
      </c>
    </row>
    <row r="750">
      <c r="A750" s="13" t="inlineStr">
        <is>
          <t>D13-DOC-DRM-001.MARKET.TAMANHO</t>
        </is>
      </c>
      <c r="B750" s="2" t="inlineStr">
        <is>
          <t>tamanho</t>
        </is>
      </c>
      <c r="C750" s="14">
        <f>IFERROR(IF(INDEX('01_Formulario_A01'!$D:$D,MATCH("D13-DOC-DRM-001.MARKET.TAMANHO",'01_Formulario_A01'!$A:$A,0))="","— (a preencher em 01_Formulario_A01)",INDEX('01_Formulario_A01'!$D:$D,MATCH("D13-DOC-DRM-001.MARKET.TAMANHO",'01_Formulario_A01'!$A:$A,0))),"— (a preencher em 01_Formulario_A01)")</f>
        <v/>
      </c>
    </row>
    <row r="751">
      <c r="A751" s="13" t="inlineStr">
        <is>
          <t>D13-DOC-DRM-001.MARKET.TENDENCIA</t>
        </is>
      </c>
      <c r="B751" s="2" t="inlineStr">
        <is>
          <t>tendencia</t>
        </is>
      </c>
      <c r="C751" s="14">
        <f>IFERROR(IF(INDEX('01_Formulario_A01'!$D:$D,MATCH("D13-DOC-DRM-001.MARKET.TENDENCIA",'01_Formulario_A01'!$A:$A,0))="","— (a preencher em 01_Formulario_A01)",INDEX('01_Formulario_A01'!$D:$D,MATCH("D13-DOC-DRM-001.MARKET.TENDENCIA",'01_Formulario_A01'!$A:$A,0))),"— (a preencher em 01_Formulario_A01)")</f>
        <v/>
      </c>
    </row>
    <row r="752">
      <c r="A752" s="13" t="inlineStr">
        <is>
          <t>D13-DOC-DRM-001.SEGMENTS.SEGMENTO</t>
        </is>
      </c>
      <c r="B752" s="2" t="inlineStr">
        <is>
          <t>segmento</t>
        </is>
      </c>
      <c r="C752" s="14">
        <f>IFERROR(IF(INDEX('01_Formulario_A01'!$D:$D,MATCH("D13-DOC-DRM-001.SEGMENTS.SEGMENTO",'01_Formulario_A01'!$A:$A,0))="","— (a preencher em 01_Formulario_A01)",INDEX('01_Formulario_A01'!$D:$D,MATCH("D13-DOC-DRM-001.SEGMENTS.SEGMENTO",'01_Formulario_A01'!$A:$A,0))),"— (a preencher em 01_Formulario_A01)")</f>
        <v/>
      </c>
    </row>
    <row r="753">
      <c r="A753" s="13" t="inlineStr">
        <is>
          <t>D13-DOC-DRM-001.SEGMENTS.NECESSIDADE</t>
        </is>
      </c>
      <c r="B753" s="2" t="inlineStr">
        <is>
          <t>necessidade</t>
        </is>
      </c>
      <c r="C753" s="14">
        <f>IFERROR(IF(INDEX('01_Formulario_A01'!$D:$D,MATCH("D13-DOC-DRM-001.SEGMENTS.NECESSIDADE",'01_Formulario_A01'!$A:$A,0))="","— (a preencher em 01_Formulario_A01)",INDEX('01_Formulario_A01'!$D:$D,MATCH("D13-DOC-DRM-001.SEGMENTS.NECESSIDADE",'01_Formulario_A01'!$A:$A,0))),"— (a preencher em 01_Formulario_A01)")</f>
        <v/>
      </c>
    </row>
    <row r="754">
      <c r="A754" s="13" t="inlineStr">
        <is>
          <t>D13-DOC-DRM-001.ICP.PERFIL</t>
        </is>
      </c>
      <c r="B754" s="2" t="inlineStr">
        <is>
          <t>perfil</t>
        </is>
      </c>
      <c r="C754" s="14">
        <f>IFERROR(IF(INDEX('01_Formulario_A01'!$D:$D,MATCH("D13-DOC-DRM-001.ICP.PERFIL",'01_Formulario_A01'!$A:$A,0))="","— (a preencher em 01_Formulario_A01)",INDEX('01_Formulario_A01'!$D:$D,MATCH("D13-DOC-DRM-001.ICP.PERFIL",'01_Formulario_A01'!$A:$A,0))),"— (a preencher em 01_Formulario_A01)")</f>
        <v/>
      </c>
    </row>
    <row r="755">
      <c r="A755" s="13" t="inlineStr">
        <is>
          <t>D13-DOC-DRM-001.ICP.CRITERIOS</t>
        </is>
      </c>
      <c r="B755" s="2" t="inlineStr">
        <is>
          <t>criterios</t>
        </is>
      </c>
      <c r="C755" s="14">
        <f>IFERROR(IF(INDEX('01_Formulario_A01'!$D:$D,MATCH("D13-DOC-DRM-001.ICP.CRITERIOS",'01_Formulario_A01'!$A:$A,0))="","— (a preencher em 01_Formulario_A01)",INDEX('01_Formulario_A01'!$D:$D,MATCH("D13-DOC-DRM-001.ICP.CRITERIOS",'01_Formulario_A01'!$A:$A,0))),"— (a preencher em 01_Formulario_A01)")</f>
        <v/>
      </c>
    </row>
    <row r="756">
      <c r="A756" s="13" t="inlineStr">
        <is>
          <t>D13-DOC-DRM-001.ICP.EXCLUSOES</t>
        </is>
      </c>
      <c r="B756" s="2" t="inlineStr">
        <is>
          <t>exclusoes</t>
        </is>
      </c>
      <c r="C756" s="14">
        <f>IFERROR(IF(INDEX('01_Formulario_A01'!$D:$D,MATCH("D13-DOC-DRM-001.ICP.EXCLUSOES",'01_Formulario_A01'!$A:$A,0))="","— (a preencher em 01_Formulario_A01)",INDEX('01_Formulario_A01'!$D:$D,MATCH("D13-DOC-DRM-001.ICP.EXCLUSOES",'01_Formulario_A01'!$A:$A,0))),"— (a preencher em 01_Formulario_A01)")</f>
        <v/>
      </c>
    </row>
    <row r="757">
      <c r="A757" s="13" t="inlineStr">
        <is>
          <t>D13-DOC-DRM-001.DEMAND.SINAIS</t>
        </is>
      </c>
      <c r="B757" s="2" t="inlineStr">
        <is>
          <t>sinais</t>
        </is>
      </c>
      <c r="C757" s="14">
        <f>IFERROR(IF(INDEX('01_Formulario_A01'!$D:$D,MATCH("D13-DOC-DRM-001.DEMAND.SINAIS",'01_Formulario_A01'!$A:$A,0))="","— (a preencher em 01_Formulario_A01)",INDEX('01_Formulario_A01'!$D:$D,MATCH("D13-DOC-DRM-001.DEMAND.SINAIS",'01_Formulario_A01'!$A:$A,0))),"— (a preencher em 01_Formulario_A01)")</f>
        <v/>
      </c>
    </row>
    <row r="758">
      <c r="A758" s="13" t="inlineStr">
        <is>
          <t>D13-DOC-DRM-001.DEMAND.PROBLEMAS</t>
        </is>
      </c>
      <c r="B758" s="2" t="inlineStr">
        <is>
          <t>problemas</t>
        </is>
      </c>
      <c r="C758" s="14">
        <f>IFERROR(IF(INDEX('01_Formulario_A01'!$D:$D,MATCH("D13-DOC-DRM-001.DEMAND.PROBLEMAS",'01_Formulario_A01'!$A:$A,0))="","— (a preencher em 01_Formulario_A01)",INDEX('01_Formulario_A01'!$D:$D,MATCH("D13-DOC-DRM-001.DEMAND.PROBLEMAS",'01_Formulario_A01'!$A:$A,0))),"— (a preencher em 01_Formulario_A01)")</f>
        <v/>
      </c>
    </row>
    <row r="759">
      <c r="A759" s="13" t="inlineStr">
        <is>
          <t>D13-DOC-DRM-001.DEMAND.PROCURA</t>
        </is>
      </c>
      <c r="B759" s="2" t="inlineStr">
        <is>
          <t>procura</t>
        </is>
      </c>
      <c r="C759" s="14">
        <f>IFERROR(IF(INDEX('01_Formulario_A01'!$D:$D,MATCH("D13-DOC-DRM-001.DEMAND.PROCURA",'01_Formulario_A01'!$A:$A,0))="","— (a preencher em 01_Formulario_A01)",INDEX('01_Formulario_A01'!$D:$D,MATCH("D13-DOC-DRM-001.DEMAND.PROCURA",'01_Formulario_A01'!$A:$A,0))),"— (a preencher em 01_Formulario_A01)")</f>
        <v/>
      </c>
    </row>
    <row r="760">
      <c r="A760" s="13" t="inlineStr">
        <is>
          <t>D13-DOC-DRM-001.ALTERNATIVES.CONCORRENTES</t>
        </is>
      </c>
      <c r="B760" s="2" t="inlineStr">
        <is>
          <t>concorrentes</t>
        </is>
      </c>
      <c r="C760" s="14">
        <f>IFERROR(IF(INDEX('01_Formulario_A01'!$D:$D,MATCH("D13-DOC-DRM-001.ALTERNATIVES.CONCORRENTES",'01_Formulario_A01'!$A:$A,0))="","— (a preencher em 01_Formulario_A01)",INDEX('01_Formulario_A01'!$D:$D,MATCH("D13-DOC-DRM-001.ALTERNATIVES.CONCORRENTES",'01_Formulario_A01'!$A:$A,0))),"— (a preencher em 01_Formulario_A01)")</f>
        <v/>
      </c>
    </row>
    <row r="761">
      <c r="A761" s="13" t="inlineStr">
        <is>
          <t>D13-DOC-DRM-001.ALTERNATIVES.SUBSTITUTOS</t>
        </is>
      </c>
      <c r="B761" s="2" t="inlineStr">
        <is>
          <t>substitutos</t>
        </is>
      </c>
      <c r="C761" s="14">
        <f>IFERROR(IF(INDEX('01_Formulario_A01'!$D:$D,MATCH("D13-DOC-DRM-001.ALTERNATIVES.SUBSTITUTOS",'01_Formulario_A01'!$A:$A,0))="","— (a preencher em 01_Formulario_A01)",INDEX('01_Formulario_A01'!$D:$D,MATCH("D13-DOC-DRM-001.ALTERNATIVES.SUBSTITUTOS",'01_Formulario_A01'!$A:$A,0))),"— (a preencher em 01_Formulario_A01)")</f>
        <v/>
      </c>
    </row>
    <row r="762">
      <c r="A762" s="13" t="inlineStr">
        <is>
          <t>D13-DOC-DRM-001.POSITIONING.CATEGORIA</t>
        </is>
      </c>
      <c r="B762" s="2" t="inlineStr">
        <is>
          <t>categoria</t>
        </is>
      </c>
      <c r="C762" s="14">
        <f>IFERROR(IF(INDEX('01_Formulario_A01'!$D:$D,MATCH("D13-DOC-DRM-001.POSITIONING.CATEGORIA",'01_Formulario_A01'!$A:$A,0))="","— (a preencher em 01_Formulario_A01)",INDEX('01_Formulario_A01'!$D:$D,MATCH("D13-DOC-DRM-001.POSITIONING.CATEGORIA",'01_Formulario_A01'!$A:$A,0))),"— (a preencher em 01_Formulario_A01)")</f>
        <v/>
      </c>
    </row>
    <row r="763">
      <c r="A763" s="13" t="inlineStr">
        <is>
          <t>D13-DOC-DRM-001.POSITIONING.DIFERENCIACAO</t>
        </is>
      </c>
      <c r="B763" s="2" t="inlineStr">
        <is>
          <t>diferenciacao</t>
        </is>
      </c>
      <c r="C763" s="14">
        <f>IFERROR(IF(INDEX('01_Formulario_A01'!$D:$D,MATCH("D13-DOC-DRM-001.POSITIONING.DIFERENCIACAO",'01_Formulario_A01'!$A:$A,0))="","— (a preencher em 01_Formulario_A01)",INDEX('01_Formulario_A01'!$D:$D,MATCH("D13-DOC-DRM-001.POSITIONING.DIFERENCIACAO",'01_Formulario_A01'!$A:$A,0))),"— (a preencher em 01_Formulario_A01)")</f>
        <v/>
      </c>
    </row>
    <row r="764">
      <c r="A764" s="13" t="inlineStr">
        <is>
          <t>D13-DOC-DRM-001.MESSAGING.PROBLEMA</t>
        </is>
      </c>
      <c r="B764" s="2" t="inlineStr">
        <is>
          <t>problema</t>
        </is>
      </c>
      <c r="C764" s="14">
        <f>IFERROR(IF(INDEX('01_Formulario_A01'!$D:$D,MATCH("D13-DOC-DRM-001.MESSAGING.PROBLEMA",'01_Formulario_A01'!$A:$A,0))="","— (a preencher em 01_Formulario_A01)",INDEX('01_Formulario_A01'!$D:$D,MATCH("D13-DOC-DRM-001.MESSAGING.PROBLEMA",'01_Formulario_A01'!$A:$A,0))),"— (a preencher em 01_Formulario_A01)")</f>
        <v/>
      </c>
    </row>
    <row r="765">
      <c r="A765" s="13" t="inlineStr">
        <is>
          <t>D13-DOC-DRM-001.MESSAGING.PROMESSA</t>
        </is>
      </c>
      <c r="B765" s="2" t="inlineStr">
        <is>
          <t>promessa</t>
        </is>
      </c>
      <c r="C765" s="14">
        <f>IFERROR(IF(INDEX('01_Formulario_A01'!$D:$D,MATCH("D13-DOC-DRM-001.MESSAGING.PROMESSA",'01_Formulario_A01'!$A:$A,0))="","— (a preencher em 01_Formulario_A01)",INDEX('01_Formulario_A01'!$D:$D,MATCH("D13-DOC-DRM-001.MESSAGING.PROMESSA",'01_Formulario_A01'!$A:$A,0))),"— (a preencher em 01_Formulario_A01)")</f>
        <v/>
      </c>
    </row>
    <row r="766">
      <c r="A766" s="13" t="inlineStr">
        <is>
          <t>D13-DOC-DRM-001.MESSAGING.PROVA</t>
        </is>
      </c>
      <c r="B766" s="2" t="inlineStr">
        <is>
          <t>prova</t>
        </is>
      </c>
      <c r="C766" s="14">
        <f>IFERROR(IF(INDEX('01_Formulario_A01'!$D:$D,MATCH("D13-DOC-DRM-001.MESSAGING.PROVA",'01_Formulario_A01'!$A:$A,0))="","— (a preencher em 01_Formulario_A01)",INDEX('01_Formulario_A01'!$D:$D,MATCH("D13-DOC-DRM-001.MESSAGING.PROVA",'01_Formulario_A01'!$A:$A,0))),"— (a preencher em 01_Formulario_A01)")</f>
        <v/>
      </c>
    </row>
    <row r="767">
      <c r="A767" s="13" t="inlineStr">
        <is>
          <t>D13-DOC-DRM-001.CHANNELS.ORGANICO</t>
        </is>
      </c>
      <c r="B767" s="2" t="inlineStr">
        <is>
          <t>organico</t>
        </is>
      </c>
      <c r="C767" s="14">
        <f>IFERROR(IF(INDEX('01_Formulario_A01'!$D:$D,MATCH("D13-DOC-DRM-001.CHANNELS.ORGANICO",'01_Formulario_A01'!$A:$A,0))="","— (a preencher em 01_Formulario_A01)",INDEX('01_Formulario_A01'!$D:$D,MATCH("D13-DOC-DRM-001.CHANNELS.ORGANICO",'01_Formulario_A01'!$A:$A,0))),"— (a preencher em 01_Formulario_A01)")</f>
        <v/>
      </c>
    </row>
    <row r="768">
      <c r="A768" s="13" t="inlineStr">
        <is>
          <t>D13-DOC-DRM-001.CHANNELS.PAGO</t>
        </is>
      </c>
      <c r="B768" s="2" t="inlineStr">
        <is>
          <t>pago</t>
        </is>
      </c>
      <c r="C768" s="14">
        <f>IFERROR(IF(INDEX('01_Formulario_A01'!$D:$D,MATCH("D13-DOC-DRM-001.CHANNELS.PAGO",'01_Formulario_A01'!$A:$A,0))="","— (a preencher em 01_Formulario_A01)",INDEX('01_Formulario_A01'!$D:$D,MATCH("D13-DOC-DRM-001.CHANNELS.PAGO",'01_Formulario_A01'!$A:$A,0))),"— (a preencher em 01_Formulario_A01)")</f>
        <v/>
      </c>
    </row>
    <row r="769">
      <c r="A769" s="13" t="inlineStr">
        <is>
          <t>D13-DOC-DRM-001.CHANNELS.PARCERIA</t>
        </is>
      </c>
      <c r="B769" s="2" t="inlineStr">
        <is>
          <t>parceria</t>
        </is>
      </c>
      <c r="C769" s="14">
        <f>IFERROR(IF(INDEX('01_Formulario_A01'!$D:$D,MATCH("D13-DOC-DRM-001.CHANNELS.PARCERIA",'01_Formulario_A01'!$A:$A,0))="","— (a preencher em 01_Formulario_A01)",INDEX('01_Formulario_A01'!$D:$D,MATCH("D13-DOC-DRM-001.CHANNELS.PARCERIA",'01_Formulario_A01'!$A:$A,0))),"— (a preencher em 01_Formulario_A01)")</f>
        <v/>
      </c>
    </row>
    <row r="770">
      <c r="A770" s="13" t="inlineStr">
        <is>
          <t>D13-DOC-DRM-001.ACQUISITION.ESTRATEGIAS</t>
        </is>
      </c>
      <c r="B770" s="2" t="inlineStr">
        <is>
          <t>estrategias</t>
        </is>
      </c>
      <c r="C770" s="14">
        <f>IFERROR(IF(INDEX('01_Formulario_A01'!$D:$D,MATCH("D13-DOC-DRM-001.ACQUISITION.ESTRATEGIAS",'01_Formulario_A01'!$A:$A,0))="","— (a preencher em 01_Formulario_A01)",INDEX('01_Formulario_A01'!$D:$D,MATCH("D13-DOC-DRM-001.ACQUISITION.ESTRATEGIAS",'01_Formulario_A01'!$A:$A,0))),"— (a preencher em 01_Formulario_A01)")</f>
        <v/>
      </c>
    </row>
    <row r="771">
      <c r="A771" s="13" t="inlineStr">
        <is>
          <t>D13-DOC-DRM-001.PRICING_SIGNALS.DISPOSICAO_A_PAGAR</t>
        </is>
      </c>
      <c r="B771" s="2" t="inlineStr">
        <is>
          <t>disposicao_a_pagar</t>
        </is>
      </c>
      <c r="C771" s="14">
        <f>IFERROR(IF(INDEX('01_Formulario_A01'!$D:$D,MATCH("D13-DOC-DRM-001.PRICING_SIGNALS.DISPOSICAO_A_PAGAR",'01_Formulario_A01'!$A:$A,0))="","— (a preencher em 01_Formulario_A01)",INDEX('01_Formulario_A01'!$D:$D,MATCH("D13-DOC-DRM-001.PRICING_SIGNALS.DISPOSICAO_A_PAGAR",'01_Formulario_A01'!$A:$A,0))),"— (a preencher em 01_Formulario_A01)")</f>
        <v/>
      </c>
    </row>
    <row r="772">
      <c r="A772" s="13" t="inlineStr">
        <is>
          <t>D13-DOC-DRM-001.PRICING_SIGNALS.BENCHMARKS</t>
        </is>
      </c>
      <c r="B772" s="2" t="inlineStr">
        <is>
          <t>benchmarks</t>
        </is>
      </c>
      <c r="C772" s="14">
        <f>IFERROR(IF(INDEX('01_Formulario_A01'!$D:$D,MATCH("D13-DOC-DRM-001.PRICING_SIGNALS.BENCHMARKS",'01_Formulario_A01'!$A:$A,0))="","— (a preencher em 01_Formulario_A01)",INDEX('01_Formulario_A01'!$D:$D,MATCH("D13-DOC-DRM-001.PRICING_SIGNALS.BENCHMARKS",'01_Formulario_A01'!$A:$A,0))),"— (a preencher em 01_Formulario_A01)")</f>
        <v/>
      </c>
    </row>
    <row r="773">
      <c r="A773" s="13" t="inlineStr">
        <is>
          <t>D13-DOC-DRM-001.EVIDENCE.FONTES</t>
        </is>
      </c>
      <c r="B773" s="2" t="inlineStr">
        <is>
          <t>fontes</t>
        </is>
      </c>
      <c r="C773" s="14">
        <f>IFERROR(IF(INDEX('01_Formulario_A01'!$D:$D,MATCH("D13-DOC-DRM-001.EVIDENCE.FONTES",'01_Formulario_A01'!$A:$A,0))="","— (a preencher em 01_Formulario_A01)",INDEX('01_Formulario_A01'!$D:$D,MATCH("D13-DOC-DRM-001.EVIDENCE.FONTES",'01_Formulario_A01'!$A:$A,0))),"— (a preencher em 01_Formulario_A01)")</f>
        <v/>
      </c>
    </row>
    <row r="774">
      <c r="A774" s="13" t="inlineStr">
        <is>
          <t>D13-DOC-DRM-001.EVIDENCE.ESTUDOS</t>
        </is>
      </c>
      <c r="B774" s="2" t="inlineStr">
        <is>
          <t>estudos</t>
        </is>
      </c>
      <c r="C774" s="14">
        <f>IFERROR(IF(INDEX('01_Formulario_A01'!$D:$D,MATCH("D13-DOC-DRM-001.EVIDENCE.ESTUDOS",'01_Formulario_A01'!$A:$A,0))="","— (a preencher em 01_Formulario_A01)",INDEX('01_Formulario_A01'!$D:$D,MATCH("D13-DOC-DRM-001.EVIDENCE.ESTUDOS",'01_Formulario_A01'!$A:$A,0))),"— (a preencher em 01_Formulario_A01)")</f>
        <v/>
      </c>
    </row>
    <row r="775">
      <c r="A775" s="13" t="inlineStr">
        <is>
          <t>D13-DOC-DRM-001.RISKS.RISCOS_DE_MERCADO</t>
        </is>
      </c>
      <c r="B775" s="2" t="inlineStr">
        <is>
          <t>riscos_de_mercado</t>
        </is>
      </c>
      <c r="C775" s="14">
        <f>IFERROR(IF(INDEX('01_Formulario_A01'!$D:$D,MATCH("D13-DOC-DRM-001.RISKS.RISCOS_DE_MERCADO",'01_Formulario_A01'!$A:$A,0))="","— (a preencher em 01_Formulario_A01)",INDEX('01_Formulario_A01'!$D:$D,MATCH("D13-DOC-DRM-001.RISKS.RISCOS_DE_MERCADO",'01_Formulario_A01'!$A:$A,0))),"— (a preencher em 01_Formulario_A01)")</f>
        <v/>
      </c>
    </row>
    <row r="776">
      <c r="A776" s="5" t="inlineStr">
        <is>
          <t>D13-DOC-GTM-001 — Plano de Entrada no Mercado e Lançamento [PRE_PREENCHIDO/PENDENTE]</t>
        </is>
      </c>
      <c r="B776" s="6" t="n"/>
      <c r="C776" s="7" t="n"/>
    </row>
    <row r="777">
      <c r="A777" s="13" t="inlineStr">
        <is>
          <t>D13-DOC-GTM-001.OBJECTIVES.OBJETIVO_DE_LANCAMENTO</t>
        </is>
      </c>
      <c r="B777" s="2" t="inlineStr">
        <is>
          <t>objetivo_de_lancamento</t>
        </is>
      </c>
      <c r="C777" s="14">
        <f>IFERROR(IF(INDEX('01_Formulario_A01'!$D:$D,MATCH("D13-DOC-GTM-001.OBJECTIVES.OBJETIVO_DE_LANCAMENTO",'01_Formulario_A01'!$A:$A,0))="","— (a preencher em 01_Formulario_A01)",INDEX('01_Formulario_A01'!$D:$D,MATCH("D13-DOC-GTM-001.OBJECTIVES.OBJETIVO_DE_LANCAMENTO",'01_Formulario_A01'!$A:$A,0))),"— (a preencher em 01_Formulario_A01)")</f>
        <v/>
      </c>
    </row>
    <row r="778">
      <c r="A778" s="13" t="inlineStr">
        <is>
          <t>D13-DOC-GTM-001.AUDIENCE.ICP</t>
        </is>
      </c>
      <c r="B778" s="2" t="inlineStr">
        <is>
          <t>icp</t>
        </is>
      </c>
      <c r="C778" s="14">
        <f>IFERROR(IF(INDEX('01_Formulario_A01'!$D:$D,MATCH("D13-DOC-GTM-001.AUDIENCE.ICP",'01_Formulario_A01'!$A:$A,0))="","— (a preencher em 01_Formulario_A01)",INDEX('01_Formulario_A01'!$D:$D,MATCH("D13-DOC-GTM-001.AUDIENCE.ICP",'01_Formulario_A01'!$A:$A,0))),"— (a preencher em 01_Formulario_A01)")</f>
        <v/>
      </c>
    </row>
    <row r="779">
      <c r="A779" s="13" t="inlineStr">
        <is>
          <t>D13-DOC-GTM-001.AUDIENCE.SEGMENTOS</t>
        </is>
      </c>
      <c r="B779" s="2" t="inlineStr">
        <is>
          <t>segmentos</t>
        </is>
      </c>
      <c r="C779" s="14">
        <f>IFERROR(IF(INDEX('01_Formulario_A01'!$D:$D,MATCH("D13-DOC-GTM-001.AUDIENCE.SEGMENTOS",'01_Formulario_A01'!$A:$A,0))="","— (a preencher em 01_Formulario_A01)",INDEX('01_Formulario_A01'!$D:$D,MATCH("D13-DOC-GTM-001.AUDIENCE.SEGMENTOS",'01_Formulario_A01'!$A:$A,0))),"— (a preencher em 01_Formulario_A01)")</f>
        <v/>
      </c>
    </row>
    <row r="780">
      <c r="A780" s="13" t="inlineStr">
        <is>
          <t>D13-DOC-GTM-001.POSITIONING.POSICIONAMENTO</t>
        </is>
      </c>
      <c r="B780" s="2" t="inlineStr">
        <is>
          <t>posicionamento</t>
        </is>
      </c>
      <c r="C780" s="14">
        <f>IFERROR(IF(INDEX('01_Formulario_A01'!$D:$D,MATCH("D13-DOC-GTM-001.POSITIONING.POSICIONAMENTO",'01_Formulario_A01'!$A:$A,0))="","— (a preencher em 01_Formulario_A01)",INDEX('01_Formulario_A01'!$D:$D,MATCH("D13-DOC-GTM-001.POSITIONING.POSICIONAMENTO",'01_Formulario_A01'!$A:$A,0))),"— (a preencher em 01_Formulario_A01)")</f>
        <v/>
      </c>
    </row>
    <row r="781">
      <c r="A781" s="13" t="inlineStr">
        <is>
          <t>D13-DOC-GTM-001.POSITIONING.MENSAGEM</t>
        </is>
      </c>
      <c r="B781" s="2" t="inlineStr">
        <is>
          <t>mensagem</t>
        </is>
      </c>
      <c r="C781" s="14">
        <f>IFERROR(IF(INDEX('01_Formulario_A01'!$D:$D,MATCH("D13-DOC-GTM-001.POSITIONING.MENSAGEM",'01_Formulario_A01'!$A:$A,0))="","— (a preencher em 01_Formulario_A01)",INDEX('01_Formulario_A01'!$D:$D,MATCH("D13-DOC-GTM-001.POSITIONING.MENSAGEM",'01_Formulario_A01'!$A:$A,0))),"— (a preencher em 01_Formulario_A01)")</f>
        <v/>
      </c>
    </row>
    <row r="782">
      <c r="A782" s="13" t="inlineStr">
        <is>
          <t>D13-DOC-GTM-001.OFFER.PRODUTO</t>
        </is>
      </c>
      <c r="B782" s="2" t="inlineStr">
        <is>
          <t>produto</t>
        </is>
      </c>
      <c r="C782" s="14">
        <f>IFERROR(IF(INDEX('01_Formulario_A01'!$D:$D,MATCH("D13-DOC-GTM-001.OFFER.PRODUTO",'01_Formulario_A01'!$A:$A,0))="","— (a preencher em 01_Formulario_A01)",INDEX('01_Formulario_A01'!$D:$D,MATCH("D13-DOC-GTM-001.OFFER.PRODUTO",'01_Formulario_A01'!$A:$A,0))),"— (a preencher em 01_Formulario_A01)")</f>
        <v/>
      </c>
    </row>
    <row r="783">
      <c r="A783" s="13" t="inlineStr">
        <is>
          <t>D13-DOC-GTM-001.OFFER.PLANO</t>
        </is>
      </c>
      <c r="B783" s="2" t="inlineStr">
        <is>
          <t>plano</t>
        </is>
      </c>
      <c r="C783" s="14">
        <f>IFERROR(IF(INDEX('01_Formulario_A01'!$D:$D,MATCH("D13-DOC-GTM-001.OFFER.PLANO",'01_Formulario_A01'!$A:$A,0))="","— (a preencher em 01_Formulario_A01)",INDEX('01_Formulario_A01'!$D:$D,MATCH("D13-DOC-GTM-001.OFFER.PLANO",'01_Formulario_A01'!$A:$A,0))),"— (a preencher em 01_Formulario_A01)")</f>
        <v/>
      </c>
    </row>
    <row r="784">
      <c r="A784" s="13" t="inlineStr">
        <is>
          <t>D13-DOC-GTM-001.OFFER.PRECO</t>
        </is>
      </c>
      <c r="B784" s="2" t="inlineStr">
        <is>
          <t>preco</t>
        </is>
      </c>
      <c r="C784" s="14">
        <f>IFERROR(IF(INDEX('01_Formulario_A01'!$D:$D,MATCH("D13-DOC-GTM-001.OFFER.PRECO",'01_Formulario_A01'!$A:$A,0))="","— (a preencher em 01_Formulario_A01)",INDEX('01_Formulario_A01'!$D:$D,MATCH("D13-DOC-GTM-001.OFFER.PRECO",'01_Formulario_A01'!$A:$A,0))),"— (a preencher em 01_Formulario_A01)")</f>
        <v/>
      </c>
    </row>
    <row r="785">
      <c r="A785" s="13" t="inlineStr">
        <is>
          <t>D13-DOC-GTM-001.CHANNELS.CANAL</t>
        </is>
      </c>
      <c r="B785" s="2" t="inlineStr">
        <is>
          <t>canal</t>
        </is>
      </c>
      <c r="C785" s="14">
        <f>IFERROR(IF(INDEX('01_Formulario_A01'!$D:$D,MATCH("D13-DOC-GTM-001.CHANNELS.CANAL",'01_Formulario_A01'!$A:$A,0))="","— (a preencher em 01_Formulario_A01)",INDEX('01_Formulario_A01'!$D:$D,MATCH("D13-DOC-GTM-001.CHANNELS.CANAL",'01_Formulario_A01'!$A:$A,0))),"— (a preencher em 01_Formulario_A01)")</f>
        <v/>
      </c>
    </row>
    <row r="786">
      <c r="A786" s="13" t="inlineStr">
        <is>
          <t>D13-DOC-GTM-001.CHANNELS.FUNCAO</t>
        </is>
      </c>
      <c r="B786" s="2" t="inlineStr">
        <is>
          <t>funcao</t>
        </is>
      </c>
      <c r="C786" s="14">
        <f>IFERROR(IF(INDEX('01_Formulario_A01'!$D:$D,MATCH("D13-DOC-GTM-001.CHANNELS.FUNCAO",'01_Formulario_A01'!$A:$A,0))="","— (a preencher em 01_Formulario_A01)",INDEX('01_Formulario_A01'!$D:$D,MATCH("D13-DOC-GTM-001.CHANNELS.FUNCAO",'01_Formulario_A01'!$A:$A,0))),"— (a preencher em 01_Formulario_A01)")</f>
        <v/>
      </c>
    </row>
    <row r="787">
      <c r="A787" s="13" t="inlineStr">
        <is>
          <t>D13-DOC-GTM-001.CONTENT.ATIVOS</t>
        </is>
      </c>
      <c r="B787" s="2" t="inlineStr">
        <is>
          <t>ativos</t>
        </is>
      </c>
      <c r="C787" s="14">
        <f>IFERROR(IF(INDEX('01_Formulario_A01'!$D:$D,MATCH("D13-DOC-GTM-001.CONTENT.ATIVOS",'01_Formulario_A01'!$A:$A,0))="","— (a preencher em 01_Formulario_A01)",INDEX('01_Formulario_A01'!$D:$D,MATCH("D13-DOC-GTM-001.CONTENT.ATIVOS",'01_Formulario_A01'!$A:$A,0))),"— (a preencher em 01_Formulario_A01)")</f>
        <v/>
      </c>
    </row>
    <row r="788">
      <c r="A788" s="13" t="inlineStr">
        <is>
          <t>D13-DOC-GTM-001.CONTENT.CAMPANHA</t>
        </is>
      </c>
      <c r="B788" s="2" t="inlineStr">
        <is>
          <t>campanha</t>
        </is>
      </c>
      <c r="C788" s="14">
        <f>IFERROR(IF(INDEX('01_Formulario_A01'!$D:$D,MATCH("D13-DOC-GTM-001.CONTENT.CAMPANHA",'01_Formulario_A01'!$A:$A,0))="","— (a preencher em 01_Formulario_A01)",INDEX('01_Formulario_A01'!$D:$D,MATCH("D13-DOC-GTM-001.CONTENT.CAMPANHA",'01_Formulario_A01'!$A:$A,0))),"— (a preencher em 01_Formulario_A01)")</f>
        <v/>
      </c>
    </row>
    <row r="789">
      <c r="A789" s="13" t="inlineStr">
        <is>
          <t>D13-DOC-GTM-001.FUNNEL.AWARENESS</t>
        </is>
      </c>
      <c r="B789" s="2" t="inlineStr">
        <is>
          <t>awareness</t>
        </is>
      </c>
      <c r="C789" s="14">
        <f>IFERROR(IF(INDEX('01_Formulario_A01'!$D:$D,MATCH("D13-DOC-GTM-001.FUNNEL.AWARENESS",'01_Formulario_A01'!$A:$A,0))="","— (a preencher em 01_Formulario_A01)",INDEX('01_Formulario_A01'!$D:$D,MATCH("D13-DOC-GTM-001.FUNNEL.AWARENESS",'01_Formulario_A01'!$A:$A,0))),"— (a preencher em 01_Formulario_A01)")</f>
        <v/>
      </c>
    </row>
    <row r="790">
      <c r="A790" s="13" t="inlineStr">
        <is>
          <t>D13-DOC-GTM-001.FUNNEL.CONSIDERATION</t>
        </is>
      </c>
      <c r="B790" s="2" t="inlineStr">
        <is>
          <t>consideration</t>
        </is>
      </c>
      <c r="C790" s="14">
        <f>IFERROR(IF(INDEX('01_Formulario_A01'!$D:$D,MATCH("D13-DOC-GTM-001.FUNNEL.CONSIDERATION",'01_Formulario_A01'!$A:$A,0))="","— (a preencher em 01_Formulario_A01)",INDEX('01_Formulario_A01'!$D:$D,MATCH("D13-DOC-GTM-001.FUNNEL.CONSIDERATION",'01_Formulario_A01'!$A:$A,0))),"— (a preencher em 01_Formulario_A01)")</f>
        <v/>
      </c>
    </row>
    <row r="791">
      <c r="A791" s="13" t="inlineStr">
        <is>
          <t>D13-DOC-GTM-001.FUNNEL.CONVERSION</t>
        </is>
      </c>
      <c r="B791" s="2" t="inlineStr">
        <is>
          <t>conversion</t>
        </is>
      </c>
      <c r="C791" s="14">
        <f>IFERROR(IF(INDEX('01_Formulario_A01'!$D:$D,MATCH("D13-DOC-GTM-001.FUNNEL.CONVERSION",'01_Formulario_A01'!$A:$A,0))="","— (a preencher em 01_Formulario_A01)",INDEX('01_Formulario_A01'!$D:$D,MATCH("D13-DOC-GTM-001.FUNNEL.CONVERSION",'01_Formulario_A01'!$A:$A,0))),"— (a preencher em 01_Formulario_A01)")</f>
        <v/>
      </c>
    </row>
    <row r="792">
      <c r="A792" s="13" t="inlineStr">
        <is>
          <t>D13-DOC-GTM-001.FUNNEL.RETENTION</t>
        </is>
      </c>
      <c r="B792" s="2" t="inlineStr">
        <is>
          <t>retention</t>
        </is>
      </c>
      <c r="C792" s="14">
        <f>IFERROR(IF(INDEX('01_Formulario_A01'!$D:$D,MATCH("D13-DOC-GTM-001.FUNNEL.RETENTION",'01_Formulario_A01'!$A:$A,0))="","— (a preencher em 01_Formulario_A01)",INDEX('01_Formulario_A01'!$D:$D,MATCH("D13-DOC-GTM-001.FUNNEL.RETENTION",'01_Formulario_A01'!$A:$A,0))),"— (a preencher em 01_Formulario_A01)")</f>
        <v/>
      </c>
    </row>
    <row r="793">
      <c r="A793" s="13" t="inlineStr">
        <is>
          <t>D13-DOC-GTM-001.CAMPAIGN.FASE</t>
        </is>
      </c>
      <c r="B793" s="2" t="inlineStr">
        <is>
          <t>fase</t>
        </is>
      </c>
      <c r="C793" s="14">
        <f>IFERROR(IF(INDEX('01_Formulario_A01'!$D:$D,MATCH("D13-DOC-GTM-001.CAMPAIGN.FASE",'01_Formulario_A01'!$A:$A,0))="","— (a preencher em 01_Formulario_A01)",INDEX('01_Formulario_A01'!$D:$D,MATCH("D13-DOC-GTM-001.CAMPAIGN.FASE",'01_Formulario_A01'!$A:$A,0))),"— (a preencher em 01_Formulario_A01)")</f>
        <v/>
      </c>
    </row>
    <row r="794">
      <c r="A794" s="13" t="inlineStr">
        <is>
          <t>D13-DOC-GTM-001.CAMPAIGN.ATIVIDADE</t>
        </is>
      </c>
      <c r="B794" s="2" t="inlineStr">
        <is>
          <t>atividade</t>
        </is>
      </c>
      <c r="C794" s="14">
        <f>IFERROR(IF(INDEX('01_Formulario_A01'!$D:$D,MATCH("D13-DOC-GTM-001.CAMPAIGN.ATIVIDADE",'01_Formulario_A01'!$A:$A,0))="","— (a preencher em 01_Formulario_A01)",INDEX('01_Formulario_A01'!$D:$D,MATCH("D13-DOC-GTM-001.CAMPAIGN.ATIVIDADE",'01_Formulario_A01'!$A:$A,0))),"— (a preencher em 01_Formulario_A01)")</f>
        <v/>
      </c>
    </row>
    <row r="795">
      <c r="A795" s="13" t="inlineStr">
        <is>
          <t>D13-DOC-GTM-001.CAMPAIGN.ATIVO</t>
        </is>
      </c>
      <c r="B795" s="2" t="inlineStr">
        <is>
          <t>ativo</t>
        </is>
      </c>
      <c r="C795" s="14">
        <f>IFERROR(IF(INDEX('01_Formulario_A01'!$D:$D,MATCH("D13-DOC-GTM-001.CAMPAIGN.ATIVO",'01_Formulario_A01'!$A:$A,0))="","— (a preencher em 01_Formulario_A01)",INDEX('01_Formulario_A01'!$D:$D,MATCH("D13-DOC-GTM-001.CAMPAIGN.ATIVO",'01_Formulario_A01'!$A:$A,0))),"— (a preencher em 01_Formulario_A01)")</f>
        <v/>
      </c>
    </row>
    <row r="796">
      <c r="A796" s="13" t="inlineStr">
        <is>
          <t>D13-DOC-GTM-001.LAUNCH.PRE_LAUNCH</t>
        </is>
      </c>
      <c r="B796" s="2" t="inlineStr">
        <is>
          <t>pre_launch</t>
        </is>
      </c>
      <c r="C796" s="14">
        <f>IFERROR(IF(INDEX('01_Formulario_A01'!$D:$D,MATCH("D13-DOC-GTM-001.LAUNCH.PRE_LAUNCH",'01_Formulario_A01'!$A:$A,0))="","— (a preencher em 01_Formulario_A01)",INDEX('01_Formulario_A01'!$D:$D,MATCH("D13-DOC-GTM-001.LAUNCH.PRE_LAUNCH",'01_Formulario_A01'!$A:$A,0))),"— (a preencher em 01_Formulario_A01)")</f>
        <v/>
      </c>
    </row>
    <row r="797">
      <c r="A797" s="13" t="inlineStr">
        <is>
          <t>D13-DOC-GTM-001.LAUNCH.LAUNCH</t>
        </is>
      </c>
      <c r="B797" s="2" t="inlineStr">
        <is>
          <t>launch</t>
        </is>
      </c>
      <c r="C797" s="14">
        <f>IFERROR(IF(INDEX('01_Formulario_A01'!$D:$D,MATCH("D13-DOC-GTM-001.LAUNCH.LAUNCH",'01_Formulario_A01'!$A:$A,0))="","— (a preencher em 01_Formulario_A01)",INDEX('01_Formulario_A01'!$D:$D,MATCH("D13-DOC-GTM-001.LAUNCH.LAUNCH",'01_Formulario_A01'!$A:$A,0))),"— (a preencher em 01_Formulario_A01)")</f>
        <v/>
      </c>
    </row>
    <row r="798">
      <c r="A798" s="13" t="inlineStr">
        <is>
          <t>D13-DOC-GTM-001.LAUNCH.POST_LAUNCH</t>
        </is>
      </c>
      <c r="B798" s="2" t="inlineStr">
        <is>
          <t>post_launch</t>
        </is>
      </c>
      <c r="C798" s="14">
        <f>IFERROR(IF(INDEX('01_Formulario_A01'!$D:$D,MATCH("D13-DOC-GTM-001.LAUNCH.POST_LAUNCH",'01_Formulario_A01'!$A:$A,0))="","— (a preencher em 01_Formulario_A01)",INDEX('01_Formulario_A01'!$D:$D,MATCH("D13-DOC-GTM-001.LAUNCH.POST_LAUNCH",'01_Formulario_A01'!$A:$A,0))),"— (a preencher em 01_Formulario_A01)")</f>
        <v/>
      </c>
    </row>
    <row r="799">
      <c r="A799" s="13" t="inlineStr">
        <is>
          <t>D13-DOC-GTM-001.SALES_HANDOFF.MARKETING_PARA_VENDAS</t>
        </is>
      </c>
      <c r="B799" s="2" t="inlineStr">
        <is>
          <t>marketing_para_vendas</t>
        </is>
      </c>
      <c r="C799" s="14">
        <f>IFERROR(IF(INDEX('01_Formulario_A01'!$D:$D,MATCH("D13-DOC-GTM-001.SALES_HANDOFF.MARKETING_PARA_VENDAS",'01_Formulario_A01'!$A:$A,0))="","— (a preencher em 01_Formulario_A01)",INDEX('01_Formulario_A01'!$D:$D,MATCH("D13-DOC-GTM-001.SALES_HANDOFF.MARKETING_PARA_VENDAS",'01_Formulario_A01'!$A:$A,0))),"— (a preencher em 01_Formulario_A01)")</f>
        <v/>
      </c>
    </row>
    <row r="800">
      <c r="A800" s="13" t="inlineStr">
        <is>
          <t>D13-DOC-GTM-001.SUPPORT_READINESS.ATENDIMENTO</t>
        </is>
      </c>
      <c r="B800" s="2" t="inlineStr">
        <is>
          <t>atendimento</t>
        </is>
      </c>
      <c r="C800" s="14">
        <f>IFERROR(IF(INDEX('01_Formulario_A01'!$D:$D,MATCH("D13-DOC-GTM-001.SUPPORT_READINESS.ATENDIMENTO",'01_Formulario_A01'!$A:$A,0))="","— (a preencher em 01_Formulario_A01)",INDEX('01_Formulario_A01'!$D:$D,MATCH("D13-DOC-GTM-001.SUPPORT_READINESS.ATENDIMENTO",'01_Formulario_A01'!$A:$A,0))),"— (a preencher em 01_Formulario_A01)")</f>
        <v/>
      </c>
    </row>
    <row r="801">
      <c r="A801" s="13" t="inlineStr">
        <is>
          <t>D13-DOC-GTM-001.SUPPORT_READINESS.FAQ</t>
        </is>
      </c>
      <c r="B801" s="2" t="inlineStr">
        <is>
          <t>faq</t>
        </is>
      </c>
      <c r="C801" s="14">
        <f>IFERROR(IF(INDEX('01_Formulario_A01'!$D:$D,MATCH("D13-DOC-GTM-001.SUPPORT_READINESS.FAQ",'01_Formulario_A01'!$A:$A,0))="","— (a preencher em 01_Formulario_A01)",INDEX('01_Formulario_A01'!$D:$D,MATCH("D13-DOC-GTM-001.SUPPORT_READINESS.FAQ",'01_Formulario_A01'!$A:$A,0))),"— (a preencher em 01_Formulario_A01)")</f>
        <v/>
      </c>
    </row>
    <row r="802">
      <c r="A802" s="13" t="inlineStr">
        <is>
          <t>D13-DOC-GTM-001.ANALYTICS.METRICAS</t>
        </is>
      </c>
      <c r="B802" s="2" t="inlineStr">
        <is>
          <t>metricas</t>
        </is>
      </c>
      <c r="C802" s="14">
        <f>IFERROR(IF(INDEX('01_Formulario_A01'!$D:$D,MATCH("D13-DOC-GTM-001.ANALYTICS.METRICAS",'01_Formulario_A01'!$A:$A,0))="","— (a preencher em 01_Formulario_A01)",INDEX('01_Formulario_A01'!$D:$D,MATCH("D13-DOC-GTM-001.ANALYTICS.METRICAS",'01_Formulario_A01'!$A:$A,0))),"— (a preencher em 01_Formulario_A01)")</f>
        <v/>
      </c>
    </row>
    <row r="803">
      <c r="A803" s="13" t="inlineStr">
        <is>
          <t>D13-DOC-GTM-001.ANALYTICS.EVENTOS</t>
        </is>
      </c>
      <c r="B803" s="2" t="inlineStr">
        <is>
          <t>eventos</t>
        </is>
      </c>
      <c r="C803" s="14">
        <f>IFERROR(IF(INDEX('01_Formulario_A01'!$D:$D,MATCH("D13-DOC-GTM-001.ANALYTICS.EVENTOS",'01_Formulario_A01'!$A:$A,0))="","— (a preencher em 01_Formulario_A01)",INDEX('01_Formulario_A01'!$D:$D,MATCH("D13-DOC-GTM-001.ANALYTICS.EVENTOS",'01_Formulario_A01'!$A:$A,0))),"— (a preencher em 01_Formulario_A01)")</f>
        <v/>
      </c>
    </row>
    <row r="804">
      <c r="A804" s="13" t="inlineStr">
        <is>
          <t>D13-DOC-GTM-001.BUDGET.INVESTIMENTO</t>
        </is>
      </c>
      <c r="B804" s="2" t="inlineStr">
        <is>
          <t>investimento</t>
        </is>
      </c>
      <c r="C804" s="14">
        <f>IFERROR(IF(INDEX('01_Formulario_A01'!$D:$D,MATCH("D13-DOC-GTM-001.BUDGET.INVESTIMENTO",'01_Formulario_A01'!$A:$A,0))="","— (a preencher em 01_Formulario_A01)",INDEX('01_Formulario_A01'!$D:$D,MATCH("D13-DOC-GTM-001.BUDGET.INVESTIMENTO",'01_Formulario_A01'!$A:$A,0))),"— (a preencher em 01_Formulario_A01)")</f>
        <v/>
      </c>
    </row>
    <row r="805">
      <c r="A805" s="13" t="inlineStr">
        <is>
          <t>D13-DOC-GTM-001.EXPERIMENTS.HIPOTESE</t>
        </is>
      </c>
      <c r="B805" s="2" t="inlineStr">
        <is>
          <t>hipotese</t>
        </is>
      </c>
      <c r="C805" s="14">
        <f>IFERROR(IF(INDEX('01_Formulario_A01'!$D:$D,MATCH("D13-DOC-GTM-001.EXPERIMENTS.HIPOTESE",'01_Formulario_A01'!$A:$A,0))="","— (a preencher em 01_Formulario_A01)",INDEX('01_Formulario_A01'!$D:$D,MATCH("D13-DOC-GTM-001.EXPERIMENTS.HIPOTESE",'01_Formulario_A01'!$A:$A,0))),"— (a preencher em 01_Formulario_A01)")</f>
        <v/>
      </c>
    </row>
    <row r="806">
      <c r="A806" s="13" t="inlineStr">
        <is>
          <t>D13-DOC-GTM-001.EXPERIMENTS.TESTE</t>
        </is>
      </c>
      <c r="B806" s="2" t="inlineStr">
        <is>
          <t>teste</t>
        </is>
      </c>
      <c r="C806" s="14">
        <f>IFERROR(IF(INDEX('01_Formulario_A01'!$D:$D,MATCH("D13-DOC-GTM-001.EXPERIMENTS.TESTE",'01_Formulario_A01'!$A:$A,0))="","— (a preencher em 01_Formulario_A01)",INDEX('01_Formulario_A01'!$D:$D,MATCH("D13-DOC-GTM-001.EXPERIMENTS.TESTE",'01_Formulario_A01'!$A:$A,0))),"— (a preencher em 01_Formulario_A01)")</f>
        <v/>
      </c>
    </row>
    <row r="807">
      <c r="A807" s="13" t="inlineStr">
        <is>
          <t>D13-DOC-GTM-001.GATES.GO_NO_GO</t>
        </is>
      </c>
      <c r="B807" s="2" t="inlineStr">
        <is>
          <t>go_no_go</t>
        </is>
      </c>
      <c r="C807" s="14">
        <f>IFERROR(IF(INDEX('01_Formulario_A01'!$D:$D,MATCH("D13-DOC-GTM-001.GATES.GO_NO_GO",'01_Formulario_A01'!$A:$A,0))="","— (a preencher em 01_Formulario_A01)",INDEX('01_Formulario_A01'!$D:$D,MATCH("D13-DOC-GTM-001.GATES.GO_NO_GO",'01_Formulario_A01'!$A:$A,0))),"— (a preencher em 01_Formulario_A01)")</f>
        <v/>
      </c>
    </row>
    <row r="808">
      <c r="A808" s="13" t="inlineStr">
        <is>
          <t>D13-DOC-GTM-001.GATES.CRITERIO</t>
        </is>
      </c>
      <c r="B808" s="2" t="inlineStr">
        <is>
          <t>criterio</t>
        </is>
      </c>
      <c r="C808" s="14">
        <f>IFERROR(IF(INDEX('01_Formulario_A01'!$D:$D,MATCH("D13-DOC-GTM-001.GATES.CRITERIO",'01_Formulario_A01'!$A:$A,0))="","— (a preencher em 01_Formulario_A01)",INDEX('01_Formulario_A01'!$D:$D,MATCH("D13-DOC-GTM-001.GATES.CRITERIO",'01_Formulario_A01'!$A:$A,0))),"— (a preencher em 01_Formulario_A01)")</f>
        <v/>
      </c>
    </row>
    <row r="809">
      <c r="A809" s="5" t="inlineStr">
        <is>
          <t>D14-DOC-PCV-001 — Plano Comercial e de Vendas [PRE_PREENCHIDO/PENDENTE]</t>
        </is>
      </c>
      <c r="B809" s="6" t="n"/>
      <c r="C809" s="7" t="n"/>
    </row>
    <row r="810">
      <c r="A810" s="13" t="inlineStr">
        <is>
          <t>D14-DOC-PCV-001.CUSTOMER.ICP</t>
        </is>
      </c>
      <c r="B810" s="2" t="inlineStr">
        <is>
          <t>icp</t>
        </is>
      </c>
      <c r="C810" s="14">
        <f>IFERROR(IF(INDEX('01_Formulario_A01'!$D:$D,MATCH("D14-DOC-PCV-001.CUSTOMER.ICP",'01_Formulario_A01'!$A:$A,0))="","— (a preencher em 01_Formulario_A01)",INDEX('01_Formulario_A01'!$D:$D,MATCH("D14-DOC-PCV-001.CUSTOMER.ICP",'01_Formulario_A01'!$A:$A,0))),"— (a preencher em 01_Formulario_A01)")</f>
        <v/>
      </c>
    </row>
    <row r="811">
      <c r="A811" s="13" t="inlineStr">
        <is>
          <t>D14-DOC-PCV-001.CUSTOMER.SEGMENTOS</t>
        </is>
      </c>
      <c r="B811" s="2" t="inlineStr">
        <is>
          <t>segmentos</t>
        </is>
      </c>
      <c r="C811" s="14">
        <f>IFERROR(IF(INDEX('01_Formulario_A01'!$D:$D,MATCH("D14-DOC-PCV-001.CUSTOMER.SEGMENTOS",'01_Formulario_A01'!$A:$A,0))="","— (a preencher em 01_Formulario_A01)",INDEX('01_Formulario_A01'!$D:$D,MATCH("D14-DOC-PCV-001.CUSTOMER.SEGMENTOS",'01_Formulario_A01'!$A:$A,0))),"— (a preencher em 01_Formulario_A01)")</f>
        <v/>
      </c>
    </row>
    <row r="812">
      <c r="A812" s="13" t="inlineStr">
        <is>
          <t>D14-DOC-PCV-001.OFFERS.PRODUTO</t>
        </is>
      </c>
      <c r="B812" s="2" t="inlineStr">
        <is>
          <t>produto</t>
        </is>
      </c>
      <c r="C812" s="14">
        <f>IFERROR(IF(INDEX('01_Formulario_A01'!$D:$D,MATCH("D14-DOC-PCV-001.OFFERS.PRODUTO",'01_Formulario_A01'!$A:$A,0))="","— (a preencher em 01_Formulario_A01)",INDEX('01_Formulario_A01'!$D:$D,MATCH("D14-DOC-PCV-001.OFFERS.PRODUTO",'01_Formulario_A01'!$A:$A,0))),"— (a preencher em 01_Formulario_A01)")</f>
        <v/>
      </c>
    </row>
    <row r="813">
      <c r="A813" s="13" t="inlineStr">
        <is>
          <t>D14-DOC-PCV-001.OFFERS.PACOTE</t>
        </is>
      </c>
      <c r="B813" s="2" t="inlineStr">
        <is>
          <t>pacote</t>
        </is>
      </c>
      <c r="C813" s="14">
        <f>IFERROR(IF(INDEX('01_Formulario_A01'!$D:$D,MATCH("D14-DOC-PCV-001.OFFERS.PACOTE",'01_Formulario_A01'!$A:$A,0))="","— (a preencher em 01_Formulario_A01)",INDEX('01_Formulario_A01'!$D:$D,MATCH("D14-DOC-PCV-001.OFFERS.PACOTE",'01_Formulario_A01'!$A:$A,0))),"— (a preencher em 01_Formulario_A01)")</f>
        <v/>
      </c>
    </row>
    <row r="814">
      <c r="A814" s="13" t="inlineStr">
        <is>
          <t>D14-DOC-PCV-001.PRICING.PRECO</t>
        </is>
      </c>
      <c r="B814" s="2" t="inlineStr">
        <is>
          <t>preco</t>
        </is>
      </c>
      <c r="C814" s="14">
        <f>IFERROR(IF(INDEX('01_Formulario_A01'!$D:$D,MATCH("D14-DOC-PCV-001.PRICING.PRECO",'01_Formulario_A01'!$A:$A,0))="","— (a preencher em 01_Formulario_A01)",INDEX('01_Formulario_A01'!$D:$D,MATCH("D14-DOC-PCV-001.PRICING.PRECO",'01_Formulario_A01'!$A:$A,0))),"— (a preencher em 01_Formulario_A01)")</f>
        <v/>
      </c>
    </row>
    <row r="815">
      <c r="A815" s="13" t="inlineStr">
        <is>
          <t>D14-DOC-PCV-001.PRICING.DESCONTO</t>
        </is>
      </c>
      <c r="B815" s="2" t="inlineStr">
        <is>
          <t>desconto</t>
        </is>
      </c>
      <c r="C815" s="14">
        <f>IFERROR(IF(INDEX('01_Formulario_A01'!$D:$D,MATCH("D14-DOC-PCV-001.PRICING.DESCONTO",'01_Formulario_A01'!$A:$A,0))="","— (a preencher em 01_Formulario_A01)",INDEX('01_Formulario_A01'!$D:$D,MATCH("D14-DOC-PCV-001.PRICING.DESCONTO",'01_Formulario_A01'!$A:$A,0))),"— (a preencher em 01_Formulario_A01)")</f>
        <v/>
      </c>
    </row>
    <row r="816">
      <c r="A816" s="13" t="inlineStr">
        <is>
          <t>D14-DOC-PCV-001.QUALIFICATION.CRITERIOS</t>
        </is>
      </c>
      <c r="B816" s="2" t="inlineStr">
        <is>
          <t>criterios</t>
        </is>
      </c>
      <c r="C816" s="14">
        <f>IFERROR(IF(INDEX('01_Formulario_A01'!$D:$D,MATCH("D14-DOC-PCV-001.QUALIFICATION.CRITERIOS",'01_Formulario_A01'!$A:$A,0))="","— (a preencher em 01_Formulario_A01)",INDEX('01_Formulario_A01'!$D:$D,MATCH("D14-DOC-PCV-001.QUALIFICATION.CRITERIOS",'01_Formulario_A01'!$A:$A,0))),"— (a preencher em 01_Formulario_A01)")</f>
        <v/>
      </c>
    </row>
    <row r="817">
      <c r="A817" s="13" t="inlineStr">
        <is>
          <t>D14-DOC-PCV-001.QUALIFICATION.SCORING</t>
        </is>
      </c>
      <c r="B817" s="2" t="inlineStr">
        <is>
          <t>scoring</t>
        </is>
      </c>
      <c r="C817" s="14">
        <f>IFERROR(IF(INDEX('01_Formulario_A01'!$D:$D,MATCH("D14-DOC-PCV-001.QUALIFICATION.SCORING",'01_Formulario_A01'!$A:$A,0))="","— (a preencher em 01_Formulario_A01)",INDEX('01_Formulario_A01'!$D:$D,MATCH("D14-DOC-PCV-001.QUALIFICATION.SCORING",'01_Formulario_A01'!$A:$A,0))),"— (a preencher em 01_Formulario_A01)")</f>
        <v/>
      </c>
    </row>
    <row r="818">
      <c r="A818" s="13" t="inlineStr">
        <is>
          <t>D14-DOC-PCV-001.FUNNEL.LEAD</t>
        </is>
      </c>
      <c r="B818" s="2" t="inlineStr">
        <is>
          <t>lead</t>
        </is>
      </c>
      <c r="C818" s="14">
        <f>IFERROR(IF(INDEX('01_Formulario_A01'!$D:$D,MATCH("D14-DOC-PCV-001.FUNNEL.LEAD",'01_Formulario_A01'!$A:$A,0))="","— (a preencher em 01_Formulario_A01)",INDEX('01_Formulario_A01'!$D:$D,MATCH("D14-DOC-PCV-001.FUNNEL.LEAD",'01_Formulario_A01'!$A:$A,0))),"— (a preencher em 01_Formulario_A01)")</f>
        <v/>
      </c>
    </row>
    <row r="819">
      <c r="A819" s="13" t="inlineStr">
        <is>
          <t>D14-DOC-PCV-001.FUNNEL.MQL</t>
        </is>
      </c>
      <c r="B819" s="2" t="inlineStr">
        <is>
          <t>mql</t>
        </is>
      </c>
      <c r="C819" s="14">
        <f>IFERROR(IF(INDEX('01_Formulario_A01'!$D:$D,MATCH("D14-DOC-PCV-001.FUNNEL.MQL",'01_Formulario_A01'!$A:$A,0))="","— (a preencher em 01_Formulario_A01)",INDEX('01_Formulario_A01'!$D:$D,MATCH("D14-DOC-PCV-001.FUNNEL.MQL",'01_Formulario_A01'!$A:$A,0))),"— (a preencher em 01_Formulario_A01)")</f>
        <v/>
      </c>
    </row>
    <row r="820">
      <c r="A820" s="13" t="inlineStr">
        <is>
          <t>D14-DOC-PCV-001.FUNNEL.SQL</t>
        </is>
      </c>
      <c r="B820" s="2" t="inlineStr">
        <is>
          <t>sql</t>
        </is>
      </c>
      <c r="C820" s="14">
        <f>IFERROR(IF(INDEX('01_Formulario_A01'!$D:$D,MATCH("D14-DOC-PCV-001.FUNNEL.SQL",'01_Formulario_A01'!$A:$A,0))="","— (a preencher em 01_Formulario_A01)",INDEX('01_Formulario_A01'!$D:$D,MATCH("D14-DOC-PCV-001.FUNNEL.SQL",'01_Formulario_A01'!$A:$A,0))),"— (a preencher em 01_Formulario_A01)")</f>
        <v/>
      </c>
    </row>
    <row r="821">
      <c r="A821" s="13" t="inlineStr">
        <is>
          <t>D14-DOC-PCV-001.FUNNEL.PROPOSTA</t>
        </is>
      </c>
      <c r="B821" s="2" t="inlineStr">
        <is>
          <t>proposta</t>
        </is>
      </c>
      <c r="C821" s="14">
        <f>IFERROR(IF(INDEX('01_Formulario_A01'!$D:$D,MATCH("D14-DOC-PCV-001.FUNNEL.PROPOSTA",'01_Formulario_A01'!$A:$A,0))="","— (a preencher em 01_Formulario_A01)",INDEX('01_Formulario_A01'!$D:$D,MATCH("D14-DOC-PCV-001.FUNNEL.PROPOSTA",'01_Formulario_A01'!$A:$A,0))),"— (a preencher em 01_Formulario_A01)")</f>
        <v/>
      </c>
    </row>
    <row r="822">
      <c r="A822" s="13" t="inlineStr">
        <is>
          <t>D14-DOC-PCV-001.FUNNEL.GANHO</t>
        </is>
      </c>
      <c r="B822" s="2" t="inlineStr">
        <is>
          <t>ganho</t>
        </is>
      </c>
      <c r="C822" s="14">
        <f>IFERROR(IF(INDEX('01_Formulario_A01'!$D:$D,MATCH("D14-DOC-PCV-001.FUNNEL.GANHO",'01_Formulario_A01'!$A:$A,0))="","— (a preencher em 01_Formulario_A01)",INDEX('01_Formulario_A01'!$D:$D,MATCH("D14-DOC-PCV-001.FUNNEL.GANHO",'01_Formulario_A01'!$A:$A,0))),"— (a preencher em 01_Formulario_A01)")</f>
        <v/>
      </c>
    </row>
    <row r="823">
      <c r="A823" s="13" t="inlineStr">
        <is>
          <t>D14-DOC-PCV-001.PROCESS.ETAPAS</t>
        </is>
      </c>
      <c r="B823" s="2" t="inlineStr">
        <is>
          <t>etapas</t>
        </is>
      </c>
      <c r="C823" s="14">
        <f>IFERROR(IF(INDEX('01_Formulario_A01'!$D:$D,MATCH("D14-DOC-PCV-001.PROCESS.ETAPAS",'01_Formulario_A01'!$A:$A,0))="","— (a preencher em 01_Formulario_A01)",INDEX('01_Formulario_A01'!$D:$D,MATCH("D14-DOC-PCV-001.PROCESS.ETAPAS",'01_Formulario_A01'!$A:$A,0))),"— (a preencher em 01_Formulario_A01)")</f>
        <v/>
      </c>
    </row>
    <row r="824">
      <c r="A824" s="13" t="inlineStr">
        <is>
          <t>D14-DOC-PCV-001.PROCESS.OWNER</t>
        </is>
      </c>
      <c r="B824" s="2" t="inlineStr">
        <is>
          <t>owner</t>
        </is>
      </c>
      <c r="C824" s="14">
        <f>IFERROR(IF(INDEX('01_Formulario_A01'!$D:$D,MATCH("D14-DOC-PCV-001.PROCESS.OWNER",'01_Formulario_A01'!$A:$A,0))="","— (a preencher em 01_Formulario_A01)",INDEX('01_Formulario_A01'!$D:$D,MATCH("D14-DOC-PCV-001.PROCESS.OWNER",'01_Formulario_A01'!$A:$A,0))),"— (a preencher em 01_Formulario_A01)")</f>
        <v/>
      </c>
    </row>
    <row r="825">
      <c r="A825" s="13" t="inlineStr">
        <is>
          <t>D14-DOC-PCV-001.SCRIPTS.ABERTURA</t>
        </is>
      </c>
      <c r="B825" s="2" t="inlineStr">
        <is>
          <t>abertura</t>
        </is>
      </c>
      <c r="C825" s="14">
        <f>IFERROR(IF(INDEX('01_Formulario_A01'!$D:$D,MATCH("D14-DOC-PCV-001.SCRIPTS.ABERTURA",'01_Formulario_A01'!$A:$A,0))="","— (a preencher em 01_Formulario_A01)",INDEX('01_Formulario_A01'!$D:$D,MATCH("D14-DOC-PCV-001.SCRIPTS.ABERTURA",'01_Formulario_A01'!$A:$A,0))),"— (a preencher em 01_Formulario_A01)")</f>
        <v/>
      </c>
    </row>
    <row r="826">
      <c r="A826" s="13" t="inlineStr">
        <is>
          <t>D14-DOC-PCV-001.SCRIPTS.DESCOBERTA</t>
        </is>
      </c>
      <c r="B826" s="2" t="inlineStr">
        <is>
          <t>descoberta</t>
        </is>
      </c>
      <c r="C826" s="14">
        <f>IFERROR(IF(INDEX('01_Formulario_A01'!$D:$D,MATCH("D14-DOC-PCV-001.SCRIPTS.DESCOBERTA",'01_Formulario_A01'!$A:$A,0))="","— (a preencher em 01_Formulario_A01)",INDEX('01_Formulario_A01'!$D:$D,MATCH("D14-DOC-PCV-001.SCRIPTS.DESCOBERTA",'01_Formulario_A01'!$A:$A,0))),"— (a preencher em 01_Formulario_A01)")</f>
        <v/>
      </c>
    </row>
    <row r="827">
      <c r="A827" s="13" t="inlineStr">
        <is>
          <t>D14-DOC-PCV-001.SCRIPTS.FECHAMENTO</t>
        </is>
      </c>
      <c r="B827" s="2" t="inlineStr">
        <is>
          <t>fechamento</t>
        </is>
      </c>
      <c r="C827" s="14">
        <f>IFERROR(IF(INDEX('01_Formulario_A01'!$D:$D,MATCH("D14-DOC-PCV-001.SCRIPTS.FECHAMENTO",'01_Formulario_A01'!$A:$A,0))="","— (a preencher em 01_Formulario_A01)",INDEX('01_Formulario_A01'!$D:$D,MATCH("D14-DOC-PCV-001.SCRIPTS.FECHAMENTO",'01_Formulario_A01'!$A:$A,0))),"— (a preencher em 01_Formulario_A01)")</f>
        <v/>
      </c>
    </row>
    <row r="828">
      <c r="A828" s="13" t="inlineStr">
        <is>
          <t>D14-DOC-PCV-001.DISCOVERY.PERGUNTAS</t>
        </is>
      </c>
      <c r="B828" s="2" t="inlineStr">
        <is>
          <t>perguntas</t>
        </is>
      </c>
      <c r="C828" s="14">
        <f>IFERROR(IF(INDEX('01_Formulario_A01'!$D:$D,MATCH("D14-DOC-PCV-001.DISCOVERY.PERGUNTAS",'01_Formulario_A01'!$A:$A,0))="","— (a preencher em 01_Formulario_A01)",INDEX('01_Formulario_A01'!$D:$D,MATCH("D14-DOC-PCV-001.DISCOVERY.PERGUNTAS",'01_Formulario_A01'!$A:$A,0))),"— (a preencher em 01_Formulario_A01)")</f>
        <v/>
      </c>
    </row>
    <row r="829">
      <c r="A829" s="13" t="inlineStr">
        <is>
          <t>D14-DOC-PCV-001.DISCOVERY.NECESSIDADES</t>
        </is>
      </c>
      <c r="B829" s="2" t="inlineStr">
        <is>
          <t>necessidades</t>
        </is>
      </c>
      <c r="C829" s="14">
        <f>IFERROR(IF(INDEX('01_Formulario_A01'!$D:$D,MATCH("D14-DOC-PCV-001.DISCOVERY.NECESSIDADES",'01_Formulario_A01'!$A:$A,0))="","— (a preencher em 01_Formulario_A01)",INDEX('01_Formulario_A01'!$D:$D,MATCH("D14-DOC-PCV-001.DISCOVERY.NECESSIDADES",'01_Formulario_A01'!$A:$A,0))),"— (a preencher em 01_Formulario_A01)")</f>
        <v/>
      </c>
    </row>
    <row r="830">
      <c r="A830" s="13" t="inlineStr">
        <is>
          <t>D14-DOC-PCV-001.OBJECTIONS.OBJECAO</t>
        </is>
      </c>
      <c r="B830" s="2" t="inlineStr">
        <is>
          <t>objecao</t>
        </is>
      </c>
      <c r="C830" s="14">
        <f>IFERROR(IF(INDEX('01_Formulario_A01'!$D:$D,MATCH("D14-DOC-PCV-001.OBJECTIONS.OBJECAO",'01_Formulario_A01'!$A:$A,0))="","— (a preencher em 01_Formulario_A01)",INDEX('01_Formulario_A01'!$D:$D,MATCH("D14-DOC-PCV-001.OBJECTIONS.OBJECAO",'01_Formulario_A01'!$A:$A,0))),"— (a preencher em 01_Formulario_A01)")</f>
        <v/>
      </c>
    </row>
    <row r="831">
      <c r="A831" s="13" t="inlineStr">
        <is>
          <t>D14-DOC-PCV-001.OBJECTIONS.RESPOSTA</t>
        </is>
      </c>
      <c r="B831" s="2" t="inlineStr">
        <is>
          <t>resposta</t>
        </is>
      </c>
      <c r="C831" s="14">
        <f>IFERROR(IF(INDEX('01_Formulario_A01'!$D:$D,MATCH("D14-DOC-PCV-001.OBJECTIONS.RESPOSTA",'01_Formulario_A01'!$A:$A,0))="","— (a preencher em 01_Formulario_A01)",INDEX('01_Formulario_A01'!$D:$D,MATCH("D14-DOC-PCV-001.OBJECTIONS.RESPOSTA",'01_Formulario_A01'!$A:$A,0))),"— (a preencher em 01_Formulario_A01)")</f>
        <v/>
      </c>
    </row>
    <row r="832">
      <c r="A832" s="13" t="inlineStr">
        <is>
          <t>D14-DOC-PCV-001.PROPOSALS.TEMPLATE</t>
        </is>
      </c>
      <c r="B832" s="2" t="inlineStr">
        <is>
          <t>template</t>
        </is>
      </c>
      <c r="C832" s="14">
        <f>IFERROR(IF(INDEX('01_Formulario_A01'!$D:$D,MATCH("D14-DOC-PCV-001.PROPOSALS.TEMPLATE",'01_Formulario_A01'!$A:$A,0))="","— (a preencher em 01_Formulario_A01)",INDEX('01_Formulario_A01'!$D:$D,MATCH("D14-DOC-PCV-001.PROPOSALS.TEMPLATE",'01_Formulario_A01'!$A:$A,0))),"— (a preencher em 01_Formulario_A01)")</f>
        <v/>
      </c>
    </row>
    <row r="833">
      <c r="A833" s="13" t="inlineStr">
        <is>
          <t>D14-DOC-PCV-001.PROPOSALS.REQUISITOS</t>
        </is>
      </c>
      <c r="B833" s="2" t="inlineStr">
        <is>
          <t>requisitos</t>
        </is>
      </c>
      <c r="C833" s="14">
        <f>IFERROR(IF(INDEX('01_Formulario_A01'!$D:$D,MATCH("D14-DOC-PCV-001.PROPOSALS.REQUISITOS",'01_Formulario_A01'!$A:$A,0))="","— (a preencher em 01_Formulario_A01)",INDEX('01_Formulario_A01'!$D:$D,MATCH("D14-DOC-PCV-001.PROPOSALS.REQUISITOS",'01_Formulario_A01'!$A:$A,0))),"— (a preencher em 01_Formulario_A01)")</f>
        <v/>
      </c>
    </row>
    <row r="834">
      <c r="A834" s="13" t="inlineStr">
        <is>
          <t>D14-DOC-PCV-001.CRM.SISTEMA</t>
        </is>
      </c>
      <c r="B834" s="2" t="inlineStr">
        <is>
          <t>sistema</t>
        </is>
      </c>
      <c r="C834" s="14">
        <f>IFERROR(IF(INDEX('01_Formulario_A01'!$D:$D,MATCH("D14-DOC-PCV-001.CRM.SISTEMA",'01_Formulario_A01'!$A:$A,0))="","— (a preencher em 01_Formulario_A01)",INDEX('01_Formulario_A01'!$D:$D,MATCH("D14-DOC-PCV-001.CRM.SISTEMA",'01_Formulario_A01'!$A:$A,0))),"— (a preencher em 01_Formulario_A01)")</f>
        <v/>
      </c>
    </row>
    <row r="835">
      <c r="A835" s="13" t="inlineStr">
        <is>
          <t>D14-DOC-PCV-001.CRM.CAMPOS</t>
        </is>
      </c>
      <c r="B835" s="2" t="inlineStr">
        <is>
          <t>campos</t>
        </is>
      </c>
      <c r="C835" s="14">
        <f>IFERROR(IF(INDEX('01_Formulario_A01'!$D:$D,MATCH("D14-DOC-PCV-001.CRM.CAMPOS",'01_Formulario_A01'!$A:$A,0))="","— (a preencher em 01_Formulario_A01)",INDEX('01_Formulario_A01'!$D:$D,MATCH("D14-DOC-PCV-001.CRM.CAMPOS",'01_Formulario_A01'!$A:$A,0))),"— (a preencher em 01_Formulario_A01)")</f>
        <v/>
      </c>
    </row>
    <row r="836">
      <c r="A836" s="13" t="inlineStr">
        <is>
          <t>D14-DOC-PCV-001.CRM.ETAPAS</t>
        </is>
      </c>
      <c r="B836" s="2" t="inlineStr">
        <is>
          <t>etapas</t>
        </is>
      </c>
      <c r="C836" s="14">
        <f>IFERROR(IF(INDEX('01_Formulario_A01'!$D:$D,MATCH("D14-DOC-PCV-001.CRM.ETAPAS",'01_Formulario_A01'!$A:$A,0))="","— (a preencher em 01_Formulario_A01)",INDEX('01_Formulario_A01'!$D:$D,MATCH("D14-DOC-PCV-001.CRM.ETAPAS",'01_Formulario_A01'!$A:$A,0))),"— (a preencher em 01_Formulario_A01)")</f>
        <v/>
      </c>
    </row>
    <row r="837">
      <c r="A837" s="13" t="inlineStr">
        <is>
          <t>D14-DOC-PCV-001.PIPELINE.VALOR</t>
        </is>
      </c>
      <c r="B837" s="2" t="inlineStr">
        <is>
          <t>valor</t>
        </is>
      </c>
      <c r="C837" s="14">
        <f>IFERROR(IF(INDEX('01_Formulario_A01'!$D:$D,MATCH("D14-DOC-PCV-001.PIPELINE.VALOR",'01_Formulario_A01'!$A:$A,0))="","— (a preencher em 01_Formulario_A01)",INDEX('01_Formulario_A01'!$D:$D,MATCH("D14-DOC-PCV-001.PIPELINE.VALOR",'01_Formulario_A01'!$A:$A,0))),"— (a preencher em 01_Formulario_A01)")</f>
        <v/>
      </c>
    </row>
    <row r="838">
      <c r="A838" s="13" t="inlineStr">
        <is>
          <t>D14-DOC-PCV-001.PIPELINE.PROBABILIDADE</t>
        </is>
      </c>
      <c r="B838" s="2" t="inlineStr">
        <is>
          <t>probabilidade</t>
        </is>
      </c>
      <c r="C838" s="14">
        <f>IFERROR(IF(INDEX('01_Formulario_A01'!$D:$D,MATCH("D14-DOC-PCV-001.PIPELINE.PROBABILIDADE",'01_Formulario_A01'!$A:$A,0))="","— (a preencher em 01_Formulario_A01)",INDEX('01_Formulario_A01'!$D:$D,MATCH("D14-DOC-PCV-001.PIPELINE.PROBABILIDADE",'01_Formulario_A01'!$A:$A,0))),"— (a preencher em 01_Formulario_A01)")</f>
        <v/>
      </c>
    </row>
    <row r="839">
      <c r="A839" s="13" t="inlineStr">
        <is>
          <t>D14-DOC-PCV-001.FORECAST.PERIODO</t>
        </is>
      </c>
      <c r="B839" s="2" t="inlineStr">
        <is>
          <t>periodo</t>
        </is>
      </c>
      <c r="C839" s="14">
        <f>IFERROR(IF(INDEX('01_Formulario_A01'!$D:$D,MATCH("D14-DOC-PCV-001.FORECAST.PERIODO",'01_Formulario_A01'!$A:$A,0))="","— (a preencher em 01_Formulario_A01)",INDEX('01_Formulario_A01'!$D:$D,MATCH("D14-DOC-PCV-001.FORECAST.PERIODO",'01_Formulario_A01'!$A:$A,0))),"— (a preencher em 01_Formulario_A01)")</f>
        <v/>
      </c>
    </row>
    <row r="840">
      <c r="A840" s="13" t="inlineStr">
        <is>
          <t>D14-DOC-PCV-001.FORECAST.RECEITA</t>
        </is>
      </c>
      <c r="B840" s="2" t="inlineStr">
        <is>
          <t>receita</t>
        </is>
      </c>
      <c r="C840" s="14">
        <f>IFERROR(IF(INDEX('01_Formulario_A01'!$D:$D,MATCH("D14-DOC-PCV-001.FORECAST.RECEITA",'01_Formulario_A01'!$A:$A,0))="","— (a preencher em 01_Formulario_A01)",INDEX('01_Formulario_A01'!$D:$D,MATCH("D14-DOC-PCV-001.FORECAST.RECEITA",'01_Formulario_A01'!$A:$A,0))),"— (a preencher em 01_Formulario_A01)")</f>
        <v/>
      </c>
    </row>
    <row r="841">
      <c r="A841" s="13" t="inlineStr">
        <is>
          <t>D14-DOC-PCV-001.TARGETS.QUOTA</t>
        </is>
      </c>
      <c r="B841" s="2" t="inlineStr">
        <is>
          <t>quota</t>
        </is>
      </c>
      <c r="C841" s="14">
        <f>IFERROR(IF(INDEX('01_Formulario_A01'!$D:$D,MATCH("D14-DOC-PCV-001.TARGETS.QUOTA",'01_Formulario_A01'!$A:$A,0))="","— (a preencher em 01_Formulario_A01)",INDEX('01_Formulario_A01'!$D:$D,MATCH("D14-DOC-PCV-001.TARGETS.QUOTA",'01_Formulario_A01'!$A:$A,0))),"— (a preencher em 01_Formulario_A01)")</f>
        <v/>
      </c>
    </row>
    <row r="842">
      <c r="A842" s="13" t="inlineStr">
        <is>
          <t>D14-DOC-PCV-001.TARGETS.CONVERSAO</t>
        </is>
      </c>
      <c r="B842" s="2" t="inlineStr">
        <is>
          <t>conversao</t>
        </is>
      </c>
      <c r="C842" s="14">
        <f>IFERROR(IF(INDEX('01_Formulario_A01'!$D:$D,MATCH("D14-DOC-PCV-001.TARGETS.CONVERSAO",'01_Formulario_A01'!$A:$A,0))="","— (a preencher em 01_Formulario_A01)",INDEX('01_Formulario_A01'!$D:$D,MATCH("D14-DOC-PCV-001.TARGETS.CONVERSAO",'01_Formulario_A01'!$A:$A,0))),"— (a preencher em 01_Formulario_A01)")</f>
        <v/>
      </c>
    </row>
    <row r="843">
      <c r="A843" s="13" t="inlineStr">
        <is>
          <t>D14-DOC-PCV-001.HANDOFF.CONTRATO</t>
        </is>
      </c>
      <c r="B843" s="2" t="inlineStr">
        <is>
          <t>contrato</t>
        </is>
      </c>
      <c r="C843" s="14">
        <f>IFERROR(IF(INDEX('01_Formulario_A01'!$D:$D,MATCH("D14-DOC-PCV-001.HANDOFF.CONTRATO",'01_Formulario_A01'!$A:$A,0))="","— (a preencher em 01_Formulario_A01)",INDEX('01_Formulario_A01'!$D:$D,MATCH("D14-DOC-PCV-001.HANDOFF.CONTRATO",'01_Formulario_A01'!$A:$A,0))),"— (a preencher em 01_Formulario_A01)")</f>
        <v/>
      </c>
    </row>
    <row r="844">
      <c r="A844" s="13" t="inlineStr">
        <is>
          <t>D14-DOC-PCV-001.HANDOFF.ONBOARDING</t>
        </is>
      </c>
      <c r="B844" s="2" t="inlineStr">
        <is>
          <t>onboarding</t>
        </is>
      </c>
      <c r="C844" s="14">
        <f>IFERROR(IF(INDEX('01_Formulario_A01'!$D:$D,MATCH("D14-DOC-PCV-001.HANDOFF.ONBOARDING",'01_Formulario_A01'!$A:$A,0))="","— (a preencher em 01_Formulario_A01)",INDEX('01_Formulario_A01'!$D:$D,MATCH("D14-DOC-PCV-001.HANDOFF.ONBOARDING",'01_Formulario_A01'!$A:$A,0))),"— (a preencher em 01_Formulario_A01)")</f>
        <v/>
      </c>
    </row>
    <row r="845">
      <c r="A845" s="13" t="inlineStr">
        <is>
          <t>D14-DOC-PCV-001.HANDOFF.CUSTOMER_SUCCESS</t>
        </is>
      </c>
      <c r="B845" s="2" t="inlineStr">
        <is>
          <t>customer_success</t>
        </is>
      </c>
      <c r="C845" s="14">
        <f>IFERROR(IF(INDEX('01_Formulario_A01'!$D:$D,MATCH("D14-DOC-PCV-001.HANDOFF.CUSTOMER_SUCCESS",'01_Formulario_A01'!$A:$A,0))="","— (a preencher em 01_Formulario_A01)",INDEX('01_Formulario_A01'!$D:$D,MATCH("D14-DOC-PCV-001.HANDOFF.CUSTOMER_SUCCESS",'01_Formulario_A01'!$A:$A,0))),"— (a preencher em 01_Formulario_A01)")</f>
        <v/>
      </c>
    </row>
    <row r="846">
      <c r="A846" s="13" t="inlineStr">
        <is>
          <t>D14-DOC-PCV-001.METRICS.WIN_RATE</t>
        </is>
      </c>
      <c r="B846" s="2" t="inlineStr">
        <is>
          <t>win_rate</t>
        </is>
      </c>
      <c r="C846" s="14">
        <f>IFERROR(IF(INDEX('01_Formulario_A01'!$D:$D,MATCH("D14-DOC-PCV-001.METRICS.WIN_RATE",'01_Formulario_A01'!$A:$A,0))="","— (a preencher em 01_Formulario_A01)",INDEX('01_Formulario_A01'!$D:$D,MATCH("D14-DOC-PCV-001.METRICS.WIN_RATE",'01_Formulario_A01'!$A:$A,0))),"— (a preencher em 01_Formulario_A01)")</f>
        <v/>
      </c>
    </row>
    <row r="847">
      <c r="A847" s="13" t="inlineStr">
        <is>
          <t>D14-DOC-PCV-001.METRICS.CICLO</t>
        </is>
      </c>
      <c r="B847" s="2" t="inlineStr">
        <is>
          <t>ciclo</t>
        </is>
      </c>
      <c r="C847" s="14">
        <f>IFERROR(IF(INDEX('01_Formulario_A01'!$D:$D,MATCH("D14-DOC-PCV-001.METRICS.CICLO",'01_Formulario_A01'!$A:$A,0))="","— (a preencher em 01_Formulario_A01)",INDEX('01_Formulario_A01'!$D:$D,MATCH("D14-DOC-PCV-001.METRICS.CICLO",'01_Formulario_A01'!$A:$A,0))),"— (a preencher em 01_Formulario_A01)")</f>
        <v/>
      </c>
    </row>
    <row r="848">
      <c r="A848" s="13" t="inlineStr">
        <is>
          <t>D14-DOC-PCV-001.METRICS.TICKET</t>
        </is>
      </c>
      <c r="B848" s="2" t="inlineStr">
        <is>
          <t>ticket</t>
        </is>
      </c>
      <c r="C848" s="14">
        <f>IFERROR(IF(INDEX('01_Formulario_A01'!$D:$D,MATCH("D14-DOC-PCV-001.METRICS.TICKET",'01_Formulario_A01'!$A:$A,0))="","— (a preencher em 01_Formulario_A01)",INDEX('01_Formulario_A01'!$D:$D,MATCH("D14-DOC-PCV-001.METRICS.TICKET",'01_Formulario_A01'!$A:$A,0))),"— (a preencher em 01_Formulario_A01)")</f>
        <v/>
      </c>
    </row>
    <row r="849">
      <c r="A849" s="5" t="inlineStr">
        <is>
          <t>D15-DOC-PASC-001 — Plano de Atendimento e Sucesso do Cliente [PRE_PREENCHIDO/PENDENTE]</t>
        </is>
      </c>
      <c r="B849" s="6" t="n"/>
      <c r="C849" s="7" t="n"/>
    </row>
    <row r="850">
      <c r="A850" s="13" t="inlineStr">
        <is>
          <t>D15-DOC-PASC-001.SERVICE_MODEL.MODELO</t>
        </is>
      </c>
      <c r="B850" s="2" t="inlineStr">
        <is>
          <t>modelo</t>
        </is>
      </c>
      <c r="C850" s="14">
        <f>IFERROR(IF(INDEX('01_Formulario_A01'!$D:$D,MATCH("D15-DOC-PASC-001.SERVICE_MODEL.MODELO",'01_Formulario_A01'!$A:$A,0))="","— (a preencher em 01_Formulario_A01)",INDEX('01_Formulario_A01'!$D:$D,MATCH("D15-DOC-PASC-001.SERVICE_MODEL.MODELO",'01_Formulario_A01'!$A:$A,0))),"— (a preencher em 01_Formulario_A01)")</f>
        <v/>
      </c>
    </row>
    <row r="851">
      <c r="A851" s="13" t="inlineStr">
        <is>
          <t>D15-DOC-PASC-001.SERVICE_MODEL.SEGMENTOS</t>
        </is>
      </c>
      <c r="B851" s="2" t="inlineStr">
        <is>
          <t>segmentos</t>
        </is>
      </c>
      <c r="C851" s="14">
        <f>IFERROR(IF(INDEX('01_Formulario_A01'!$D:$D,MATCH("D15-DOC-PASC-001.SERVICE_MODEL.SEGMENTOS",'01_Formulario_A01'!$A:$A,0))="","— (a preencher em 01_Formulario_A01)",INDEX('01_Formulario_A01'!$D:$D,MATCH("D15-DOC-PASC-001.SERVICE_MODEL.SEGMENTOS",'01_Formulario_A01'!$A:$A,0))),"— (a preencher em 01_Formulario_A01)")</f>
        <v/>
      </c>
    </row>
    <row r="852">
      <c r="A852" s="13" t="inlineStr">
        <is>
          <t>D15-DOC-PASC-001.ONBOARDING.ETAPAS</t>
        </is>
      </c>
      <c r="B852" s="2" t="inlineStr">
        <is>
          <t>etapas</t>
        </is>
      </c>
      <c r="C852" s="14">
        <f>IFERROR(IF(INDEX('01_Formulario_A01'!$D:$D,MATCH("D15-DOC-PASC-001.ONBOARDING.ETAPAS",'01_Formulario_A01'!$A:$A,0))="","— (a preencher em 01_Formulario_A01)",INDEX('01_Formulario_A01'!$D:$D,MATCH("D15-DOC-PASC-001.ONBOARDING.ETAPAS",'01_Formulario_A01'!$A:$A,0))),"— (a preencher em 01_Formulario_A01)")</f>
        <v/>
      </c>
    </row>
    <row r="853">
      <c r="A853" s="13" t="inlineStr">
        <is>
          <t>D15-DOC-PASC-001.ONBOARDING.OBJETIVO</t>
        </is>
      </c>
      <c r="B853" s="2" t="inlineStr">
        <is>
          <t>objetivo</t>
        </is>
      </c>
      <c r="C853" s="14">
        <f>IFERROR(IF(INDEX('01_Formulario_A01'!$D:$D,MATCH("D15-DOC-PASC-001.ONBOARDING.OBJETIVO",'01_Formulario_A01'!$A:$A,0))="","— (a preencher em 01_Formulario_A01)",INDEX('01_Formulario_A01'!$D:$D,MATCH("D15-DOC-PASC-001.ONBOARDING.OBJETIVO",'01_Formulario_A01'!$A:$A,0))),"— (a preencher em 01_Formulario_A01)")</f>
        <v/>
      </c>
    </row>
    <row r="854">
      <c r="A854" s="13" t="inlineStr">
        <is>
          <t>D15-DOC-PASC-001.CHANNELS.EMAIL</t>
        </is>
      </c>
      <c r="B854" s="2" t="inlineStr">
        <is>
          <t>email</t>
        </is>
      </c>
      <c r="C854" s="14">
        <f>IFERROR(IF(INDEX('01_Formulario_A01'!$D:$D,MATCH("D15-DOC-PASC-001.CHANNELS.EMAIL",'01_Formulario_A01'!$A:$A,0))="","— (a preencher em 01_Formulario_A01)",INDEX('01_Formulario_A01'!$D:$D,MATCH("D15-DOC-PASC-001.CHANNELS.EMAIL",'01_Formulario_A01'!$A:$A,0))),"— (a preencher em 01_Formulario_A01)")</f>
        <v/>
      </c>
    </row>
    <row r="855">
      <c r="A855" s="13" t="inlineStr">
        <is>
          <t>D15-DOC-PASC-001.CHANNELS.CHAT</t>
        </is>
      </c>
      <c r="B855" s="2" t="inlineStr">
        <is>
          <t>chat</t>
        </is>
      </c>
      <c r="C855" s="14">
        <f>IFERROR(IF(INDEX('01_Formulario_A01'!$D:$D,MATCH("D15-DOC-PASC-001.CHANNELS.CHAT",'01_Formulario_A01'!$A:$A,0))="","— (a preencher em 01_Formulario_A01)",INDEX('01_Formulario_A01'!$D:$D,MATCH("D15-DOC-PASC-001.CHANNELS.CHAT",'01_Formulario_A01'!$A:$A,0))),"— (a preencher em 01_Formulario_A01)")</f>
        <v/>
      </c>
    </row>
    <row r="856">
      <c r="A856" s="13" t="inlineStr">
        <is>
          <t>D15-DOC-PASC-001.CHANNELS.OUTROS</t>
        </is>
      </c>
      <c r="B856" s="2" t="inlineStr">
        <is>
          <t>outros</t>
        </is>
      </c>
      <c r="C856" s="14">
        <f>IFERROR(IF(INDEX('01_Formulario_A01'!$D:$D,MATCH("D15-DOC-PASC-001.CHANNELS.OUTROS",'01_Formulario_A01'!$A:$A,0))="","— (a preencher em 01_Formulario_A01)",INDEX('01_Formulario_A01'!$D:$D,MATCH("D15-DOC-PASC-001.CHANNELS.OUTROS",'01_Formulario_A01'!$A:$A,0))),"— (a preencher em 01_Formulario_A01)")</f>
        <v/>
      </c>
    </row>
    <row r="857">
      <c r="A857" s="13" t="inlineStr">
        <is>
          <t>D15-DOC-PASC-001.SERVICE_HOURS.HORARIOS</t>
        </is>
      </c>
      <c r="B857" s="2" t="inlineStr">
        <is>
          <t>horarios</t>
        </is>
      </c>
      <c r="C857" s="14">
        <f>IFERROR(IF(INDEX('01_Formulario_A01'!$D:$D,MATCH("D15-DOC-PASC-001.SERVICE_HOURS.HORARIOS",'01_Formulario_A01'!$A:$A,0))="","— (a preencher em 01_Formulario_A01)",INDEX('01_Formulario_A01'!$D:$D,MATCH("D15-DOC-PASC-001.SERVICE_HOURS.HORARIOS",'01_Formulario_A01'!$A:$A,0))),"— (a preencher em 01_Formulario_A01)")</f>
        <v/>
      </c>
    </row>
    <row r="858">
      <c r="A858" s="13" t="inlineStr">
        <is>
          <t>D15-DOC-PASC-001.SLA.PRIORIDADE</t>
        </is>
      </c>
      <c r="B858" s="2" t="inlineStr">
        <is>
          <t>prioridade</t>
        </is>
      </c>
      <c r="C858" s="14">
        <f>IFERROR(IF(INDEX('01_Formulario_A01'!$D:$D,MATCH("D15-DOC-PASC-001.SLA.PRIORIDADE",'01_Formulario_A01'!$A:$A,0))="","— (a preencher em 01_Formulario_A01)",INDEX('01_Formulario_A01'!$D:$D,MATCH("D15-DOC-PASC-001.SLA.PRIORIDADE",'01_Formulario_A01'!$A:$A,0))),"— (a preencher em 01_Formulario_A01)")</f>
        <v/>
      </c>
    </row>
    <row r="859">
      <c r="A859" s="13" t="inlineStr">
        <is>
          <t>D15-DOC-PASC-001.SLA.PRAZO</t>
        </is>
      </c>
      <c r="B859" s="2" t="inlineStr">
        <is>
          <t>prazo</t>
        </is>
      </c>
      <c r="C859" s="14">
        <f>IFERROR(IF(INDEX('01_Formulario_A01'!$D:$D,MATCH("D15-DOC-PASC-001.SLA.PRAZO",'01_Formulario_A01'!$A:$A,0))="","— (a preencher em 01_Formulario_A01)",INDEX('01_Formulario_A01'!$D:$D,MATCH("D15-DOC-PASC-001.SLA.PRAZO",'01_Formulario_A01'!$A:$A,0))),"— (a preencher em 01_Formulario_A01)")</f>
        <v/>
      </c>
    </row>
    <row r="860">
      <c r="A860" s="13" t="inlineStr">
        <is>
          <t>D15-DOC-PASC-001.KNOWLEDGE_BASE.ARTIGOS</t>
        </is>
      </c>
      <c r="B860" s="2" t="inlineStr">
        <is>
          <t>artigos</t>
        </is>
      </c>
      <c r="C860" s="14">
        <f>IFERROR(IF(INDEX('01_Formulario_A01'!$D:$D,MATCH("D15-DOC-PASC-001.KNOWLEDGE_BASE.ARTIGOS",'01_Formulario_A01'!$A:$A,0))="","— (a preencher em 01_Formulario_A01)",INDEX('01_Formulario_A01'!$D:$D,MATCH("D15-DOC-PASC-001.KNOWLEDGE_BASE.ARTIGOS",'01_Formulario_A01'!$A:$A,0))),"— (a preencher em 01_Formulario_A01)")</f>
        <v/>
      </c>
    </row>
    <row r="861">
      <c r="A861" s="13" t="inlineStr">
        <is>
          <t>D15-DOC-PASC-001.KNOWLEDGE_BASE.FAQ</t>
        </is>
      </c>
      <c r="B861" s="2" t="inlineStr">
        <is>
          <t>faq</t>
        </is>
      </c>
      <c r="C861" s="14">
        <f>IFERROR(IF(INDEX('01_Formulario_A01'!$D:$D,MATCH("D15-DOC-PASC-001.KNOWLEDGE_BASE.FAQ",'01_Formulario_A01'!$A:$A,0))="","— (a preencher em 01_Formulario_A01)",INDEX('01_Formulario_A01'!$D:$D,MATCH("D15-DOC-PASC-001.KNOWLEDGE_BASE.FAQ",'01_Formulario_A01'!$A:$A,0))),"— (a preencher em 01_Formulario_A01)")</f>
        <v/>
      </c>
    </row>
    <row r="862">
      <c r="A862" s="13" t="inlineStr">
        <is>
          <t>D15-DOC-PASC-001.TICKETING.CLASSIFICACAO</t>
        </is>
      </c>
      <c r="B862" s="2" t="inlineStr">
        <is>
          <t>classificacao</t>
        </is>
      </c>
      <c r="C862" s="14">
        <f>IFERROR(IF(INDEX('01_Formulario_A01'!$D:$D,MATCH("D15-DOC-PASC-001.TICKETING.CLASSIFICACAO",'01_Formulario_A01'!$A:$A,0))="","— (a preencher em 01_Formulario_A01)",INDEX('01_Formulario_A01'!$D:$D,MATCH("D15-DOC-PASC-001.TICKETING.CLASSIFICACAO",'01_Formulario_A01'!$A:$A,0))),"— (a preencher em 01_Formulario_A01)")</f>
        <v/>
      </c>
    </row>
    <row r="863">
      <c r="A863" s="13" t="inlineStr">
        <is>
          <t>D15-DOC-PASC-001.TICKETING.FLUXO</t>
        </is>
      </c>
      <c r="B863" s="2" t="inlineStr">
        <is>
          <t>fluxo</t>
        </is>
      </c>
      <c r="C863" s="14">
        <f>IFERROR(IF(INDEX('01_Formulario_A01'!$D:$D,MATCH("D15-DOC-PASC-001.TICKETING.FLUXO",'01_Formulario_A01'!$A:$A,0))="","— (a preencher em 01_Formulario_A01)",INDEX('01_Formulario_A01'!$D:$D,MATCH("D15-DOC-PASC-001.TICKETING.FLUXO",'01_Formulario_A01'!$A:$A,0))),"— (a preencher em 01_Formulario_A01)")</f>
        <v/>
      </c>
    </row>
    <row r="864">
      <c r="A864" s="13" t="inlineStr">
        <is>
          <t>D15-DOC-PASC-001.ESCALATION.NIVEL</t>
        </is>
      </c>
      <c r="B864" s="2" t="inlineStr">
        <is>
          <t>nivel</t>
        </is>
      </c>
      <c r="C864" s="14">
        <f>IFERROR(IF(INDEX('01_Formulario_A01'!$D:$D,MATCH("D15-DOC-PASC-001.ESCALATION.NIVEL",'01_Formulario_A01'!$A:$A,0))="","— (a preencher em 01_Formulario_A01)",INDEX('01_Formulario_A01'!$D:$D,MATCH("D15-DOC-PASC-001.ESCALATION.NIVEL",'01_Formulario_A01'!$A:$A,0))),"— (a preencher em 01_Formulario_A01)")</f>
        <v/>
      </c>
    </row>
    <row r="865">
      <c r="A865" s="13" t="inlineStr">
        <is>
          <t>D15-DOC-PASC-001.ESCALATION.RESPONSAVEL</t>
        </is>
      </c>
      <c r="B865" s="2" t="inlineStr">
        <is>
          <t>responsavel</t>
        </is>
      </c>
      <c r="C865" s="14">
        <f>IFERROR(IF(INDEX('01_Formulario_A01'!$D:$D,MATCH("D15-DOC-PASC-001.ESCALATION.RESPONSAVEL",'01_Formulario_A01'!$A:$A,0))="","— (a preencher em 01_Formulario_A01)",INDEX('01_Formulario_A01'!$D:$D,MATCH("D15-DOC-PASC-001.ESCALATION.RESPONSAVEL",'01_Formulario_A01'!$A:$A,0))),"— (a preencher em 01_Formulario_A01)")</f>
        <v/>
      </c>
    </row>
    <row r="866">
      <c r="A866" s="13" t="inlineStr">
        <is>
          <t>D15-DOC-PASC-001.SUCCESS_PLAN.OBJETIVO_DO_CLIENTE</t>
        </is>
      </c>
      <c r="B866" s="2" t="inlineStr">
        <is>
          <t>objetivo_do_cliente</t>
        </is>
      </c>
      <c r="C866" s="14">
        <f>IFERROR(IF(INDEX('01_Formulario_A01'!$D:$D,MATCH("D15-DOC-PASC-001.SUCCESS_PLAN.OBJETIVO_DO_CLIENTE",'01_Formulario_A01'!$A:$A,0))="","— (a preencher em 01_Formulario_A01)",INDEX('01_Formulario_A01'!$D:$D,MATCH("D15-DOC-PASC-001.SUCCESS_PLAN.OBJETIVO_DO_CLIENTE",'01_Formulario_A01'!$A:$A,0))),"— (a preencher em 01_Formulario_A01)")</f>
        <v/>
      </c>
    </row>
    <row r="867">
      <c r="A867" s="13" t="inlineStr">
        <is>
          <t>D15-DOC-PASC-001.SUCCESS_PLAN.MARCO</t>
        </is>
      </c>
      <c r="B867" s="2" t="inlineStr">
        <is>
          <t>marco</t>
        </is>
      </c>
      <c r="C867" s="14">
        <f>IFERROR(IF(INDEX('01_Formulario_A01'!$D:$D,MATCH("D15-DOC-PASC-001.SUCCESS_PLAN.MARCO",'01_Formulario_A01'!$A:$A,0))="","— (a preencher em 01_Formulario_A01)",INDEX('01_Formulario_A01'!$D:$D,MATCH("D15-DOC-PASC-001.SUCCESS_PLAN.MARCO",'01_Formulario_A01'!$A:$A,0))),"— (a preencher em 01_Formulario_A01)")</f>
        <v/>
      </c>
    </row>
    <row r="868">
      <c r="A868" s="13" t="inlineStr">
        <is>
          <t>D15-DOC-PASC-001.HEALTH_SCORE.INDICADORES</t>
        </is>
      </c>
      <c r="B868" s="2" t="inlineStr">
        <is>
          <t>indicadores</t>
        </is>
      </c>
      <c r="C868" s="14">
        <f>IFERROR(IF(INDEX('01_Formulario_A01'!$D:$D,MATCH("D15-DOC-PASC-001.HEALTH_SCORE.INDICADORES",'01_Formulario_A01'!$A:$A,0))="","— (a preencher em 01_Formulario_A01)",INDEX('01_Formulario_A01'!$D:$D,MATCH("D15-DOC-PASC-001.HEALTH_SCORE.INDICADORES",'01_Formulario_A01'!$A:$A,0))),"— (a preencher em 01_Formulario_A01)")</f>
        <v/>
      </c>
    </row>
    <row r="869">
      <c r="A869" s="13" t="inlineStr">
        <is>
          <t>D15-DOC-PASC-001.FEEDBACK.COLETA</t>
        </is>
      </c>
      <c r="B869" s="2" t="inlineStr">
        <is>
          <t>coleta</t>
        </is>
      </c>
      <c r="C869" s="14">
        <f>IFERROR(IF(INDEX('01_Formulario_A01'!$D:$D,MATCH("D15-DOC-PASC-001.FEEDBACK.COLETA",'01_Formulario_A01'!$A:$A,0))="","— (a preencher em 01_Formulario_A01)",INDEX('01_Formulario_A01'!$D:$D,MATCH("D15-DOC-PASC-001.FEEDBACK.COLETA",'01_Formulario_A01'!$A:$A,0))),"— (a preencher em 01_Formulario_A01)")</f>
        <v/>
      </c>
    </row>
    <row r="870">
      <c r="A870" s="13" t="inlineStr">
        <is>
          <t>D15-DOC-PASC-001.FEEDBACK.TRATAMENTO</t>
        </is>
      </c>
      <c r="B870" s="2" t="inlineStr">
        <is>
          <t>tratamento</t>
        </is>
      </c>
      <c r="C870" s="14">
        <f>IFERROR(IF(INDEX('01_Formulario_A01'!$D:$D,MATCH("D15-DOC-PASC-001.FEEDBACK.TRATAMENTO",'01_Formulario_A01'!$A:$A,0))="","— (a preencher em 01_Formulario_A01)",INDEX('01_Formulario_A01'!$D:$D,MATCH("D15-DOC-PASC-001.FEEDBACK.TRATAMENTO",'01_Formulario_A01'!$A:$A,0))),"— (a preencher em 01_Formulario_A01)")</f>
        <v/>
      </c>
    </row>
    <row r="871">
      <c r="A871" s="13" t="inlineStr">
        <is>
          <t>D15-DOC-PASC-001.SATISFACTION.CSAT</t>
        </is>
      </c>
      <c r="B871" s="2" t="inlineStr">
        <is>
          <t>csat</t>
        </is>
      </c>
      <c r="C871" s="14">
        <f>IFERROR(IF(INDEX('01_Formulario_A01'!$D:$D,MATCH("D15-DOC-PASC-001.SATISFACTION.CSAT",'01_Formulario_A01'!$A:$A,0))="","— (a preencher em 01_Formulario_A01)",INDEX('01_Formulario_A01'!$D:$D,MATCH("D15-DOC-PASC-001.SATISFACTION.CSAT",'01_Formulario_A01'!$A:$A,0))),"— (a preencher em 01_Formulario_A01)")</f>
        <v/>
      </c>
    </row>
    <row r="872">
      <c r="A872" s="13" t="inlineStr">
        <is>
          <t>D15-DOC-PASC-001.SATISFACTION.NPS</t>
        </is>
      </c>
      <c r="B872" s="2" t="inlineStr">
        <is>
          <t>nps</t>
        </is>
      </c>
      <c r="C872" s="14">
        <f>IFERROR(IF(INDEX('01_Formulario_A01'!$D:$D,MATCH("D15-DOC-PASC-001.SATISFACTION.NPS",'01_Formulario_A01'!$A:$A,0))="","— (a preencher em 01_Formulario_A01)",INDEX('01_Formulario_A01'!$D:$D,MATCH("D15-DOC-PASC-001.SATISFACTION.NPS",'01_Formulario_A01'!$A:$A,0))),"— (a preencher em 01_Formulario_A01)")</f>
        <v/>
      </c>
    </row>
    <row r="873">
      <c r="A873" s="13" t="inlineStr">
        <is>
          <t>D15-DOC-PASC-001.RETENTION.RENOVACAO</t>
        </is>
      </c>
      <c r="B873" s="2" t="inlineStr">
        <is>
          <t>renovacao</t>
        </is>
      </c>
      <c r="C873" s="14">
        <f>IFERROR(IF(INDEX('01_Formulario_A01'!$D:$D,MATCH("D15-DOC-PASC-001.RETENTION.RENOVACAO",'01_Formulario_A01'!$A:$A,0))="","— (a preencher em 01_Formulario_A01)",INDEX('01_Formulario_A01'!$D:$D,MATCH("D15-DOC-PASC-001.RETENTION.RENOVACAO",'01_Formulario_A01'!$A:$A,0))),"— (a preencher em 01_Formulario_A01)")</f>
        <v/>
      </c>
    </row>
    <row r="874">
      <c r="A874" s="13" t="inlineStr">
        <is>
          <t>D15-DOC-PASC-001.RETENTION.EXPANSAO</t>
        </is>
      </c>
      <c r="B874" s="2" t="inlineStr">
        <is>
          <t>expansao</t>
        </is>
      </c>
      <c r="C874" s="14">
        <f>IFERROR(IF(INDEX('01_Formulario_A01'!$D:$D,MATCH("D15-DOC-PASC-001.RETENTION.EXPANSAO",'01_Formulario_A01'!$A:$A,0))="","— (a preencher em 01_Formulario_A01)",INDEX('01_Formulario_A01'!$D:$D,MATCH("D15-DOC-PASC-001.RETENTION.EXPANSAO",'01_Formulario_A01'!$A:$A,0))),"— (a preencher em 01_Formulario_A01)")</f>
        <v/>
      </c>
    </row>
    <row r="875">
      <c r="A875" s="13" t="inlineStr">
        <is>
          <t>D15-DOC-PASC-001.CHURN.SINAIS</t>
        </is>
      </c>
      <c r="B875" s="2" t="inlineStr">
        <is>
          <t>sinais</t>
        </is>
      </c>
      <c r="C875" s="14">
        <f>IFERROR(IF(INDEX('01_Formulario_A01'!$D:$D,MATCH("D15-DOC-PASC-001.CHURN.SINAIS",'01_Formulario_A01'!$A:$A,0))="","— (a preencher em 01_Formulario_A01)",INDEX('01_Formulario_A01'!$D:$D,MATCH("D15-DOC-PASC-001.CHURN.SINAIS",'01_Formulario_A01'!$A:$A,0))),"— (a preencher em 01_Formulario_A01)")</f>
        <v/>
      </c>
    </row>
    <row r="876">
      <c r="A876" s="13" t="inlineStr">
        <is>
          <t>D15-DOC-PASC-001.CHURN.RESPOSTA</t>
        </is>
      </c>
      <c r="B876" s="2" t="inlineStr">
        <is>
          <t>resposta</t>
        </is>
      </c>
      <c r="C876" s="14">
        <f>IFERROR(IF(INDEX('01_Formulario_A01'!$D:$D,MATCH("D15-DOC-PASC-001.CHURN.RESPOSTA",'01_Formulario_A01'!$A:$A,0))="","— (a preencher em 01_Formulario_A01)",INDEX('01_Formulario_A01'!$D:$D,MATCH("D15-DOC-PASC-001.CHURN.RESPOSTA",'01_Formulario_A01'!$A:$A,0))),"— (a preencher em 01_Formulario_A01)")</f>
        <v/>
      </c>
    </row>
    <row r="877">
      <c r="A877" s="13" t="inlineStr">
        <is>
          <t>D15-DOC-PASC-001.INCIDENT_COMMUNICATION.MENSAGEM</t>
        </is>
      </c>
      <c r="B877" s="2" t="inlineStr">
        <is>
          <t>mensagem</t>
        </is>
      </c>
      <c r="C877" s="14">
        <f>IFERROR(IF(INDEX('01_Formulario_A01'!$D:$D,MATCH("D15-DOC-PASC-001.INCIDENT_COMMUNICATION.MENSAGEM",'01_Formulario_A01'!$A:$A,0))="","— (a preencher em 01_Formulario_A01)",INDEX('01_Formulario_A01'!$D:$D,MATCH("D15-DOC-PASC-001.INCIDENT_COMMUNICATION.MENSAGEM",'01_Formulario_A01'!$A:$A,0))),"— (a preencher em 01_Formulario_A01)")</f>
        <v/>
      </c>
    </row>
    <row r="878">
      <c r="A878" s="13" t="inlineStr">
        <is>
          <t>D15-DOC-PASC-001.INCIDENT_COMMUNICATION.CANAL</t>
        </is>
      </c>
      <c r="B878" s="2" t="inlineStr">
        <is>
          <t>canal</t>
        </is>
      </c>
      <c r="C878" s="14">
        <f>IFERROR(IF(INDEX('01_Formulario_A01'!$D:$D,MATCH("D15-DOC-PASC-001.INCIDENT_COMMUNICATION.CANAL",'01_Formulario_A01'!$A:$A,0))="","— (a preencher em 01_Formulario_A01)",INDEX('01_Formulario_A01'!$D:$D,MATCH("D15-DOC-PASC-001.INCIDENT_COMMUNICATION.CANAL",'01_Formulario_A01'!$A:$A,0))),"— (a preencher em 01_Formulario_A01)")</f>
        <v/>
      </c>
    </row>
    <row r="879">
      <c r="A879" s="13" t="inlineStr">
        <is>
          <t>D15-DOC-PASC-001.METRICS.TEMPO_RESPOSTA</t>
        </is>
      </c>
      <c r="B879" s="2" t="inlineStr">
        <is>
          <t>tempo_resposta</t>
        </is>
      </c>
      <c r="C879" s="14">
        <f>IFERROR(IF(INDEX('01_Formulario_A01'!$D:$D,MATCH("D15-DOC-PASC-001.METRICS.TEMPO_RESPOSTA",'01_Formulario_A01'!$A:$A,0))="","— (a preencher em 01_Formulario_A01)",INDEX('01_Formulario_A01'!$D:$D,MATCH("D15-DOC-PASC-001.METRICS.TEMPO_RESPOSTA",'01_Formulario_A01'!$A:$A,0))),"— (a preencher em 01_Formulario_A01)")</f>
        <v/>
      </c>
    </row>
    <row r="880">
      <c r="A880" s="13" t="inlineStr">
        <is>
          <t>D15-DOC-PASC-001.METRICS.RESOLUCAO</t>
        </is>
      </c>
      <c r="B880" s="2" t="inlineStr">
        <is>
          <t>resolucao</t>
        </is>
      </c>
      <c r="C880" s="14">
        <f>IFERROR(IF(INDEX('01_Formulario_A01'!$D:$D,MATCH("D15-DOC-PASC-001.METRICS.RESOLUCAO",'01_Formulario_A01'!$A:$A,0))="","— (a preencher em 01_Formulario_A01)",INDEX('01_Formulario_A01'!$D:$D,MATCH("D15-DOC-PASC-001.METRICS.RESOLUCAO",'01_Formulario_A01'!$A:$A,0))),"— (a preencher em 01_Formulario_A01)")</f>
        <v/>
      </c>
    </row>
    <row r="881">
      <c r="A881" s="13" t="inlineStr">
        <is>
          <t>D15-DOC-PASC-001.METRICS.CHURN</t>
        </is>
      </c>
      <c r="B881" s="2" t="inlineStr">
        <is>
          <t>churn</t>
        </is>
      </c>
      <c r="C881" s="14">
        <f>IFERROR(IF(INDEX('01_Formulario_A01'!$D:$D,MATCH("D15-DOC-PASC-001.METRICS.CHURN",'01_Formulario_A01'!$A:$A,0))="","— (a preencher em 01_Formulario_A01)",INDEX('01_Formulario_A01'!$D:$D,MATCH("D15-DOC-PASC-001.METRICS.CHURN",'01_Formulario_A01'!$A:$A,0))),"— (a preencher em 01_Formulario_A01)")</f>
        <v/>
      </c>
    </row>
    <row r="882">
      <c r="A882" s="5" t="inlineStr">
        <is>
          <t>D16-DOC-PEM-001 — Plano Estratégico de Mídias Sociais [PRE_PREENCHIDO/PENDENTE]</t>
        </is>
      </c>
      <c r="B882" s="6" t="n"/>
      <c r="C882" s="7" t="n"/>
    </row>
    <row r="883">
      <c r="A883" s="13" t="inlineStr">
        <is>
          <t>D16-DOC-PEM-001.OBJECTIVES.OBJETIVOS</t>
        </is>
      </c>
      <c r="B883" s="2" t="inlineStr">
        <is>
          <t>objetivos</t>
        </is>
      </c>
      <c r="C883" s="14">
        <f>IFERROR(IF(INDEX('01_Formulario_A08'!$D:$D,MATCH("D16-DOC-PEM-001.OBJECTIVES.OBJETIVOS",'01_Formulario_A08'!$A:$A,0))="","— (a preencher em 01_Formulario_A08)",INDEX('01_Formulario_A08'!$D:$D,MATCH("D16-DOC-PEM-001.OBJECTIVES.OBJETIVOS",'01_Formulario_A08'!$A:$A,0))),"— (a preencher em 01_Formulario_A08)")</f>
        <v/>
      </c>
    </row>
    <row r="884">
      <c r="A884" s="13" t="inlineStr">
        <is>
          <t>D16-DOC-PEM-001.AUDIENCE.PUBLICOS</t>
        </is>
      </c>
      <c r="B884" s="2" t="inlineStr">
        <is>
          <t>publicos</t>
        </is>
      </c>
      <c r="C884" s="14">
        <f>IFERROR(IF(INDEX('01_Formulario_A08'!$D:$D,MATCH("D16-DOC-PEM-001.AUDIENCE.PUBLICOS",'01_Formulario_A08'!$A:$A,0))="","— (a preencher em 01_Formulario_A08)",INDEX('01_Formulario_A08'!$D:$D,MATCH("D16-DOC-PEM-001.AUDIENCE.PUBLICOS",'01_Formulario_A08'!$A:$A,0))),"— (a preencher em 01_Formulario_A08)")</f>
        <v/>
      </c>
    </row>
    <row r="885">
      <c r="A885" s="13" t="inlineStr">
        <is>
          <t>D16-DOC-PEM-001.CHANNELS.CANAL</t>
        </is>
      </c>
      <c r="B885" s="2" t="inlineStr">
        <is>
          <t>canal</t>
        </is>
      </c>
      <c r="C885" s="14">
        <f>IFERROR(IF(INDEX('01_Formulario_A08'!$D:$D,MATCH("D16-DOC-PEM-001.CHANNELS.CANAL",'01_Formulario_A08'!$A:$A,0))="","— (a preencher em 01_Formulario_A08)",INDEX('01_Formulario_A08'!$D:$D,MATCH("D16-DOC-PEM-001.CHANNELS.CANAL",'01_Formulario_A08'!$A:$A,0))),"— (a preencher em 01_Formulario_A08)")</f>
        <v/>
      </c>
    </row>
    <row r="886">
      <c r="A886" s="13" t="inlineStr">
        <is>
          <t>D16-DOC-PEM-001.CHANNELS.FUNCAO</t>
        </is>
      </c>
      <c r="B886" s="2" t="inlineStr">
        <is>
          <t>funcao</t>
        </is>
      </c>
      <c r="C886" s="14">
        <f>IFERROR(IF(INDEX('01_Formulario_A08'!$D:$D,MATCH("D16-DOC-PEM-001.CHANNELS.FUNCAO",'01_Formulario_A08'!$A:$A,0))="","— (a preencher em 01_Formulario_A08)",INDEX('01_Formulario_A08'!$D:$D,MATCH("D16-DOC-PEM-001.CHANNELS.FUNCAO",'01_Formulario_A08'!$A:$A,0))),"— (a preencher em 01_Formulario_A08)")</f>
        <v/>
      </c>
    </row>
    <row r="887">
      <c r="A887" s="13" t="inlineStr">
        <is>
          <t>D16-DOC-PEM-001.CONTENT_PILLARS.PILAR</t>
        </is>
      </c>
      <c r="B887" s="2" t="inlineStr">
        <is>
          <t>pilar</t>
        </is>
      </c>
      <c r="C887" s="14">
        <f>IFERROR(IF(INDEX('01_Formulario_A08'!$D:$D,MATCH("D16-DOC-PEM-001.CONTENT_PILLARS.PILAR",'01_Formulario_A08'!$A:$A,0))="","— (a preencher em 01_Formulario_A08)",INDEX('01_Formulario_A08'!$D:$D,MATCH("D16-DOC-PEM-001.CONTENT_PILLARS.PILAR",'01_Formulario_A08'!$A:$A,0))),"— (a preencher em 01_Formulario_A08)")</f>
        <v/>
      </c>
    </row>
    <row r="888">
      <c r="A888" s="13" t="inlineStr">
        <is>
          <t>D16-DOC-PEM-001.CONTENT_PILLARS.TESE</t>
        </is>
      </c>
      <c r="B888" s="2" t="inlineStr">
        <is>
          <t>tese</t>
        </is>
      </c>
      <c r="C888" s="14">
        <f>IFERROR(IF(INDEX('01_Formulario_A08'!$D:$D,MATCH("D16-DOC-PEM-001.CONTENT_PILLARS.TESE",'01_Formulario_A08'!$A:$A,0))="","— (a preencher em 01_Formulario_A08)",INDEX('01_Formulario_A08'!$D:$D,MATCH("D16-DOC-PEM-001.CONTENT_PILLARS.TESE",'01_Formulario_A08'!$A:$A,0))),"— (a preencher em 01_Formulario_A08)")</f>
        <v/>
      </c>
    </row>
    <row r="889">
      <c r="A889" s="13" t="inlineStr">
        <is>
          <t>D16-DOC-PEM-001.FORMATS.ARTIGO</t>
        </is>
      </c>
      <c r="B889" s="2" t="inlineStr">
        <is>
          <t>artigo</t>
        </is>
      </c>
      <c r="C889" s="14">
        <f>IFERROR(IF(INDEX('01_Formulario_A08'!$D:$D,MATCH("D16-DOC-PEM-001.FORMATS.ARTIGO",'01_Formulario_A08'!$A:$A,0))="","— (a preencher em 01_Formulario_A08)",INDEX('01_Formulario_A08'!$D:$D,MATCH("D16-DOC-PEM-001.FORMATS.ARTIGO",'01_Formulario_A08'!$A:$A,0))),"— (a preencher em 01_Formulario_A08)")</f>
        <v/>
      </c>
    </row>
    <row r="890">
      <c r="A890" s="13" t="inlineStr">
        <is>
          <t>D16-DOC-PEM-001.FORMATS.VIDEO</t>
        </is>
      </c>
      <c r="B890" s="2" t="inlineStr">
        <is>
          <t>video</t>
        </is>
      </c>
      <c r="C890" s="14">
        <f>IFERROR(IF(INDEX('01_Formulario_A08'!$D:$D,MATCH("D16-DOC-PEM-001.FORMATS.VIDEO",'01_Formulario_A08'!$A:$A,0))="","— (a preencher em 01_Formulario_A08)",INDEX('01_Formulario_A08'!$D:$D,MATCH("D16-DOC-PEM-001.FORMATS.VIDEO",'01_Formulario_A08'!$A:$A,0))),"— (a preencher em 01_Formulario_A08)")</f>
        <v/>
      </c>
    </row>
    <row r="891">
      <c r="A891" s="13" t="inlineStr">
        <is>
          <t>D16-DOC-PEM-001.FORMATS.CARROSSEL</t>
        </is>
      </c>
      <c r="B891" s="2" t="inlineStr">
        <is>
          <t>carrossel</t>
        </is>
      </c>
      <c r="C891" s="14">
        <f>IFERROR(IF(INDEX('01_Formulario_A08'!$D:$D,MATCH("D16-DOC-PEM-001.FORMATS.CARROSSEL",'01_Formulario_A08'!$A:$A,0))="","— (a preencher em 01_Formulario_A08)",INDEX('01_Formulario_A08'!$D:$D,MATCH("D16-DOC-PEM-001.FORMATS.CARROSSEL",'01_Formulario_A08'!$A:$A,0))),"— (a preencher em 01_Formulario_A08)")</f>
        <v/>
      </c>
    </row>
    <row r="892">
      <c r="A892" s="13" t="inlineStr">
        <is>
          <t>D16-DOC-PEM-001.FORMATS.STORY</t>
        </is>
      </c>
      <c r="B892" s="2" t="inlineStr">
        <is>
          <t>story</t>
        </is>
      </c>
      <c r="C892" s="14">
        <f>IFERROR(IF(INDEX('01_Formulario_A08'!$D:$D,MATCH("D16-DOC-PEM-001.FORMATS.STORY",'01_Formulario_A08'!$A:$A,0))="","— (a preencher em 01_Formulario_A08)",INDEX('01_Formulario_A08'!$D:$D,MATCH("D16-DOC-PEM-001.FORMATS.STORY",'01_Formulario_A08'!$A:$A,0))),"— (a preencher em 01_Formulario_A08)")</f>
        <v/>
      </c>
    </row>
    <row r="893">
      <c r="A893" s="13" t="inlineStr">
        <is>
          <t>D16-DOC-PEM-001.FORMATS.NEWSLETTER</t>
        </is>
      </c>
      <c r="B893" s="2" t="inlineStr">
        <is>
          <t>newsletter</t>
        </is>
      </c>
      <c r="C893" s="14">
        <f>IFERROR(IF(INDEX('01_Formulario_A08'!$D:$D,MATCH("D16-DOC-PEM-001.FORMATS.NEWSLETTER",'01_Formulario_A08'!$A:$A,0))="","— (a preencher em 01_Formulario_A08)",INDEX('01_Formulario_A08'!$D:$D,MATCH("D16-DOC-PEM-001.FORMATS.NEWSLETTER",'01_Formulario_A08'!$A:$A,0))),"— (a preencher em 01_Formulario_A08)")</f>
        <v/>
      </c>
    </row>
    <row r="894">
      <c r="A894" s="13" t="inlineStr">
        <is>
          <t>D16-DOC-PEM-001.EDITORIAL_CALENDAR.DATA</t>
        </is>
      </c>
      <c r="B894" s="2" t="inlineStr">
        <is>
          <t>data</t>
        </is>
      </c>
      <c r="C894" s="14">
        <f>IFERROR(IF(INDEX('01_Formulario_A08'!$D:$D,MATCH("D16-DOC-PEM-001.EDITORIAL_CALENDAR.DATA",'01_Formulario_A08'!$A:$A,0))="","— (a preencher em 01_Formulario_A08)",INDEX('01_Formulario_A08'!$D:$D,MATCH("D16-DOC-PEM-001.EDITORIAL_CALENDAR.DATA",'01_Formulario_A08'!$A:$A,0))),"— (a preencher em 01_Formulario_A08)")</f>
        <v/>
      </c>
    </row>
    <row r="895">
      <c r="A895" s="13" t="inlineStr">
        <is>
          <t>D16-DOC-PEM-001.EDITORIAL_CALENDAR.TEMA</t>
        </is>
      </c>
      <c r="B895" s="2" t="inlineStr">
        <is>
          <t>tema</t>
        </is>
      </c>
      <c r="C895" s="14">
        <f>IFERROR(IF(INDEX('01_Formulario_A08'!$D:$D,MATCH("D16-DOC-PEM-001.EDITORIAL_CALENDAR.TEMA",'01_Formulario_A08'!$A:$A,0))="","— (a preencher em 01_Formulario_A08)",INDEX('01_Formulario_A08'!$D:$D,MATCH("D16-DOC-PEM-001.EDITORIAL_CALENDAR.TEMA",'01_Formulario_A08'!$A:$A,0))),"— (a preencher em 01_Formulario_A08)")</f>
        <v/>
      </c>
    </row>
    <row r="896">
      <c r="A896" s="13" t="inlineStr">
        <is>
          <t>D16-DOC-PEM-001.EDITORIAL_CALENDAR.CANAL</t>
        </is>
      </c>
      <c r="B896" s="2" t="inlineStr">
        <is>
          <t>canal</t>
        </is>
      </c>
      <c r="C896" s="14">
        <f>IFERROR(IF(INDEX('01_Formulario_A08'!$D:$D,MATCH("D16-DOC-PEM-001.EDITORIAL_CALENDAR.CANAL",'01_Formulario_A08'!$A:$A,0))="","— (a preencher em 01_Formulario_A08)",INDEX('01_Formulario_A08'!$D:$D,MATCH("D16-DOC-PEM-001.EDITORIAL_CALENDAR.CANAL",'01_Formulario_A08'!$A:$A,0))),"— (a preencher em 01_Formulario_A08)")</f>
        <v/>
      </c>
    </row>
    <row r="897">
      <c r="A897" s="13" t="inlineStr">
        <is>
          <t>D16-DOC-PEM-001.PRODUCTION.PESQUISA</t>
        </is>
      </c>
      <c r="B897" s="2" t="inlineStr">
        <is>
          <t>pesquisa</t>
        </is>
      </c>
      <c r="C897" s="14">
        <f>IFERROR(IF(INDEX('01_Formulario_A08'!$D:$D,MATCH("D16-DOC-PEM-001.PRODUCTION.PESQUISA",'01_Formulario_A08'!$A:$A,0))="","— (a preencher em 01_Formulario_A08)",INDEX('01_Formulario_A08'!$D:$D,MATCH("D16-DOC-PEM-001.PRODUCTION.PESQUISA",'01_Formulario_A08'!$A:$A,0))),"— (a preencher em 01_Formulario_A08)")</f>
        <v/>
      </c>
    </row>
    <row r="898">
      <c r="A898" s="13" t="inlineStr">
        <is>
          <t>D16-DOC-PEM-001.PRODUCTION.TEXTO</t>
        </is>
      </c>
      <c r="B898" s="2" t="inlineStr">
        <is>
          <t>texto</t>
        </is>
      </c>
      <c r="C898" s="14">
        <f>IFERROR(IF(INDEX('01_Formulario_A08'!$D:$D,MATCH("D16-DOC-PEM-001.PRODUCTION.TEXTO",'01_Formulario_A08'!$A:$A,0))="","— (a preencher em 01_Formulario_A08)",INDEX('01_Formulario_A08'!$D:$D,MATCH("D16-DOC-PEM-001.PRODUCTION.TEXTO",'01_Formulario_A08'!$A:$A,0))),"— (a preencher em 01_Formulario_A08)")</f>
        <v/>
      </c>
    </row>
    <row r="899">
      <c r="A899" s="13" t="inlineStr">
        <is>
          <t>D16-DOC-PEM-001.PRODUCTION.VISUAL</t>
        </is>
      </c>
      <c r="B899" s="2" t="inlineStr">
        <is>
          <t>visual</t>
        </is>
      </c>
      <c r="C899" s="14">
        <f>IFERROR(IF(INDEX('01_Formulario_A08'!$D:$D,MATCH("D16-DOC-PEM-001.PRODUCTION.VISUAL",'01_Formulario_A08'!$A:$A,0))="","— (a preencher em 01_Formulario_A08)",INDEX('01_Formulario_A08'!$D:$D,MATCH("D16-DOC-PEM-001.PRODUCTION.VISUAL",'01_Formulario_A08'!$A:$A,0))),"— (a preencher em 01_Formulario_A08)")</f>
        <v/>
      </c>
    </row>
    <row r="900">
      <c r="A900" s="13" t="inlineStr">
        <is>
          <t>D16-DOC-PEM-001.PRODUCTION.REVISAO</t>
        </is>
      </c>
      <c r="B900" s="2" t="inlineStr">
        <is>
          <t>revisao</t>
        </is>
      </c>
      <c r="C900" s="14">
        <f>IFERROR(IF(INDEX('01_Formulario_A08'!$D:$D,MATCH("D16-DOC-PEM-001.PRODUCTION.REVISAO",'01_Formulario_A08'!$A:$A,0))="","— (a preencher em 01_Formulario_A08)",INDEX('01_Formulario_A08'!$D:$D,MATCH("D16-DOC-PEM-001.PRODUCTION.REVISAO",'01_Formulario_A08'!$A:$A,0))),"— (a preencher em 01_Formulario_A08)")</f>
        <v/>
      </c>
    </row>
    <row r="901">
      <c r="A901" s="13" t="inlineStr">
        <is>
          <t>D16-DOC-PEM-001.REPURPOSING.FONTE</t>
        </is>
      </c>
      <c r="B901" s="2" t="inlineStr">
        <is>
          <t>fonte</t>
        </is>
      </c>
      <c r="C901" s="14">
        <f>IFERROR(IF(INDEX('01_Formulario_A08'!$D:$D,MATCH("D16-DOC-PEM-001.REPURPOSING.FONTE",'01_Formulario_A08'!$A:$A,0))="","— (a preencher em 01_Formulario_A08)",INDEX('01_Formulario_A08'!$D:$D,MATCH("D16-DOC-PEM-001.REPURPOSING.FONTE",'01_Formulario_A08'!$A:$A,0))),"— (a preencher em 01_Formulario_A08)")</f>
        <v/>
      </c>
    </row>
    <row r="902">
      <c r="A902" s="13" t="inlineStr">
        <is>
          <t>D16-DOC-PEM-001.REPURPOSING.DERIVADOS</t>
        </is>
      </c>
      <c r="B902" s="2" t="inlineStr">
        <is>
          <t>derivados</t>
        </is>
      </c>
      <c r="C902" s="14">
        <f>IFERROR(IF(INDEX('01_Formulario_A08'!$D:$D,MATCH("D16-DOC-PEM-001.REPURPOSING.DERIVADOS",'01_Formulario_A08'!$A:$A,0))="","— (a preencher em 01_Formulario_A08)",INDEX('01_Formulario_A08'!$D:$D,MATCH("D16-DOC-PEM-001.REPURPOSING.DERIVADOS",'01_Formulario_A08'!$A:$A,0))),"— (a preencher em 01_Formulario_A08)")</f>
        <v/>
      </c>
    </row>
    <row r="903">
      <c r="A903" s="13" t="inlineStr">
        <is>
          <t>D16-DOC-PEM-001.DISTRIBUTION.ORGANICO</t>
        </is>
      </c>
      <c r="B903" s="2" t="inlineStr">
        <is>
          <t>organico</t>
        </is>
      </c>
      <c r="C903" s="14">
        <f>IFERROR(IF(INDEX('01_Formulario_A08'!$D:$D,MATCH("D16-DOC-PEM-001.DISTRIBUTION.ORGANICO",'01_Formulario_A08'!$A:$A,0))="","— (a preencher em 01_Formulario_A08)",INDEX('01_Formulario_A08'!$D:$D,MATCH("D16-DOC-PEM-001.DISTRIBUTION.ORGANICO",'01_Formulario_A08'!$A:$A,0))),"— (a preencher em 01_Formulario_A08)")</f>
        <v/>
      </c>
    </row>
    <row r="904">
      <c r="A904" s="13" t="inlineStr">
        <is>
          <t>D16-DOC-PEM-001.DISTRIBUTION.COMUNIDADE</t>
        </is>
      </c>
      <c r="B904" s="2" t="inlineStr">
        <is>
          <t>comunidade</t>
        </is>
      </c>
      <c r="C904" s="14">
        <f>IFERROR(IF(INDEX('01_Formulario_A08'!$D:$D,MATCH("D16-DOC-PEM-001.DISTRIBUTION.COMUNIDADE",'01_Formulario_A08'!$A:$A,0))="","— (a preencher em 01_Formulario_A08)",INDEX('01_Formulario_A08'!$D:$D,MATCH("D16-DOC-PEM-001.DISTRIBUTION.COMUNIDADE",'01_Formulario_A08'!$A:$A,0))),"— (a preencher em 01_Formulario_A08)")</f>
        <v/>
      </c>
    </row>
    <row r="905">
      <c r="A905" s="13" t="inlineStr">
        <is>
          <t>D16-DOC-PEM-001.DISTRIBUTION.PARCERIA</t>
        </is>
      </c>
      <c r="B905" s="2" t="inlineStr">
        <is>
          <t>parceria</t>
        </is>
      </c>
      <c r="C905" s="14">
        <f>IFERROR(IF(INDEX('01_Formulario_A08'!$D:$D,MATCH("D16-DOC-PEM-001.DISTRIBUTION.PARCERIA",'01_Formulario_A08'!$A:$A,0))="","— (a preencher em 01_Formulario_A08)",INDEX('01_Formulario_A08'!$D:$D,MATCH("D16-DOC-PEM-001.DISTRIBUTION.PARCERIA",'01_Formulario_A08'!$A:$A,0))),"— (a preencher em 01_Formulario_A08)")</f>
        <v/>
      </c>
    </row>
    <row r="906">
      <c r="A906" s="13" t="inlineStr">
        <is>
          <t>D16-DOC-PEM-001.CTA.CTA</t>
        </is>
      </c>
      <c r="B906" s="2" t="inlineStr">
        <is>
          <t>cta</t>
        </is>
      </c>
      <c r="C906" s="14">
        <f>IFERROR(IF(INDEX('01_Formulario_A08'!$D:$D,MATCH("D16-DOC-PEM-001.CTA.CTA",'01_Formulario_A08'!$A:$A,0))="","— (a preencher em 01_Formulario_A08)",INDEX('01_Formulario_A08'!$D:$D,MATCH("D16-DOC-PEM-001.CTA.CTA",'01_Formulario_A08'!$A:$A,0))),"— (a preencher em 01_Formulario_A08)")</f>
        <v/>
      </c>
    </row>
    <row r="907">
      <c r="A907" s="13" t="inlineStr">
        <is>
          <t>D16-DOC-PEM-001.CTA.DESTINO</t>
        </is>
      </c>
      <c r="B907" s="2" t="inlineStr">
        <is>
          <t>destino</t>
        </is>
      </c>
      <c r="C907" s="14">
        <f>IFERROR(IF(INDEX('01_Formulario_A08'!$D:$D,MATCH("D16-DOC-PEM-001.CTA.DESTINO",'01_Formulario_A08'!$A:$A,0))="","— (a preencher em 01_Formulario_A08)",INDEX('01_Formulario_A08'!$D:$D,MATCH("D16-DOC-PEM-001.CTA.DESTINO",'01_Formulario_A08'!$A:$A,0))),"— (a preencher em 01_Formulario_A08)")</f>
        <v/>
      </c>
    </row>
    <row r="908">
      <c r="A908" s="13" t="inlineStr">
        <is>
          <t>D16-DOC-PEM-001.COMMUNITY.RESPOSTA</t>
        </is>
      </c>
      <c r="B908" s="2" t="inlineStr">
        <is>
          <t>resposta</t>
        </is>
      </c>
      <c r="C908" s="14">
        <f>IFERROR(IF(INDEX('01_Formulario_A08'!$D:$D,MATCH("D16-DOC-PEM-001.COMMUNITY.RESPOSTA",'01_Formulario_A08'!$A:$A,0))="","— (a preencher em 01_Formulario_A08)",INDEX('01_Formulario_A08'!$D:$D,MATCH("D16-DOC-PEM-001.COMMUNITY.RESPOSTA",'01_Formulario_A08'!$A:$A,0))),"— (a preencher em 01_Formulario_A08)")</f>
        <v/>
      </c>
    </row>
    <row r="909">
      <c r="A909" s="13" t="inlineStr">
        <is>
          <t>D16-DOC-PEM-001.COMMUNITY.MODERACAO</t>
        </is>
      </c>
      <c r="B909" s="2" t="inlineStr">
        <is>
          <t>moderacao</t>
        </is>
      </c>
      <c r="C909" s="14">
        <f>IFERROR(IF(INDEX('01_Formulario_A08'!$D:$D,MATCH("D16-DOC-PEM-001.COMMUNITY.MODERACAO",'01_Formulario_A08'!$A:$A,0))="","— (a preencher em 01_Formulario_A08)",INDEX('01_Formulario_A08'!$D:$D,MATCH("D16-DOC-PEM-001.COMMUNITY.MODERACAO",'01_Formulario_A08'!$A:$A,0))),"— (a preencher em 01_Formulario_A08)")</f>
        <v/>
      </c>
    </row>
    <row r="910">
      <c r="A910" s="13" t="inlineStr">
        <is>
          <t>D16-DOC-PEM-001.MEASUREMENT.ALCANCE</t>
        </is>
      </c>
      <c r="B910" s="2" t="inlineStr">
        <is>
          <t>alcance</t>
        </is>
      </c>
      <c r="C910" s="14">
        <f>IFERROR(IF(INDEX('01_Formulario_A08'!$D:$D,MATCH("D16-DOC-PEM-001.MEASUREMENT.ALCANCE",'01_Formulario_A08'!$A:$A,0))="","— (a preencher em 01_Formulario_A08)",INDEX('01_Formulario_A08'!$D:$D,MATCH("D16-DOC-PEM-001.MEASUREMENT.ALCANCE",'01_Formulario_A08'!$A:$A,0))),"— (a preencher em 01_Formulario_A08)")</f>
        <v/>
      </c>
    </row>
    <row r="911">
      <c r="A911" s="13" t="inlineStr">
        <is>
          <t>D16-DOC-PEM-001.MEASUREMENT.ENGAJAMENTO</t>
        </is>
      </c>
      <c r="B911" s="2" t="inlineStr">
        <is>
          <t>engajamento</t>
        </is>
      </c>
      <c r="C911" s="14">
        <f>IFERROR(IF(INDEX('01_Formulario_A08'!$D:$D,MATCH("D16-DOC-PEM-001.MEASUREMENT.ENGAJAMENTO",'01_Formulario_A08'!$A:$A,0))="","— (a preencher em 01_Formulario_A08)",INDEX('01_Formulario_A08'!$D:$D,MATCH("D16-DOC-PEM-001.MEASUREMENT.ENGAJAMENTO",'01_Formulario_A08'!$A:$A,0))),"— (a preencher em 01_Formulario_A08)")</f>
        <v/>
      </c>
    </row>
    <row r="912">
      <c r="A912" s="13" t="inlineStr">
        <is>
          <t>D16-DOC-PEM-001.MEASUREMENT.CLIQUE</t>
        </is>
      </c>
      <c r="B912" s="2" t="inlineStr">
        <is>
          <t>clique</t>
        </is>
      </c>
      <c r="C912" s="14">
        <f>IFERROR(IF(INDEX('01_Formulario_A08'!$D:$D,MATCH("D16-DOC-PEM-001.MEASUREMENT.CLIQUE",'01_Formulario_A08'!$A:$A,0))="","— (a preencher em 01_Formulario_A08)",INDEX('01_Formulario_A08'!$D:$D,MATCH("D16-DOC-PEM-001.MEASUREMENT.CLIQUE",'01_Formulario_A08'!$A:$A,0))),"— (a preencher em 01_Formulario_A08)")</f>
        <v/>
      </c>
    </row>
    <row r="913">
      <c r="A913" s="13" t="inlineStr">
        <is>
          <t>D16-DOC-PEM-001.MEASUREMENT.CONVERSAO</t>
        </is>
      </c>
      <c r="B913" s="2" t="inlineStr">
        <is>
          <t>conversao</t>
        </is>
      </c>
      <c r="C913" s="14">
        <f>IFERROR(IF(INDEX('01_Formulario_A08'!$D:$D,MATCH("D16-DOC-PEM-001.MEASUREMENT.CONVERSAO",'01_Formulario_A08'!$A:$A,0))="","— (a preencher em 01_Formulario_A08)",INDEX('01_Formulario_A08'!$D:$D,MATCH("D16-DOC-PEM-001.MEASUREMENT.CONVERSAO",'01_Formulario_A08'!$A:$A,0))),"— (a preencher em 01_Formulario_A08)")</f>
        <v/>
      </c>
    </row>
    <row r="914">
      <c r="A914" s="13" t="inlineStr">
        <is>
          <t>D16-DOC-PEM-001.GOVERNANCE.OWNER</t>
        </is>
      </c>
      <c r="B914" s="2" t="inlineStr">
        <is>
          <t>owner</t>
        </is>
      </c>
      <c r="C914" s="14">
        <f>IFERROR(IF(INDEX('01_Formulario_A08'!$D:$D,MATCH("D16-DOC-PEM-001.GOVERNANCE.OWNER",'01_Formulario_A08'!$A:$A,0))="","— (a preencher em 01_Formulario_A08)",INDEX('01_Formulario_A08'!$D:$D,MATCH("D16-DOC-PEM-001.GOVERNANCE.OWNER",'01_Formulario_A08'!$A:$A,0))),"— (a preencher em 01_Formulario_A08)")</f>
        <v/>
      </c>
    </row>
    <row r="915">
      <c r="A915" s="13" t="inlineStr">
        <is>
          <t>D16-DOC-PEM-001.GOVERNANCE.APROVACAO</t>
        </is>
      </c>
      <c r="B915" s="2" t="inlineStr">
        <is>
          <t>aprovacao</t>
        </is>
      </c>
      <c r="C915" s="14">
        <f>IFERROR(IF(INDEX('01_Formulario_A08'!$D:$D,MATCH("D16-DOC-PEM-001.GOVERNANCE.APROVACAO",'01_Formulario_A08'!$A:$A,0))="","— (a preencher em 01_Formulario_A08)",INDEX('01_Formulario_A08'!$D:$D,MATCH("D16-DOC-PEM-001.GOVERNANCE.APROVACAO",'01_Formulario_A08'!$A:$A,0))),"— (a preencher em 01_Formulario_A08)")</f>
        <v/>
      </c>
    </row>
    <row r="916">
      <c r="A916" s="13" t="inlineStr">
        <is>
          <t>D16-DOC-PEM-001.BRAND_COMPLIANCE.VOZ</t>
        </is>
      </c>
      <c r="B916" s="2" t="inlineStr">
        <is>
          <t>voz</t>
        </is>
      </c>
      <c r="C916" s="14">
        <f>IFERROR(IF(INDEX('01_Formulario_A08'!$D:$D,MATCH("D16-DOC-PEM-001.BRAND_COMPLIANCE.VOZ",'01_Formulario_A08'!$A:$A,0))="","— (a preencher em 01_Formulario_A08)",INDEX('01_Formulario_A08'!$D:$D,MATCH("D16-DOC-PEM-001.BRAND_COMPLIANCE.VOZ",'01_Formulario_A08'!$A:$A,0))),"— (a preencher em 01_Formulario_A08)")</f>
        <v/>
      </c>
    </row>
    <row r="917">
      <c r="A917" s="13" t="inlineStr">
        <is>
          <t>D16-DOC-PEM-001.BRAND_COMPLIANCE.VISUAL</t>
        </is>
      </c>
      <c r="B917" s="2" t="inlineStr">
        <is>
          <t>visual</t>
        </is>
      </c>
      <c r="C917" s="14">
        <f>IFERROR(IF(INDEX('01_Formulario_A08'!$D:$D,MATCH("D16-DOC-PEM-001.BRAND_COMPLIANCE.VISUAL",'01_Formulario_A08'!$A:$A,0))="","— (a preencher em 01_Formulario_A08)",INDEX('01_Formulario_A08'!$D:$D,MATCH("D16-DOC-PEM-001.BRAND_COMPLIANCE.VISUAL",'01_Formulario_A08'!$A:$A,0))),"— (a preencher em 01_Formulario_A08)")</f>
        <v/>
      </c>
    </row>
    <row r="918">
      <c r="A918" s="13" t="inlineStr">
        <is>
          <t>D16-DOC-PEM-001.BRAND_COMPLIANCE.CLAIMS</t>
        </is>
      </c>
      <c r="B918" s="2" t="inlineStr">
        <is>
          <t>claims</t>
        </is>
      </c>
      <c r="C918" s="14">
        <f>IFERROR(IF(INDEX('01_Formulario_A08'!$D:$D,MATCH("D16-DOC-PEM-001.BRAND_COMPLIANCE.CLAIMS",'01_Formulario_A08'!$A:$A,0))="","— (a preencher em 01_Formulario_A08)",INDEX('01_Formulario_A08'!$D:$D,MATCH("D16-DOC-PEM-001.BRAND_COMPLIANCE.CLAIMS",'01_Formulario_A08'!$A:$A,0))),"— (a preencher em 01_Formulario_A08)")</f>
        <v/>
      </c>
    </row>
    <row r="919">
      <c r="A919" s="5" t="inlineStr">
        <is>
          <t>D17-DOC-PEP-001 — Plano de Emprego e Portfólio [PRE_PREENCHIDO/PENDENTE]</t>
        </is>
      </c>
      <c r="B919" s="6" t="n"/>
      <c r="C919" s="7" t="n"/>
    </row>
    <row r="920">
      <c r="A920" s="13" t="inlineStr">
        <is>
          <t>D17-DOC-PEP-001.OBJECTIVE.OBJETIVO_PROFISSIONAL</t>
        </is>
      </c>
      <c r="B920" s="2" t="inlineStr">
        <is>
          <t>objetivo_profissional</t>
        </is>
      </c>
      <c r="C920" s="14">
        <f>IFERROR(IF(INDEX('01_Formulario_A12'!$D:$D,MATCH("D17-DOC-PEP-001.OBJECTIVE.OBJETIVO_PROFISSIONAL",'01_Formulario_A12'!$A:$A,0))="","— (a preencher em 01_Formulario_A12)",INDEX('01_Formulario_A12'!$D:$D,MATCH("D17-DOC-PEP-001.OBJECTIVE.OBJETIVO_PROFISSIONAL",'01_Formulario_A12'!$A:$A,0))),"— (a preencher em 01_Formulario_A12)")</f>
        <v/>
      </c>
    </row>
    <row r="921">
      <c r="A921" s="13" t="inlineStr">
        <is>
          <t>D17-DOC-PEP-001.OBJECTIVE.HORIZONTE</t>
        </is>
      </c>
      <c r="B921" s="2" t="inlineStr">
        <is>
          <t>horizonte</t>
        </is>
      </c>
      <c r="C921" s="14">
        <f>IFERROR(IF(INDEX('01_Formulario_A12'!$D:$D,MATCH("D17-DOC-PEP-001.OBJECTIVE.HORIZONTE",'01_Formulario_A12'!$A:$A,0))="","— (a preencher em 01_Formulario_A12)",INDEX('01_Formulario_A12'!$D:$D,MATCH("D17-DOC-PEP-001.OBJECTIVE.HORIZONTE",'01_Formulario_A12'!$A:$A,0))),"— (a preencher em 01_Formulario_A12)")</f>
        <v/>
      </c>
    </row>
    <row r="922">
      <c r="A922" s="13" t="inlineStr">
        <is>
          <t>D17-DOC-PEP-001.POSITIONING.PROPOSTA_PROFISSIONAL</t>
        </is>
      </c>
      <c r="B922" s="2" t="inlineStr">
        <is>
          <t>proposta_profissional</t>
        </is>
      </c>
      <c r="C922" s="14">
        <f>IFERROR(IF(INDEX('01_Formulario_A12'!$D:$D,MATCH("D17-DOC-PEP-001.POSITIONING.PROPOSTA_PROFISSIONAL",'01_Formulario_A12'!$A:$A,0))="","— (a preencher em 01_Formulario_A12)",INDEX('01_Formulario_A12'!$D:$D,MATCH("D17-DOC-PEP-001.POSITIONING.PROPOSTA_PROFISSIONAL",'01_Formulario_A12'!$A:$A,0))),"— (a preencher em 01_Formulario_A12)")</f>
        <v/>
      </c>
    </row>
    <row r="923">
      <c r="A923" s="13" t="inlineStr">
        <is>
          <t>D17-DOC-PEP-001.POSITIONING.ESPECIALIDADES</t>
        </is>
      </c>
      <c r="B923" s="2" t="inlineStr">
        <is>
          <t>especialidades</t>
        </is>
      </c>
      <c r="C923" s="14">
        <f>IFERROR(IF(INDEX('01_Formulario_A12'!$D:$D,MATCH("D17-DOC-PEP-001.POSITIONING.ESPECIALIDADES",'01_Formulario_A12'!$A:$A,0))="","— (a preencher em 01_Formulario_A12)",INDEX('01_Formulario_A12'!$D:$D,MATCH("D17-DOC-PEP-001.POSITIONING.ESPECIALIDADES",'01_Formulario_A12'!$A:$A,0))),"— (a preencher em 01_Formulario_A12)")</f>
        <v/>
      </c>
    </row>
    <row r="924">
      <c r="A924" s="13" t="inlineStr">
        <is>
          <t>D17-DOC-PEP-001.TARGET.CARGOS</t>
        </is>
      </c>
      <c r="B924" s="2" t="inlineStr">
        <is>
          <t>cargos</t>
        </is>
      </c>
      <c r="C924" s="14">
        <f>IFERROR(IF(INDEX('01_Formulario_A12'!$D:$D,MATCH("D17-DOC-PEP-001.TARGET.CARGOS",'01_Formulario_A12'!$A:$A,0))="","— (a preencher em 01_Formulario_A12)",INDEX('01_Formulario_A12'!$D:$D,MATCH("D17-DOC-PEP-001.TARGET.CARGOS",'01_Formulario_A12'!$A:$A,0))),"— (a preencher em 01_Formulario_A12)")</f>
        <v/>
      </c>
    </row>
    <row r="925">
      <c r="A925" s="13" t="inlineStr">
        <is>
          <t>D17-DOC-PEP-001.TARGET.EMPRESAS</t>
        </is>
      </c>
      <c r="B925" s="2" t="inlineStr">
        <is>
          <t>empresas</t>
        </is>
      </c>
      <c r="C925" s="14">
        <f>IFERROR(IF(INDEX('01_Formulario_A12'!$D:$D,MATCH("D17-DOC-PEP-001.TARGET.EMPRESAS",'01_Formulario_A12'!$A:$A,0))="","— (a preencher em 01_Formulario_A12)",INDEX('01_Formulario_A12'!$D:$D,MATCH("D17-DOC-PEP-001.TARGET.EMPRESAS",'01_Formulario_A12'!$A:$A,0))),"— (a preencher em 01_Formulario_A12)")</f>
        <v/>
      </c>
    </row>
    <row r="926">
      <c r="A926" s="13" t="inlineStr">
        <is>
          <t>D17-DOC-PEP-001.TARGET.CLIENTES</t>
        </is>
      </c>
      <c r="B926" s="2" t="inlineStr">
        <is>
          <t>clientes</t>
        </is>
      </c>
      <c r="C926" s="14">
        <f>IFERROR(IF(INDEX('01_Formulario_A12'!$D:$D,MATCH("D17-DOC-PEP-001.TARGET.CLIENTES",'01_Formulario_A12'!$A:$A,0))="","— (a preencher em 01_Formulario_A12)",INDEX('01_Formulario_A12'!$D:$D,MATCH("D17-DOC-PEP-001.TARGET.CLIENTES",'01_Formulario_A12'!$A:$A,0))),"— (a preencher em 01_Formulario_A12)")</f>
        <v/>
      </c>
    </row>
    <row r="927">
      <c r="A927" s="13" t="inlineStr">
        <is>
          <t>D17-DOC-PEP-001.TARGET.MERCADOS</t>
        </is>
      </c>
      <c r="B927" s="2" t="inlineStr">
        <is>
          <t>mercados</t>
        </is>
      </c>
      <c r="C927" s="14">
        <f>IFERROR(IF(INDEX('01_Formulario_A12'!$D:$D,MATCH("D17-DOC-PEP-001.TARGET.MERCADOS",'01_Formulario_A12'!$A:$A,0))="","— (a preencher em 01_Formulario_A12)",INDEX('01_Formulario_A12'!$D:$D,MATCH("D17-DOC-PEP-001.TARGET.MERCADOS",'01_Formulario_A12'!$A:$A,0))),"— (a preencher em 01_Formulario_A12)")</f>
        <v/>
      </c>
    </row>
    <row r="928">
      <c r="A928" s="13" t="inlineStr">
        <is>
          <t>D17-DOC-PEP-001.COMPETENCIES.COMPETENCIAS</t>
        </is>
      </c>
      <c r="B928" s="2" t="inlineStr">
        <is>
          <t>competencias</t>
        </is>
      </c>
      <c r="C928" s="14">
        <f>IFERROR(IF(INDEX('01_Formulario_A12'!$D:$D,MATCH("D17-DOC-PEP-001.COMPETENCIES.COMPETENCIAS",'01_Formulario_A12'!$A:$A,0))="","— (a preencher em 01_Formulario_A12)",INDEX('01_Formulario_A12'!$D:$D,MATCH("D17-DOC-PEP-001.COMPETENCIES.COMPETENCIAS",'01_Formulario_A12'!$A:$A,0))),"— (a preencher em 01_Formulario_A12)")</f>
        <v/>
      </c>
    </row>
    <row r="929">
      <c r="A929" s="13" t="inlineStr">
        <is>
          <t>D17-DOC-PEP-001.COMPETENCIES.NIVEL</t>
        </is>
      </c>
      <c r="B929" s="2" t="inlineStr">
        <is>
          <t>nivel</t>
        </is>
      </c>
      <c r="C929" s="14">
        <f>IFERROR(IF(INDEX('01_Formulario_A12'!$D:$D,MATCH("D17-DOC-PEP-001.COMPETENCIES.NIVEL",'01_Formulario_A12'!$A:$A,0))="","— (a preencher em 01_Formulario_A12)",INDEX('01_Formulario_A12'!$D:$D,MATCH("D17-DOC-PEP-001.COMPETENCIES.NIVEL",'01_Formulario_A12'!$A:$A,0))),"— (a preencher em 01_Formulario_A12)")</f>
        <v/>
      </c>
    </row>
    <row r="930">
      <c r="A930" s="13" t="inlineStr">
        <is>
          <t>D17-DOC-PEP-001.COMPETENCIES.EVIDENCIA</t>
        </is>
      </c>
      <c r="B930" s="2" t="inlineStr">
        <is>
          <t>evidencia</t>
        </is>
      </c>
      <c r="C930" s="14">
        <f>IFERROR(IF(INDEX('01_Formulario_A12'!$D:$D,MATCH("D17-DOC-PEP-001.COMPETENCIES.EVIDENCIA",'01_Formulario_A12'!$A:$A,0))="","— (a preencher em 01_Formulario_A12)",INDEX('01_Formulario_A12'!$D:$D,MATCH("D17-DOC-PEP-001.COMPETENCIES.EVIDENCIA",'01_Formulario_A12'!$A:$A,0))),"— (a preencher em 01_Formulario_A12)")</f>
        <v/>
      </c>
    </row>
    <row r="931">
      <c r="A931" s="13" t="inlineStr">
        <is>
          <t>D17-DOC-PEP-001.GAPS.LACUNA</t>
        </is>
      </c>
      <c r="B931" s="2" t="inlineStr">
        <is>
          <t>lacuna</t>
        </is>
      </c>
      <c r="C931" s="14">
        <f>IFERROR(IF(INDEX('01_Formulario_A12'!$D:$D,MATCH("D17-DOC-PEP-001.GAPS.LACUNA",'01_Formulario_A12'!$A:$A,0))="","— (a preencher em 01_Formulario_A12)",INDEX('01_Formulario_A12'!$D:$D,MATCH("D17-DOC-PEP-001.GAPS.LACUNA",'01_Formulario_A12'!$A:$A,0))),"— (a preencher em 01_Formulario_A12)")</f>
        <v/>
      </c>
    </row>
    <row r="932">
      <c r="A932" s="13" t="inlineStr">
        <is>
          <t>D17-DOC-PEP-001.GAPS.PLANO_DE_DESENVOLVIMENTO</t>
        </is>
      </c>
      <c r="B932" s="2" t="inlineStr">
        <is>
          <t>plano_de_desenvolvimento</t>
        </is>
      </c>
      <c r="C932" s="14">
        <f>IFERROR(IF(INDEX('01_Formulario_A12'!$D:$D,MATCH("D17-DOC-PEP-001.GAPS.PLANO_DE_DESENVOLVIMENTO",'01_Formulario_A12'!$A:$A,0))="","— (a preencher em 01_Formulario_A12)",INDEX('01_Formulario_A12'!$D:$D,MATCH("D17-DOC-PEP-001.GAPS.PLANO_DE_DESENVOLVIMENTO",'01_Formulario_A12'!$A:$A,0))),"— (a preencher em 01_Formulario_A12)")</f>
        <v/>
      </c>
    </row>
    <row r="933">
      <c r="A933" s="13" t="inlineStr">
        <is>
          <t>D17-DOC-PEP-001.PORTFOLIO_INVENTORY.PROJETO</t>
        </is>
      </c>
      <c r="B933" s="2" t="inlineStr">
        <is>
          <t>projeto</t>
        </is>
      </c>
      <c r="C933" s="14">
        <f>IFERROR(IF(INDEX('01_Formulario_A12'!$D:$D,MATCH("D17-DOC-PEP-001.PORTFOLIO_INVENTORY.PROJETO",'01_Formulario_A12'!$A:$A,0))="","— (a preencher em 01_Formulario_A12)",INDEX('01_Formulario_A12'!$D:$D,MATCH("D17-DOC-PEP-001.PORTFOLIO_INVENTORY.PROJETO",'01_Formulario_A12'!$A:$A,0))),"— (a preencher em 01_Formulario_A12)")</f>
        <v/>
      </c>
    </row>
    <row r="934">
      <c r="A934" s="13" t="inlineStr">
        <is>
          <t>D17-DOC-PEP-001.PORTFOLIO_INVENTORY.PAPEL</t>
        </is>
      </c>
      <c r="B934" s="2" t="inlineStr">
        <is>
          <t>papel</t>
        </is>
      </c>
      <c r="C934" s="14">
        <f>IFERROR(IF(INDEX('01_Formulario_A12'!$D:$D,MATCH("D17-DOC-PEP-001.PORTFOLIO_INVENTORY.PAPEL",'01_Formulario_A12'!$A:$A,0))="","— (a preencher em 01_Formulario_A12)",INDEX('01_Formulario_A12'!$D:$D,MATCH("D17-DOC-PEP-001.PORTFOLIO_INVENTORY.PAPEL",'01_Formulario_A12'!$A:$A,0))),"— (a preencher em 01_Formulario_A12)")</f>
        <v/>
      </c>
    </row>
    <row r="935">
      <c r="A935" s="13" t="inlineStr">
        <is>
          <t>D17-DOC-PEP-001.PORTFOLIO_INVENTORY.RESULTADO</t>
        </is>
      </c>
      <c r="B935" s="2" t="inlineStr">
        <is>
          <t>resultado</t>
        </is>
      </c>
      <c r="C935" s="14">
        <f>IFERROR(IF(INDEX('01_Formulario_A12'!$D:$D,MATCH("D17-DOC-PEP-001.PORTFOLIO_INVENTORY.RESULTADO",'01_Formulario_A12'!$A:$A,0))="","— (a preencher em 01_Formulario_A12)",INDEX('01_Formulario_A12'!$D:$D,MATCH("D17-DOC-PEP-001.PORTFOLIO_INVENTORY.RESULTADO",'01_Formulario_A12'!$A:$A,0))),"— (a preencher em 01_Formulario_A12)")</f>
        <v/>
      </c>
    </row>
    <row r="936">
      <c r="A936" s="13" t="inlineStr">
        <is>
          <t>D17-DOC-PEP-001.CASE_STUDIES.PROBLEMA</t>
        </is>
      </c>
      <c r="B936" s="2" t="inlineStr">
        <is>
          <t>problema</t>
        </is>
      </c>
      <c r="C936" s="14">
        <f>IFERROR(IF(INDEX('01_Formulario_A12'!$D:$D,MATCH("D17-DOC-PEP-001.CASE_STUDIES.PROBLEMA",'01_Formulario_A12'!$A:$A,0))="","— (a preencher em 01_Formulario_A12)",INDEX('01_Formulario_A12'!$D:$D,MATCH("D17-DOC-PEP-001.CASE_STUDIES.PROBLEMA",'01_Formulario_A12'!$A:$A,0))),"— (a preencher em 01_Formulario_A12)")</f>
        <v/>
      </c>
    </row>
    <row r="937">
      <c r="A937" s="13" t="inlineStr">
        <is>
          <t>D17-DOC-PEP-001.CASE_STUDIES.ACAO</t>
        </is>
      </c>
      <c r="B937" s="2" t="inlineStr">
        <is>
          <t>acao</t>
        </is>
      </c>
      <c r="C937" s="14">
        <f>IFERROR(IF(INDEX('01_Formulario_A12'!$D:$D,MATCH("D17-DOC-PEP-001.CASE_STUDIES.ACAO",'01_Formulario_A12'!$A:$A,0))="","— (a preencher em 01_Formulario_A12)",INDEX('01_Formulario_A12'!$D:$D,MATCH("D17-DOC-PEP-001.CASE_STUDIES.ACAO",'01_Formulario_A12'!$A:$A,0))),"— (a preencher em 01_Formulario_A12)")</f>
        <v/>
      </c>
    </row>
    <row r="938">
      <c r="A938" s="13" t="inlineStr">
        <is>
          <t>D17-DOC-PEP-001.CASE_STUDIES.RESULTADO</t>
        </is>
      </c>
      <c r="B938" s="2" t="inlineStr">
        <is>
          <t>resultado</t>
        </is>
      </c>
      <c r="C938" s="14">
        <f>IFERROR(IF(INDEX('01_Formulario_A12'!$D:$D,MATCH("D17-DOC-PEP-001.CASE_STUDIES.RESULTADO",'01_Formulario_A12'!$A:$A,0))="","— (a preencher em 01_Formulario_A12)",INDEX('01_Formulario_A12'!$D:$D,MATCH("D17-DOC-PEP-001.CASE_STUDIES.RESULTADO",'01_Formulario_A12'!$A:$A,0))),"— (a preencher em 01_Formulario_A12)")</f>
        <v/>
      </c>
    </row>
    <row r="939">
      <c r="A939" s="13" t="inlineStr">
        <is>
          <t>D17-DOC-PEP-001.CASE_STUDIES.EVIDENCIA</t>
        </is>
      </c>
      <c r="B939" s="2" t="inlineStr">
        <is>
          <t>evidencia</t>
        </is>
      </c>
      <c r="C939" s="14">
        <f>IFERROR(IF(INDEX('01_Formulario_A12'!$D:$D,MATCH("D17-DOC-PEP-001.CASE_STUDIES.EVIDENCIA",'01_Formulario_A12'!$A:$A,0))="","— (a preencher em 01_Formulario_A12)",INDEX('01_Formulario_A12'!$D:$D,MATCH("D17-DOC-PEP-001.CASE_STUDIES.EVIDENCIA",'01_Formulario_A12'!$A:$A,0))),"— (a preencher em 01_Formulario_A12)")</f>
        <v/>
      </c>
    </row>
    <row r="940">
      <c r="A940" s="13" t="inlineStr">
        <is>
          <t>D17-DOC-PEP-001.CREDENTIALS.FORMACAO</t>
        </is>
      </c>
      <c r="B940" s="2" t="inlineStr">
        <is>
          <t>formacao</t>
        </is>
      </c>
      <c r="C940" s="14">
        <f>IFERROR(IF(INDEX('01_Formulario_A12'!$D:$D,MATCH("D17-DOC-PEP-001.CREDENTIALS.FORMACAO",'01_Formulario_A12'!$A:$A,0))="","— (a preencher em 01_Formulario_A12)",INDEX('01_Formulario_A12'!$D:$D,MATCH("D17-DOC-PEP-001.CREDENTIALS.FORMACAO",'01_Formulario_A12'!$A:$A,0))),"— (a preencher em 01_Formulario_A12)")</f>
        <v/>
      </c>
    </row>
    <row r="941">
      <c r="A941" s="13" t="inlineStr">
        <is>
          <t>D17-DOC-PEP-001.CREDENTIALS.CERTIFICACAO</t>
        </is>
      </c>
      <c r="B941" s="2" t="inlineStr">
        <is>
          <t>certificacao</t>
        </is>
      </c>
      <c r="C941" s="14">
        <f>IFERROR(IF(INDEX('01_Formulario_A12'!$D:$D,MATCH("D17-DOC-PEP-001.CREDENTIALS.CERTIFICACAO",'01_Formulario_A12'!$A:$A,0))="","— (a preencher em 01_Formulario_A12)",INDEX('01_Formulario_A12'!$D:$D,MATCH("D17-DOC-PEP-001.CREDENTIALS.CERTIFICACAO",'01_Formulario_A12'!$A:$A,0))),"— (a preencher em 01_Formulario_A12)")</f>
        <v/>
      </c>
    </row>
    <row r="942">
      <c r="A942" s="13" t="inlineStr">
        <is>
          <t>D17-DOC-PEP-001.ASSETS.CURRICULO</t>
        </is>
      </c>
      <c r="B942" s="2" t="inlineStr">
        <is>
          <t>curriculo</t>
        </is>
      </c>
      <c r="C942" s="14">
        <f>IFERROR(IF(INDEX('01_Formulario_A12'!$D:$D,MATCH("D17-DOC-PEP-001.ASSETS.CURRICULO",'01_Formulario_A12'!$A:$A,0))="","— (a preencher em 01_Formulario_A12)",INDEX('01_Formulario_A12'!$D:$D,MATCH("D17-DOC-PEP-001.ASSETS.CURRICULO",'01_Formulario_A12'!$A:$A,0))),"— (a preencher em 01_Formulario_A12)")</f>
        <v/>
      </c>
    </row>
    <row r="943">
      <c r="A943" s="13" t="inlineStr">
        <is>
          <t>D17-DOC-PEP-001.ASSETS.LINKEDIN</t>
        </is>
      </c>
      <c r="B943" s="2" t="inlineStr">
        <is>
          <t>linkedin</t>
        </is>
      </c>
      <c r="C943" s="14">
        <f>IFERROR(IF(INDEX('01_Formulario_A12'!$D:$D,MATCH("D17-DOC-PEP-001.ASSETS.LINKEDIN",'01_Formulario_A12'!$A:$A,0))="","— (a preencher em 01_Formulario_A12)",INDEX('01_Formulario_A12'!$D:$D,MATCH("D17-DOC-PEP-001.ASSETS.LINKEDIN",'01_Formulario_A12'!$A:$A,0))),"— (a preencher em 01_Formulario_A12)")</f>
        <v/>
      </c>
    </row>
    <row r="944">
      <c r="A944" s="13" t="inlineStr">
        <is>
          <t>D17-DOC-PEP-001.ASSETS.SITE</t>
        </is>
      </c>
      <c r="B944" s="2" t="inlineStr">
        <is>
          <t>site</t>
        </is>
      </c>
      <c r="C944" s="14">
        <f>IFERROR(IF(INDEX('01_Formulario_A12'!$D:$D,MATCH("D17-DOC-PEP-001.ASSETS.SITE",'01_Formulario_A12'!$A:$A,0))="","— (a preencher em 01_Formulario_A12)",INDEX('01_Formulario_A12'!$D:$D,MATCH("D17-DOC-PEP-001.ASSETS.SITE",'01_Formulario_A12'!$A:$A,0))),"— (a preencher em 01_Formulario_A12)")</f>
        <v/>
      </c>
    </row>
    <row r="945">
      <c r="A945" s="13" t="inlineStr">
        <is>
          <t>D17-DOC-PEP-001.ASSETS.PORTFOLIO</t>
        </is>
      </c>
      <c r="B945" s="2" t="inlineStr">
        <is>
          <t>portfolio</t>
        </is>
      </c>
      <c r="C945" s="14">
        <f>IFERROR(IF(INDEX('01_Formulario_A12'!$D:$D,MATCH("D17-DOC-PEP-001.ASSETS.PORTFOLIO",'01_Formulario_A12'!$A:$A,0))="","— (a preencher em 01_Formulario_A12)",INDEX('01_Formulario_A12'!$D:$D,MATCH("D17-DOC-PEP-001.ASSETS.PORTFOLIO",'01_Formulario_A12'!$A:$A,0))),"— (a preencher em 01_Formulario_A12)")</f>
        <v/>
      </c>
    </row>
    <row r="946">
      <c r="A946" s="13" t="inlineStr">
        <is>
          <t>D17-DOC-PEP-001.APPLICATIONS.OPORTUNIDADE</t>
        </is>
      </c>
      <c r="B946" s="2" t="inlineStr">
        <is>
          <t>oportunidade</t>
        </is>
      </c>
      <c r="C946" s="14">
        <f>IFERROR(IF(INDEX('01_Formulario_A12'!$D:$D,MATCH("D17-DOC-PEP-001.APPLICATIONS.OPORTUNIDADE",'01_Formulario_A12'!$A:$A,0))="","— (a preencher em 01_Formulario_A12)",INDEX('01_Formulario_A12'!$D:$D,MATCH("D17-DOC-PEP-001.APPLICATIONS.OPORTUNIDADE",'01_Formulario_A12'!$A:$A,0))),"— (a preencher em 01_Formulario_A12)")</f>
        <v/>
      </c>
    </row>
    <row r="947">
      <c r="A947" s="13" t="inlineStr">
        <is>
          <t>D17-DOC-PEP-001.APPLICATIONS.STATUS</t>
        </is>
      </c>
      <c r="B947" s="2" t="inlineStr">
        <is>
          <t>status</t>
        </is>
      </c>
      <c r="C947" s="14">
        <f>IFERROR(IF(INDEX('01_Formulario_A12'!$D:$D,MATCH("D17-DOC-PEP-001.APPLICATIONS.STATUS",'01_Formulario_A12'!$A:$A,0))="","— (a preencher em 01_Formulario_A12)",INDEX('01_Formulario_A12'!$D:$D,MATCH("D17-DOC-PEP-001.APPLICATIONS.STATUS",'01_Formulario_A12'!$A:$A,0))),"— (a preencher em 01_Formulario_A12)")</f>
        <v/>
      </c>
    </row>
    <row r="948">
      <c r="A948" s="13" t="inlineStr">
        <is>
          <t>D17-DOC-PEP-001.OUTREACH.CONTATO</t>
        </is>
      </c>
      <c r="B948" s="2" t="inlineStr">
        <is>
          <t>contato</t>
        </is>
      </c>
      <c r="C948" s="14">
        <f>IFERROR(IF(INDEX('01_Formulario_A12'!$D:$D,MATCH("D17-DOC-PEP-001.OUTREACH.CONTATO",'01_Formulario_A12'!$A:$A,0))="","— (a preencher em 01_Formulario_A12)",INDEX('01_Formulario_A12'!$D:$D,MATCH("D17-DOC-PEP-001.OUTREACH.CONTATO",'01_Formulario_A12'!$A:$A,0))),"— (a preencher em 01_Formulario_A12)")</f>
        <v/>
      </c>
    </row>
    <row r="949">
      <c r="A949" s="13" t="inlineStr">
        <is>
          <t>D17-DOC-PEP-001.OUTREACH.CANAL</t>
        </is>
      </c>
      <c r="B949" s="2" t="inlineStr">
        <is>
          <t>canal</t>
        </is>
      </c>
      <c r="C949" s="14">
        <f>IFERROR(IF(INDEX('01_Formulario_A12'!$D:$D,MATCH("D17-DOC-PEP-001.OUTREACH.CANAL",'01_Formulario_A12'!$A:$A,0))="","— (a preencher em 01_Formulario_A12)",INDEX('01_Formulario_A12'!$D:$D,MATCH("D17-DOC-PEP-001.OUTREACH.CANAL",'01_Formulario_A12'!$A:$A,0))),"— (a preencher em 01_Formulario_A12)")</f>
        <v/>
      </c>
    </row>
    <row r="950">
      <c r="A950" s="13" t="inlineStr">
        <is>
          <t>D17-DOC-PEP-001.OUTREACH.PROXIMA_ACAO</t>
        </is>
      </c>
      <c r="B950" s="2" t="inlineStr">
        <is>
          <t>proxima_acao</t>
        </is>
      </c>
      <c r="C950" s="14">
        <f>IFERROR(IF(INDEX('01_Formulario_A12'!$D:$D,MATCH("D17-DOC-PEP-001.OUTREACH.PROXIMA_ACAO",'01_Formulario_A12'!$A:$A,0))="","— (a preencher em 01_Formulario_A12)",INDEX('01_Formulario_A12'!$D:$D,MATCH("D17-DOC-PEP-001.OUTREACH.PROXIMA_ACAO",'01_Formulario_A12'!$A:$A,0))),"— (a preencher em 01_Formulario_A12)")</f>
        <v/>
      </c>
    </row>
    <row r="951">
      <c r="A951" s="13" t="inlineStr">
        <is>
          <t>D17-DOC-PEP-001.INTERVIEWS.EMPRESA</t>
        </is>
      </c>
      <c r="B951" s="2" t="inlineStr">
        <is>
          <t>empresa</t>
        </is>
      </c>
      <c r="C951" s="14">
        <f>IFERROR(IF(INDEX('01_Formulario_A12'!$D:$D,MATCH("D17-DOC-PEP-001.INTERVIEWS.EMPRESA",'01_Formulario_A12'!$A:$A,0))="","— (a preencher em 01_Formulario_A12)",INDEX('01_Formulario_A12'!$D:$D,MATCH("D17-DOC-PEP-001.INTERVIEWS.EMPRESA",'01_Formulario_A12'!$A:$A,0))),"— (a preencher em 01_Formulario_A12)")</f>
        <v/>
      </c>
    </row>
    <row r="952">
      <c r="A952" s="13" t="inlineStr">
        <is>
          <t>D17-DOC-PEP-001.INTERVIEWS.ETAPA</t>
        </is>
      </c>
      <c r="B952" s="2" t="inlineStr">
        <is>
          <t>etapa</t>
        </is>
      </c>
      <c r="C952" s="14">
        <f>IFERROR(IF(INDEX('01_Formulario_A12'!$D:$D,MATCH("D17-DOC-PEP-001.INTERVIEWS.ETAPA",'01_Formulario_A12'!$A:$A,0))="","— (a preencher em 01_Formulario_A12)",INDEX('01_Formulario_A12'!$D:$D,MATCH("D17-DOC-PEP-001.INTERVIEWS.ETAPA",'01_Formulario_A12'!$A:$A,0))),"— (a preencher em 01_Formulario_A12)")</f>
        <v/>
      </c>
    </row>
    <row r="953">
      <c r="A953" s="13" t="inlineStr">
        <is>
          <t>D17-DOC-PEP-001.INTERVIEWS.PREPARACAO</t>
        </is>
      </c>
      <c r="B953" s="2" t="inlineStr">
        <is>
          <t>preparacao</t>
        </is>
      </c>
      <c r="C953" s="14">
        <f>IFERROR(IF(INDEX('01_Formulario_A12'!$D:$D,MATCH("D17-DOC-PEP-001.INTERVIEWS.PREPARACAO",'01_Formulario_A12'!$A:$A,0))="","— (a preencher em 01_Formulario_A12)",INDEX('01_Formulario_A12'!$D:$D,MATCH("D17-DOC-PEP-001.INTERVIEWS.PREPARACAO",'01_Formulario_A12'!$A:$A,0))),"— (a preencher em 01_Formulario_A12)")</f>
        <v/>
      </c>
    </row>
    <row r="954">
      <c r="A954" s="13" t="inlineStr">
        <is>
          <t>D17-DOC-PEP-001.ROADMAP.MARCOS</t>
        </is>
      </c>
      <c r="B954" s="2" t="inlineStr">
        <is>
          <t>marcos</t>
        </is>
      </c>
      <c r="C954" s="14">
        <f>IFERROR(IF(INDEX('01_Formulario_A12'!$D:$D,MATCH("D17-DOC-PEP-001.ROADMAP.MARCOS",'01_Formulario_A12'!$A:$A,0))="","— (a preencher em 01_Formulario_A12)",INDEX('01_Formulario_A12'!$D:$D,MATCH("D17-DOC-PEP-001.ROADMAP.MARCOS",'01_Formulario_A12'!$A:$A,0))),"— (a preencher em 01_Formulario_A12)")</f>
        <v/>
      </c>
    </row>
    <row r="955">
      <c r="A955" s="13" t="inlineStr">
        <is>
          <t>D17-DOC-PEP-001.ROADMAP.DATAS</t>
        </is>
      </c>
      <c r="B955" s="2" t="inlineStr">
        <is>
          <t>datas</t>
        </is>
      </c>
      <c r="C955" s="14">
        <f>IFERROR(IF(INDEX('01_Formulario_A12'!$D:$D,MATCH("D17-DOC-PEP-001.ROADMAP.DATAS",'01_Formulario_A12'!$A:$A,0))="","— (a preencher em 01_Formulario_A12)",INDEX('01_Formulario_A12'!$D:$D,MATCH("D17-DOC-PEP-001.ROADMAP.DATAS",'01_Formulario_A12'!$A:$A,0))),"— (a preencher em 01_Formulario_A12)")</f>
        <v/>
      </c>
    </row>
    <row r="956">
      <c r="A956" s="13" t="inlineStr">
        <is>
          <t>D17-DOC-PEP-001.METRICS.APLICACOES</t>
        </is>
      </c>
      <c r="B956" s="2" t="inlineStr">
        <is>
          <t>aplicacoes</t>
        </is>
      </c>
      <c r="C956" s="14">
        <f>IFERROR(IF(INDEX('01_Formulario_A12'!$D:$D,MATCH("D17-DOC-PEP-001.METRICS.APLICACOES",'01_Formulario_A12'!$A:$A,0))="","— (a preencher em 01_Formulario_A12)",INDEX('01_Formulario_A12'!$D:$D,MATCH("D17-DOC-PEP-001.METRICS.APLICACOES",'01_Formulario_A12'!$A:$A,0))),"— (a preencher em 01_Formulario_A12)")</f>
        <v/>
      </c>
    </row>
    <row r="957">
      <c r="A957" s="13" t="inlineStr">
        <is>
          <t>D17-DOC-PEP-001.METRICS.ENTREVISTAS</t>
        </is>
      </c>
      <c r="B957" s="2" t="inlineStr">
        <is>
          <t>entrevistas</t>
        </is>
      </c>
      <c r="C957" s="14">
        <f>IFERROR(IF(INDEX('01_Formulario_A12'!$D:$D,MATCH("D17-DOC-PEP-001.METRICS.ENTREVISTAS",'01_Formulario_A12'!$A:$A,0))="","— (a preencher em 01_Formulario_A12)",INDEX('01_Formulario_A12'!$D:$D,MATCH("D17-DOC-PEP-001.METRICS.ENTREVISTAS",'01_Formulario_A12'!$A:$A,0))),"— (a preencher em 01_Formulario_A12)")</f>
        <v/>
      </c>
    </row>
    <row r="958">
      <c r="A958" s="13" t="inlineStr">
        <is>
          <t>D17-DOC-PEP-001.METRICS.CONVERSAO</t>
        </is>
      </c>
      <c r="B958" s="2" t="inlineStr">
        <is>
          <t>conversao</t>
        </is>
      </c>
      <c r="C958" s="14">
        <f>IFERROR(IF(INDEX('01_Formulario_A12'!$D:$D,MATCH("D17-DOC-PEP-001.METRICS.CONVERSAO",'01_Formulario_A12'!$A:$A,0))="","— (a preencher em 01_Formulario_A12)",INDEX('01_Formulario_A12'!$D:$D,MATCH("D17-DOC-PEP-001.METRICS.CONVERSAO",'01_Formulario_A12'!$A:$A,0))),"— (a preencher em 01_Formulario_A12)")</f>
        <v/>
      </c>
    </row>
    <row r="959">
      <c r="A959" s="5" t="inlineStr">
        <is>
          <t>D18-DOC-PCE-001 — Plano de Contratos e Esquemas [PRE_PREENCHIDO/PENDENTE]</t>
        </is>
      </c>
      <c r="B959" s="6" t="n"/>
      <c r="C959" s="7" t="n"/>
    </row>
    <row r="960">
      <c r="A960" s="13" t="inlineStr">
        <is>
          <t>D18-DOC-PCE-001.CONTRACT_INVENTORY.CONTRATO</t>
        </is>
      </c>
      <c r="B960" s="2" t="inlineStr">
        <is>
          <t>contrato</t>
        </is>
      </c>
      <c r="C960" s="14">
        <f>IFERROR(IF(INDEX('01_Formulario_A00'!$D:$D,MATCH("D18-DOC-PCE-001.CONTRACT_INVENTORY.CONTRATO",'01_Formulario_A00'!$A:$A,0))="","— (a preencher em 01_Formulario_A00)",INDEX('01_Formulario_A00'!$D:$D,MATCH("D18-DOC-PCE-001.CONTRACT_INVENTORY.CONTRATO",'01_Formulario_A00'!$A:$A,0))),"— (a preencher em 01_Formulario_A00)")</f>
        <v/>
      </c>
    </row>
    <row r="961">
      <c r="A961" s="13" t="inlineStr">
        <is>
          <t>D18-DOC-PCE-001.CONTRACT_INVENTORY.TIPO</t>
        </is>
      </c>
      <c r="B961" s="2" t="inlineStr">
        <is>
          <t>tipo</t>
        </is>
      </c>
      <c r="C961" s="14">
        <f>IFERROR(IF(INDEX('01_Formulario_A00'!$D:$D,MATCH("D18-DOC-PCE-001.CONTRACT_INVENTORY.TIPO",'01_Formulario_A00'!$A:$A,0))="","— (a preencher em 01_Formulario_A00)",INDEX('01_Formulario_A00'!$D:$D,MATCH("D18-DOC-PCE-001.CONTRACT_INVENTORY.TIPO",'01_Formulario_A00'!$A:$A,0))),"— (a preencher em 01_Formulario_A00)")</f>
        <v/>
      </c>
    </row>
    <row r="962">
      <c r="A962" s="13" t="inlineStr">
        <is>
          <t>D18-DOC-PCE-001.CONTRACT_INVENTORY.OWNER</t>
        </is>
      </c>
      <c r="B962" s="2" t="inlineStr">
        <is>
          <t>owner</t>
        </is>
      </c>
      <c r="C962" s="14">
        <f>IFERROR(IF(INDEX('01_Formulario_A00'!$D:$D,MATCH("D18-DOC-PCE-001.CONTRACT_INVENTORY.OWNER",'01_Formulario_A00'!$A:$A,0))="","— (a preencher em 01_Formulario_A00)",INDEX('01_Formulario_A00'!$D:$D,MATCH("D18-DOC-PCE-001.CONTRACT_INVENTORY.OWNER",'01_Formulario_A00'!$A:$A,0))),"— (a preencher em 01_Formulario_A00)")</f>
        <v/>
      </c>
    </row>
    <row r="963">
      <c r="A963" s="13" t="inlineStr">
        <is>
          <t>D18-DOC-PCE-001.DOCUMENT_SCHEMAS.DOCUMENTO</t>
        </is>
      </c>
      <c r="B963" s="2" t="inlineStr">
        <is>
          <t>documento</t>
        </is>
      </c>
      <c r="C963" s="14">
        <f>IFERROR(IF(INDEX('01_Formulario_A00'!$D:$D,MATCH("D18-DOC-PCE-001.DOCUMENT_SCHEMAS.DOCUMENTO",'01_Formulario_A00'!$A:$A,0))="","— (a preencher em 01_Formulario_A00)",INDEX('01_Formulario_A00'!$D:$D,MATCH("D18-DOC-PCE-001.DOCUMENT_SCHEMAS.DOCUMENTO",'01_Formulario_A00'!$A:$A,0))),"— (a preencher em 01_Formulario_A00)")</f>
        <v/>
      </c>
    </row>
    <row r="964">
      <c r="A964" s="13" t="inlineStr">
        <is>
          <t>D18-DOC-PCE-001.DOCUMENT_SCHEMAS.SCHEMA</t>
        </is>
      </c>
      <c r="B964" s="2" t="inlineStr">
        <is>
          <t>schema</t>
        </is>
      </c>
      <c r="C964" s="14">
        <f>IFERROR(IF(INDEX('01_Formulario_A00'!$D:$D,MATCH("D18-DOC-PCE-001.DOCUMENT_SCHEMAS.SCHEMA",'01_Formulario_A00'!$A:$A,0))="","— (a preencher em 01_Formulario_A00)",INDEX('01_Formulario_A00'!$D:$D,MATCH("D18-DOC-PCE-001.DOCUMENT_SCHEMAS.SCHEMA",'01_Formulario_A00'!$A:$A,0))),"— (a preencher em 01_Formulario_A00)")</f>
        <v/>
      </c>
    </row>
    <row r="965">
      <c r="A965" s="13" t="inlineStr">
        <is>
          <t>D18-DOC-PCE-001.DATA_CONTRACTS.PRODUCER</t>
        </is>
      </c>
      <c r="B965" s="2" t="inlineStr">
        <is>
          <t>producer</t>
        </is>
      </c>
      <c r="C965" s="14">
        <f>IFERROR(IF(INDEX('01_Formulario_A00'!$D:$D,MATCH("D18-DOC-PCE-001.DATA_CONTRACTS.PRODUCER",'01_Formulario_A00'!$A:$A,0))="","— (a preencher em 01_Formulario_A00)",INDEX('01_Formulario_A00'!$D:$D,MATCH("D18-DOC-PCE-001.DATA_CONTRACTS.PRODUCER",'01_Formulario_A00'!$A:$A,0))),"— (a preencher em 01_Formulario_A00)")</f>
        <v/>
      </c>
    </row>
    <row r="966">
      <c r="A966" s="13" t="inlineStr">
        <is>
          <t>D18-DOC-PCE-001.DATA_CONTRACTS.CONSUMER</t>
        </is>
      </c>
      <c r="B966" s="2" t="inlineStr">
        <is>
          <t>consumer</t>
        </is>
      </c>
      <c r="C966" s="14">
        <f>IFERROR(IF(INDEX('01_Formulario_A00'!$D:$D,MATCH("D18-DOC-PCE-001.DATA_CONTRACTS.CONSUMER",'01_Formulario_A00'!$A:$A,0))="","— (a preencher em 01_Formulario_A00)",INDEX('01_Formulario_A00'!$D:$D,MATCH("D18-DOC-PCE-001.DATA_CONTRACTS.CONSUMER",'01_Formulario_A00'!$A:$A,0))),"— (a preencher em 01_Formulario_A00)")</f>
        <v/>
      </c>
    </row>
    <row r="967">
      <c r="A967" s="13" t="inlineStr">
        <is>
          <t>D18-DOC-PCE-001.DATA_CONTRACTS.PAYLOAD</t>
        </is>
      </c>
      <c r="B967" s="2" t="inlineStr">
        <is>
          <t>payload</t>
        </is>
      </c>
      <c r="C967" s="14">
        <f>IFERROR(IF(INDEX('01_Formulario_A00'!$D:$D,MATCH("D18-DOC-PCE-001.DATA_CONTRACTS.PAYLOAD",'01_Formulario_A00'!$A:$A,0))="","— (a preencher em 01_Formulario_A00)",INDEX('01_Formulario_A00'!$D:$D,MATCH("D18-DOC-PCE-001.DATA_CONTRACTS.PAYLOAD",'01_Formulario_A00'!$A:$A,0))),"— (a preencher em 01_Formulario_A00)")</f>
        <v/>
      </c>
    </row>
    <row r="968">
      <c r="A968" s="13" t="inlineStr">
        <is>
          <t>D18-DOC-PCE-001.API_CONTRACTS.ENDPOINT</t>
        </is>
      </c>
      <c r="B968" s="2" t="inlineStr">
        <is>
          <t>endpoint</t>
        </is>
      </c>
      <c r="C968" s="14">
        <f>IFERROR(IF(INDEX('01_Formulario_A00'!$D:$D,MATCH("D18-DOC-PCE-001.API_CONTRACTS.ENDPOINT",'01_Formulario_A00'!$A:$A,0))="","— (a preencher em 01_Formulario_A00)",INDEX('01_Formulario_A00'!$D:$D,MATCH("D18-DOC-PCE-001.API_CONTRACTS.ENDPOINT",'01_Formulario_A00'!$A:$A,0))),"— (a preencher em 01_Formulario_A00)")</f>
        <v/>
      </c>
    </row>
    <row r="969">
      <c r="A969" s="13" t="inlineStr">
        <is>
          <t>D18-DOC-PCE-001.API_CONTRACTS.REQUEST</t>
        </is>
      </c>
      <c r="B969" s="2" t="inlineStr">
        <is>
          <t>request</t>
        </is>
      </c>
      <c r="C969" s="14">
        <f>IFERROR(IF(INDEX('01_Formulario_A00'!$D:$D,MATCH("D18-DOC-PCE-001.API_CONTRACTS.REQUEST",'01_Formulario_A00'!$A:$A,0))="","— (a preencher em 01_Formulario_A00)",INDEX('01_Formulario_A00'!$D:$D,MATCH("D18-DOC-PCE-001.API_CONTRACTS.REQUEST",'01_Formulario_A00'!$A:$A,0))),"— (a preencher em 01_Formulario_A00)")</f>
        <v/>
      </c>
    </row>
    <row r="970">
      <c r="A970" s="13" t="inlineStr">
        <is>
          <t>D18-DOC-PCE-001.API_CONTRACTS.RESPONSE</t>
        </is>
      </c>
      <c r="B970" s="2" t="inlineStr">
        <is>
          <t>response</t>
        </is>
      </c>
      <c r="C970" s="14">
        <f>IFERROR(IF(INDEX('01_Formulario_A00'!$D:$D,MATCH("D18-DOC-PCE-001.API_CONTRACTS.RESPONSE",'01_Formulario_A00'!$A:$A,0))="","— (a preencher em 01_Formulario_A00)",INDEX('01_Formulario_A00'!$D:$D,MATCH("D18-DOC-PCE-001.API_CONTRACTS.RESPONSE",'01_Formulario_A00'!$A:$A,0))),"— (a preencher em 01_Formulario_A00)")</f>
        <v/>
      </c>
    </row>
    <row r="971">
      <c r="A971" s="13" t="inlineStr">
        <is>
          <t>D18-DOC-PCE-001.EVENT_CONTRACTS.EVENTO</t>
        </is>
      </c>
      <c r="B971" s="2" t="inlineStr">
        <is>
          <t>evento</t>
        </is>
      </c>
      <c r="C971" s="14">
        <f>IFERROR(IF(INDEX('01_Formulario_A00'!$D:$D,MATCH("D18-DOC-PCE-001.EVENT_CONTRACTS.EVENTO",'01_Formulario_A00'!$A:$A,0))="","— (a preencher em 01_Formulario_A00)",INDEX('01_Formulario_A00'!$D:$D,MATCH("D18-DOC-PCE-001.EVENT_CONTRACTS.EVENTO",'01_Formulario_A00'!$A:$A,0))),"— (a preencher em 01_Formulario_A00)")</f>
        <v/>
      </c>
    </row>
    <row r="972">
      <c r="A972" s="13" t="inlineStr">
        <is>
          <t>D18-DOC-PCE-001.EVENT_CONTRACTS.PROPRIEDADES</t>
        </is>
      </c>
      <c r="B972" s="2" t="inlineStr">
        <is>
          <t>propriedades</t>
        </is>
      </c>
      <c r="C972" s="14">
        <f>IFERROR(IF(INDEX('01_Formulario_A00'!$D:$D,MATCH("D18-DOC-PCE-001.EVENT_CONTRACTS.PROPRIEDADES",'01_Formulario_A00'!$A:$A,0))="","— (a preencher em 01_Formulario_A00)",INDEX('01_Formulario_A00'!$D:$D,MATCH("D18-DOC-PCE-001.EVENT_CONTRACTS.PROPRIEDADES",'01_Formulario_A00'!$A:$A,0))),"— (a preencher em 01_Formulario_A00)")</f>
        <v/>
      </c>
    </row>
    <row r="973">
      <c r="A973" s="13" t="inlineStr">
        <is>
          <t>D18-DOC-PCE-001.WORKFLOW_CONTRACTS.ENTRADA</t>
        </is>
      </c>
      <c r="B973" s="2" t="inlineStr">
        <is>
          <t>entrada</t>
        </is>
      </c>
      <c r="C973" s="14">
        <f>IFERROR(IF(INDEX('01_Formulario_A00'!$D:$D,MATCH("D18-DOC-PCE-001.WORKFLOW_CONTRACTS.ENTRADA",'01_Formulario_A00'!$A:$A,0))="","— (a preencher em 01_Formulario_A00)",INDEX('01_Formulario_A00'!$D:$D,MATCH("D18-DOC-PCE-001.WORKFLOW_CONTRACTS.ENTRADA",'01_Formulario_A00'!$A:$A,0))),"— (a preencher em 01_Formulario_A00)")</f>
        <v/>
      </c>
    </row>
    <row r="974">
      <c r="A974" s="13" t="inlineStr">
        <is>
          <t>D18-DOC-PCE-001.WORKFLOW_CONTRACTS.SAIDA</t>
        </is>
      </c>
      <c r="B974" s="2" t="inlineStr">
        <is>
          <t>saida</t>
        </is>
      </c>
      <c r="C974" s="14">
        <f>IFERROR(IF(INDEX('01_Formulario_A00'!$D:$D,MATCH("D18-DOC-PCE-001.WORKFLOW_CONTRACTS.SAIDA",'01_Formulario_A00'!$A:$A,0))="","— (a preencher em 01_Formulario_A00)",INDEX('01_Formulario_A00'!$D:$D,MATCH("D18-DOC-PCE-001.WORKFLOW_CONTRACTS.SAIDA",'01_Formulario_A00'!$A:$A,0))),"— (a preencher em 01_Formulario_A00)")</f>
        <v/>
      </c>
    </row>
    <row r="975">
      <c r="A975" s="13" t="inlineStr">
        <is>
          <t>D18-DOC-PCE-001.WORKFLOW_CONTRACTS.GATE</t>
        </is>
      </c>
      <c r="B975" s="2" t="inlineStr">
        <is>
          <t>gate</t>
        </is>
      </c>
      <c r="C975" s="14">
        <f>IFERROR(IF(INDEX('01_Formulario_A00'!$D:$D,MATCH("D18-DOC-PCE-001.WORKFLOW_CONTRACTS.GATE",'01_Formulario_A00'!$A:$A,0))="","— (a preencher em 01_Formulario_A00)",INDEX('01_Formulario_A00'!$D:$D,MATCH("D18-DOC-PCE-001.WORKFLOW_CONTRACTS.GATE",'01_Formulario_A00'!$A:$A,0))),"— (a preencher em 01_Formulario_A00)")</f>
        <v/>
      </c>
    </row>
    <row r="976">
      <c r="A976" s="13" t="inlineStr">
        <is>
          <t>D18-DOC-PCE-001.HANDOFF_CONTRACTS.ORIGEM</t>
        </is>
      </c>
      <c r="B976" s="2" t="inlineStr">
        <is>
          <t>origem</t>
        </is>
      </c>
      <c r="C976" s="14">
        <f>IFERROR(IF(INDEX('01_Formulario_A00'!$D:$D,MATCH("D18-DOC-PCE-001.HANDOFF_CONTRACTS.ORIGEM",'01_Formulario_A00'!$A:$A,0))="","— (a preencher em 01_Formulario_A00)",INDEX('01_Formulario_A00'!$D:$D,MATCH("D18-DOC-PCE-001.HANDOFF_CONTRACTS.ORIGEM",'01_Formulario_A00'!$A:$A,0))),"— (a preencher em 01_Formulario_A00)")</f>
        <v/>
      </c>
    </row>
    <row r="977">
      <c r="A977" s="13" t="inlineStr">
        <is>
          <t>D18-DOC-PCE-001.HANDOFF_CONTRACTS.DESTINO</t>
        </is>
      </c>
      <c r="B977" s="2" t="inlineStr">
        <is>
          <t>destino</t>
        </is>
      </c>
      <c r="C977" s="14">
        <f>IFERROR(IF(INDEX('01_Formulario_A00'!$D:$D,MATCH("D18-DOC-PCE-001.HANDOFF_CONTRACTS.DESTINO",'01_Formulario_A00'!$A:$A,0))="","— (a preencher em 01_Formulario_A00)",INDEX('01_Formulario_A00'!$D:$D,MATCH("D18-DOC-PCE-001.HANDOFF_CONTRACTS.DESTINO",'01_Formulario_A00'!$A:$A,0))),"— (a preencher em 01_Formulario_A00)")</f>
        <v/>
      </c>
    </row>
    <row r="978">
      <c r="A978" s="13" t="inlineStr">
        <is>
          <t>D18-DOC-PCE-001.HANDOFF_CONTRACTS.REQUISITOS</t>
        </is>
      </c>
      <c r="B978" s="2" t="inlineStr">
        <is>
          <t>requisitos</t>
        </is>
      </c>
      <c r="C978" s="14">
        <f>IFERROR(IF(INDEX('01_Formulario_A00'!$D:$D,MATCH("D18-DOC-PCE-001.HANDOFF_CONTRACTS.REQUISITOS",'01_Formulario_A00'!$A:$A,0))="","— (a preencher em 01_Formulario_A00)",INDEX('01_Formulario_A00'!$D:$D,MATCH("D18-DOC-PCE-001.HANDOFF_CONTRACTS.REQUISITOS",'01_Formulario_A00'!$A:$A,0))),"— (a preencher em 01_Formulario_A00)")</f>
        <v/>
      </c>
    </row>
    <row r="979">
      <c r="A979" s="13" t="inlineStr">
        <is>
          <t>D18-DOC-PCE-001.VALIDATION.SCHEMA_VALIDATOR</t>
        </is>
      </c>
      <c r="B979" s="2" t="inlineStr">
        <is>
          <t>schema_validator</t>
        </is>
      </c>
      <c r="C979" s="14">
        <f>IFERROR(IF(INDEX('01_Formulario_A00'!$D:$D,MATCH("D18-DOC-PCE-001.VALIDATION.SCHEMA_VALIDATOR",'01_Formulario_A00'!$A:$A,0))="","— (a preencher em 01_Formulario_A00)",INDEX('01_Formulario_A00'!$D:$D,MATCH("D18-DOC-PCE-001.VALIDATION.SCHEMA_VALIDATOR",'01_Formulario_A00'!$A:$A,0))),"— (a preencher em 01_Formulario_A00)")</f>
        <v/>
      </c>
    </row>
    <row r="980">
      <c r="A980" s="13" t="inlineStr">
        <is>
          <t>D18-DOC-PCE-001.VALIDATION.REGRA</t>
        </is>
      </c>
      <c r="B980" s="2" t="inlineStr">
        <is>
          <t>regra</t>
        </is>
      </c>
      <c r="C980" s="14">
        <f>IFERROR(IF(INDEX('01_Formulario_A00'!$D:$D,MATCH("D18-DOC-PCE-001.VALIDATION.REGRA",'01_Formulario_A00'!$A:$A,0))="","— (a preencher em 01_Formulario_A00)",INDEX('01_Formulario_A00'!$D:$D,MATCH("D18-DOC-PCE-001.VALIDATION.REGRA",'01_Formulario_A00'!$A:$A,0))),"— (a preencher em 01_Formulario_A00)")</f>
        <v/>
      </c>
    </row>
    <row r="981">
      <c r="A981" s="13" t="inlineStr">
        <is>
          <t>D18-DOC-PCE-001.VERSIONING.VERSAO</t>
        </is>
      </c>
      <c r="B981" s="2" t="inlineStr">
        <is>
          <t>versao</t>
        </is>
      </c>
      <c r="C981" s="14">
        <f>IFERROR(IF(INDEX('01_Formulario_A00'!$D:$D,MATCH("D18-DOC-PCE-001.VERSIONING.VERSAO",'01_Formulario_A00'!$A:$A,0))="","— (a preencher em 01_Formulario_A00)",INDEX('01_Formulario_A00'!$D:$D,MATCH("D18-DOC-PCE-001.VERSIONING.VERSAO",'01_Formulario_A00'!$A:$A,0))),"— (a preencher em 01_Formulario_A00)")</f>
        <v/>
      </c>
    </row>
    <row r="982">
      <c r="A982" s="13" t="inlineStr">
        <is>
          <t>D18-DOC-PCE-001.VERSIONING.COMPATIBILIDADE</t>
        </is>
      </c>
      <c r="B982" s="2" t="inlineStr">
        <is>
          <t>compatibilidade</t>
        </is>
      </c>
      <c r="C982" s="14">
        <f>IFERROR(IF(INDEX('01_Formulario_A00'!$D:$D,MATCH("D18-DOC-PCE-001.VERSIONING.COMPATIBILIDADE",'01_Formulario_A00'!$A:$A,0))="","— (a preencher em 01_Formulario_A00)",INDEX('01_Formulario_A00'!$D:$D,MATCH("D18-DOC-PCE-001.VERSIONING.COMPATIBILIDADE",'01_Formulario_A00'!$A:$A,0))),"— (a preencher em 01_Formulario_A00)")</f>
        <v/>
      </c>
    </row>
    <row r="983">
      <c r="A983" s="13" t="inlineStr">
        <is>
          <t>D18-DOC-PCE-001.CHANGE_CONTROL.MUDANCA</t>
        </is>
      </c>
      <c r="B983" s="2" t="inlineStr">
        <is>
          <t>mudanca</t>
        </is>
      </c>
      <c r="C983" s="14">
        <f>IFERROR(IF(INDEX('01_Formulario_A00'!$D:$D,MATCH("D18-DOC-PCE-001.CHANGE_CONTROL.MUDANCA",'01_Formulario_A00'!$A:$A,0))="","— (a preencher em 01_Formulario_A00)",INDEX('01_Formulario_A00'!$D:$D,MATCH("D18-DOC-PCE-001.CHANGE_CONTROL.MUDANCA",'01_Formulario_A00'!$A:$A,0))),"— (a preencher em 01_Formulario_A00)")</f>
        <v/>
      </c>
    </row>
    <row r="984">
      <c r="A984" s="13" t="inlineStr">
        <is>
          <t>D18-DOC-PCE-001.CHANGE_CONTROL.APROVACAO</t>
        </is>
      </c>
      <c r="B984" s="2" t="inlineStr">
        <is>
          <t>aprovacao</t>
        </is>
      </c>
      <c r="C984" s="14">
        <f>IFERROR(IF(INDEX('01_Formulario_A00'!$D:$D,MATCH("D18-DOC-PCE-001.CHANGE_CONTROL.APROVACAO",'01_Formulario_A00'!$A:$A,0))="","— (a preencher em 01_Formulario_A00)",INDEX('01_Formulario_A00'!$D:$D,MATCH("D18-DOC-PCE-001.CHANGE_CONTROL.APROVACAO",'01_Formulario_A00'!$A:$A,0))),"— (a preencher em 01_Formulario_A00)")</f>
        <v/>
      </c>
    </row>
    <row r="985">
      <c r="A985" s="13" t="inlineStr">
        <is>
          <t>D18-DOC-PCE-001.REGISTRY.ID</t>
        </is>
      </c>
      <c r="B985" s="2" t="inlineStr">
        <is>
          <t>id</t>
        </is>
      </c>
      <c r="C985" s="14">
        <f>IFERROR(IF(INDEX('01_Formulario_A00'!$D:$D,MATCH("D18-DOC-PCE-001.REGISTRY.ID",'01_Formulario_A00'!$A:$A,0))="","— (a preencher em 01_Formulario_A00)",INDEX('01_Formulario_A00'!$D:$D,MATCH("D18-DOC-PCE-001.REGISTRY.ID",'01_Formulario_A00'!$A:$A,0))),"— (a preencher em 01_Formulario_A00)")</f>
        <v/>
      </c>
    </row>
    <row r="986">
      <c r="A986" s="13" t="inlineStr">
        <is>
          <t>D18-DOC-PCE-001.REGISTRY.LOCALIZACAO</t>
        </is>
      </c>
      <c r="B986" s="2" t="inlineStr">
        <is>
          <t>localizacao</t>
        </is>
      </c>
      <c r="C986" s="14">
        <f>IFERROR(IF(INDEX('01_Formulario_A00'!$D:$D,MATCH("D18-DOC-PCE-001.REGISTRY.LOCALIZACAO",'01_Formulario_A00'!$A:$A,0))="","— (a preencher em 01_Formulario_A00)",INDEX('01_Formulario_A00'!$D:$D,MATCH("D18-DOC-PCE-001.REGISTRY.LOCALIZACAO",'01_Formulario_A00'!$A:$A,0))),"— (a preencher em 01_Formulario_A00)")</f>
        <v/>
      </c>
    </row>
    <row r="987">
      <c r="A987" s="13" t="inlineStr">
        <is>
          <t>D18-DOC-PCE-001.TESTING.CONTRACT_TEST</t>
        </is>
      </c>
      <c r="B987" s="2" t="inlineStr">
        <is>
          <t>contract_test</t>
        </is>
      </c>
      <c r="C987" s="14">
        <f>IFERROR(IF(INDEX('01_Formulario_A00'!$D:$D,MATCH("D18-DOC-PCE-001.TESTING.CONTRACT_TEST",'01_Formulario_A00'!$A:$A,0))="","— (a preencher em 01_Formulario_A00)",INDEX('01_Formulario_A00'!$D:$D,MATCH("D18-DOC-PCE-001.TESTING.CONTRACT_TEST",'01_Formulario_A00'!$A:$A,0))),"— (a preencher em 01_Formulario_A00)")</f>
        <v/>
      </c>
    </row>
    <row r="988">
      <c r="A988" s="13" t="inlineStr">
        <is>
          <t>D18-DOC-PCE-001.TESTING.RESULTADO</t>
        </is>
      </c>
      <c r="B988" s="2" t="inlineStr">
        <is>
          <t>resultado</t>
        </is>
      </c>
      <c r="C988" s="14">
        <f>IFERROR(IF(INDEX('01_Formulario_A00'!$D:$D,MATCH("D18-DOC-PCE-001.TESTING.RESULTADO",'01_Formulario_A00'!$A:$A,0))="","— (a preencher em 01_Formulario_A00)",INDEX('01_Formulario_A00'!$D:$D,MATCH("D18-DOC-PCE-001.TESTING.RESULTADO",'01_Formulario_A00'!$A:$A,0))),"— (a preencher em 01_Formulario_A00)")</f>
        <v/>
      </c>
    </row>
    <row r="989">
      <c r="A989" s="13" t="inlineStr">
        <is>
          <t>D18-DOC-PCE-001.DEPRECATION.OBJETO</t>
        </is>
      </c>
      <c r="B989" s="2" t="inlineStr">
        <is>
          <t>objeto</t>
        </is>
      </c>
      <c r="C989" s="14">
        <f>IFERROR(IF(INDEX('01_Formulario_A00'!$D:$D,MATCH("D18-DOC-PCE-001.DEPRECATION.OBJETO",'01_Formulario_A00'!$A:$A,0))="","— (a preencher em 01_Formulario_A00)",INDEX('01_Formulario_A00'!$D:$D,MATCH("D18-DOC-PCE-001.DEPRECATION.OBJETO",'01_Formulario_A00'!$A:$A,0))),"— (a preencher em 01_Formulario_A00)")</f>
        <v/>
      </c>
    </row>
    <row r="990">
      <c r="A990" s="13" t="inlineStr">
        <is>
          <t>D18-DOC-PCE-001.DEPRECATION.PRAZO</t>
        </is>
      </c>
      <c r="B990" s="2" t="inlineStr">
        <is>
          <t>prazo</t>
        </is>
      </c>
      <c r="C990" s="14">
        <f>IFERROR(IF(INDEX('01_Formulario_A00'!$D:$D,MATCH("D18-DOC-PCE-001.DEPRECATION.PRAZO",'01_Formulario_A00'!$A:$A,0))="","— (a preencher em 01_Formulario_A00)",INDEX('01_Formulario_A00'!$D:$D,MATCH("D18-DOC-PCE-001.DEPRECATION.PRAZO",'01_Formulario_A00'!$A:$A,0))),"— (a preencher em 01_Formulario_A00)")</f>
        <v/>
      </c>
    </row>
    <row r="991">
      <c r="A991" s="13" t="inlineStr">
        <is>
          <t>D18-DOC-PCE-001.DEPRECATION.SUBSTITUTO</t>
        </is>
      </c>
      <c r="B991" s="2" t="inlineStr">
        <is>
          <t>substituto</t>
        </is>
      </c>
      <c r="C991" s="14">
        <f>IFERROR(IF(INDEX('01_Formulario_A00'!$D:$D,MATCH("D18-DOC-PCE-001.DEPRECATION.SUBSTITUTO",'01_Formulario_A00'!$A:$A,0))="","— (a preencher em 01_Formulario_A00)",INDEX('01_Formulario_A00'!$D:$D,MATCH("D18-DOC-PCE-001.DEPRECATION.SUBSTITUTO",'01_Formulario_A00'!$A:$A,0))),"— (a preencher em 01_Formulario_A00)")</f>
        <v/>
      </c>
    </row>
    <row r="992">
      <c r="A992" s="5" t="inlineStr">
        <is>
          <t>D19-DOC-PAC-001 — Plano de Assets e CTAs [PRE_PREENCHIDO/PENDENTE]</t>
        </is>
      </c>
      <c r="B992" s="6" t="n"/>
      <c r="C992" s="7" t="n"/>
    </row>
    <row r="993">
      <c r="A993" s="13" t="inlineStr">
        <is>
          <t>D19-DOC-PAC-001.ASSET_INVENTORY.ASSET_ID</t>
        </is>
      </c>
      <c r="B993" s="2" t="inlineStr">
        <is>
          <t>asset_id</t>
        </is>
      </c>
      <c r="C993" s="14">
        <f>IFERROR(IF(INDEX('01_Formulario_A11'!$D:$D,MATCH("D19-DOC-PAC-001.ASSET_INVENTORY.ASSET_ID",'01_Formulario_A11'!$A:$A,0))="","— (a preencher em 01_Formulario_A11)",INDEX('01_Formulario_A11'!$D:$D,MATCH("D19-DOC-PAC-001.ASSET_INVENTORY.ASSET_ID",'01_Formulario_A11'!$A:$A,0))),"— (a preencher em 01_Formulario_A11)")</f>
        <v/>
      </c>
    </row>
    <row r="994">
      <c r="A994" s="13" t="inlineStr">
        <is>
          <t>D19-DOC-PAC-001.ASSET_INVENTORY.NOME</t>
        </is>
      </c>
      <c r="B994" s="2" t="inlineStr">
        <is>
          <t>nome</t>
        </is>
      </c>
      <c r="C994" s="14">
        <f>IFERROR(IF(INDEX('01_Formulario_A11'!$D:$D,MATCH("D19-DOC-PAC-001.ASSET_INVENTORY.NOME",'01_Formulario_A11'!$A:$A,0))="","— (a preencher em 01_Formulario_A11)",INDEX('01_Formulario_A11'!$D:$D,MATCH("D19-DOC-PAC-001.ASSET_INVENTORY.NOME",'01_Formulario_A11'!$A:$A,0))),"— (a preencher em 01_Formulario_A11)")</f>
        <v/>
      </c>
    </row>
    <row r="995">
      <c r="A995" s="13" t="inlineStr">
        <is>
          <t>D19-DOC-PAC-001.ASSET_INVENTORY.TIPO</t>
        </is>
      </c>
      <c r="B995" s="2" t="inlineStr">
        <is>
          <t>tipo</t>
        </is>
      </c>
      <c r="C995" s="14">
        <f>IFERROR(IF(INDEX('01_Formulario_A11'!$D:$D,MATCH("D19-DOC-PAC-001.ASSET_INVENTORY.TIPO",'01_Formulario_A11'!$A:$A,0))="","— (a preencher em 01_Formulario_A11)",INDEX('01_Formulario_A11'!$D:$D,MATCH("D19-DOC-PAC-001.ASSET_INVENTORY.TIPO",'01_Formulario_A11'!$A:$A,0))),"— (a preencher em 01_Formulario_A11)")</f>
        <v/>
      </c>
    </row>
    <row r="996">
      <c r="A996" s="13" t="inlineStr">
        <is>
          <t>D19-DOC-PAC-001.PURPOSE.OBJETIVO</t>
        </is>
      </c>
      <c r="B996" s="2" t="inlineStr">
        <is>
          <t>objetivo</t>
        </is>
      </c>
      <c r="C996" s="14">
        <f>IFERROR(IF(INDEX('01_Formulario_A11'!$D:$D,MATCH("D19-DOC-PAC-001.PURPOSE.OBJETIVO",'01_Formulario_A11'!$A:$A,0))="","— (a preencher em 01_Formulario_A11)",INDEX('01_Formulario_A11'!$D:$D,MATCH("D19-DOC-PAC-001.PURPOSE.OBJETIVO",'01_Formulario_A11'!$A:$A,0))),"— (a preencher em 01_Formulario_A11)")</f>
        <v/>
      </c>
    </row>
    <row r="997">
      <c r="A997" s="13" t="inlineStr">
        <is>
          <t>D19-DOC-PAC-001.PURPOSE.CAMPANHA</t>
        </is>
      </c>
      <c r="B997" s="2" t="inlineStr">
        <is>
          <t>campanha</t>
        </is>
      </c>
      <c r="C997" s="14">
        <f>IFERROR(IF(INDEX('01_Formulario_A11'!$D:$D,MATCH("D19-DOC-PAC-001.PURPOSE.CAMPANHA",'01_Formulario_A11'!$A:$A,0))="","— (a preencher em 01_Formulario_A11)",INDEX('01_Formulario_A11'!$D:$D,MATCH("D19-DOC-PAC-001.PURPOSE.CAMPANHA",'01_Formulario_A11'!$A:$A,0))),"— (a preencher em 01_Formulario_A11)")</f>
        <v/>
      </c>
    </row>
    <row r="998">
      <c r="A998" s="13" t="inlineStr">
        <is>
          <t>D19-DOC-PAC-001.PURPOSE.PRODUTO</t>
        </is>
      </c>
      <c r="B998" s="2" t="inlineStr">
        <is>
          <t>produto</t>
        </is>
      </c>
      <c r="C998" s="14">
        <f>IFERROR(IF(INDEX('01_Formulario_A11'!$D:$D,MATCH("D19-DOC-PAC-001.PURPOSE.PRODUTO",'01_Formulario_A11'!$A:$A,0))="","— (a preencher em 01_Formulario_A11)",INDEX('01_Formulario_A11'!$D:$D,MATCH("D19-DOC-PAC-001.PURPOSE.PRODUTO",'01_Formulario_A11'!$A:$A,0))),"— (a preencher em 01_Formulario_A11)")</f>
        <v/>
      </c>
    </row>
    <row r="999">
      <c r="A999" s="13" t="inlineStr">
        <is>
          <t>D19-DOC-PAC-001.SOURCE.ORIGEM</t>
        </is>
      </c>
      <c r="B999" s="2" t="inlineStr">
        <is>
          <t>origem</t>
        </is>
      </c>
      <c r="C999" s="14">
        <f>IFERROR(IF(INDEX('01_Formulario_A11'!$D:$D,MATCH("D19-DOC-PAC-001.SOURCE.ORIGEM",'01_Formulario_A11'!$A:$A,0))="","— (a preencher em 01_Formulario_A11)",INDEX('01_Formulario_A11'!$D:$D,MATCH("D19-DOC-PAC-001.SOURCE.ORIGEM",'01_Formulario_A11'!$A:$A,0))),"— (a preencher em 01_Formulario_A11)")</f>
        <v/>
      </c>
    </row>
    <row r="1000">
      <c r="A1000" s="13" t="inlineStr">
        <is>
          <t>D19-DOC-PAC-001.SOURCE.DOCUMENTO_FONTE</t>
        </is>
      </c>
      <c r="B1000" s="2" t="inlineStr">
        <is>
          <t>documento_fonte</t>
        </is>
      </c>
      <c r="C1000" s="14">
        <f>IFERROR(IF(INDEX('01_Formulario_A11'!$D:$D,MATCH("D19-DOC-PAC-001.SOURCE.DOCUMENTO_FONTE",'01_Formulario_A11'!$A:$A,0))="","— (a preencher em 01_Formulario_A11)",INDEX('01_Formulario_A11'!$D:$D,MATCH("D19-DOC-PAC-001.SOURCE.DOCUMENTO_FONTE",'01_Formulario_A11'!$A:$A,0))),"— (a preencher em 01_Formulario_A11)")</f>
        <v/>
      </c>
    </row>
    <row r="1001">
      <c r="A1001" s="13" t="inlineStr">
        <is>
          <t>D19-DOC-PAC-001.FORMAT.ARQUIVO</t>
        </is>
      </c>
      <c r="B1001" s="2" t="inlineStr">
        <is>
          <t>arquivo</t>
        </is>
      </c>
      <c r="C1001" s="14">
        <f>IFERROR(IF(INDEX('01_Formulario_A11'!$D:$D,MATCH("D19-DOC-PAC-001.FORMAT.ARQUIVO",'01_Formulario_A11'!$A:$A,0))="","— (a preencher em 01_Formulario_A11)",INDEX('01_Formulario_A11'!$D:$D,MATCH("D19-DOC-PAC-001.FORMAT.ARQUIVO",'01_Formulario_A11'!$A:$A,0))),"— (a preencher em 01_Formulario_A11)")</f>
        <v/>
      </c>
    </row>
    <row r="1002">
      <c r="A1002" s="13" t="inlineStr">
        <is>
          <t>D19-DOC-PAC-001.FORMAT.DIMENSAO</t>
        </is>
      </c>
      <c r="B1002" s="2" t="inlineStr">
        <is>
          <t>dimensao</t>
        </is>
      </c>
      <c r="C1002" s="14">
        <f>IFERROR(IF(INDEX('01_Formulario_A11'!$D:$D,MATCH("D19-DOC-PAC-001.FORMAT.DIMENSAO",'01_Formulario_A11'!$A:$A,0))="","— (a preencher em 01_Formulario_A11)",INDEX('01_Formulario_A11'!$D:$D,MATCH("D19-DOC-PAC-001.FORMAT.DIMENSAO",'01_Formulario_A11'!$A:$A,0))),"— (a preencher em 01_Formulario_A11)")</f>
        <v/>
      </c>
    </row>
    <row r="1003">
      <c r="A1003" s="13" t="inlineStr">
        <is>
          <t>D19-DOC-PAC-001.FORMAT.CANAL</t>
        </is>
      </c>
      <c r="B1003" s="2" t="inlineStr">
        <is>
          <t>canal</t>
        </is>
      </c>
      <c r="C1003" s="14">
        <f>IFERROR(IF(INDEX('01_Formulario_A11'!$D:$D,MATCH("D19-DOC-PAC-001.FORMAT.CANAL",'01_Formulario_A11'!$A:$A,0))="","— (a preencher em 01_Formulario_A11)",INDEX('01_Formulario_A11'!$D:$D,MATCH("D19-DOC-PAC-001.FORMAT.CANAL",'01_Formulario_A11'!$A:$A,0))),"— (a preencher em 01_Formulario_A11)")</f>
        <v/>
      </c>
    </row>
    <row r="1004">
      <c r="A1004" s="13" t="inlineStr">
        <is>
          <t>D19-DOC-PAC-001.CONTENT.HEADLINE</t>
        </is>
      </c>
      <c r="B1004" s="2" t="inlineStr">
        <is>
          <t>headline</t>
        </is>
      </c>
      <c r="C1004" s="14">
        <f>IFERROR(IF(INDEX('01_Formulario_A11'!$D:$D,MATCH("D19-DOC-PAC-001.CONTENT.HEADLINE",'01_Formulario_A11'!$A:$A,0))="","— (a preencher em 01_Formulario_A11)",INDEX('01_Formulario_A11'!$D:$D,MATCH("D19-DOC-PAC-001.CONTENT.HEADLINE",'01_Formulario_A11'!$A:$A,0))),"— (a preencher em 01_Formulario_A11)")</f>
        <v/>
      </c>
    </row>
    <row r="1005">
      <c r="A1005" s="13" t="inlineStr">
        <is>
          <t>D19-DOC-PAC-001.CONTENT.COPY</t>
        </is>
      </c>
      <c r="B1005" s="2" t="inlineStr">
        <is>
          <t>copy</t>
        </is>
      </c>
      <c r="C1005" s="14">
        <f>IFERROR(IF(INDEX('01_Formulario_A11'!$D:$D,MATCH("D19-DOC-PAC-001.CONTENT.COPY",'01_Formulario_A11'!$A:$A,0))="","— (a preencher em 01_Formulario_A11)",INDEX('01_Formulario_A11'!$D:$D,MATCH("D19-DOC-PAC-001.CONTENT.COPY",'01_Formulario_A11'!$A:$A,0))),"— (a preencher em 01_Formulario_A11)")</f>
        <v/>
      </c>
    </row>
    <row r="1006">
      <c r="A1006" s="13" t="inlineStr">
        <is>
          <t>D19-DOC-PAC-001.CONTENT.VISUAL</t>
        </is>
      </c>
      <c r="B1006" s="2" t="inlineStr">
        <is>
          <t>visual</t>
        </is>
      </c>
      <c r="C1006" s="14">
        <f>IFERROR(IF(INDEX('01_Formulario_A11'!$D:$D,MATCH("D19-DOC-PAC-001.CONTENT.VISUAL",'01_Formulario_A11'!$A:$A,0))="","— (a preencher em 01_Formulario_A11)",INDEX('01_Formulario_A11'!$D:$D,MATCH("D19-DOC-PAC-001.CONTENT.VISUAL",'01_Formulario_A11'!$A:$A,0))),"— (a preencher em 01_Formulario_A11)")</f>
        <v/>
      </c>
    </row>
    <row r="1007">
      <c r="A1007" s="13" t="inlineStr">
        <is>
          <t>D19-DOC-PAC-001.VARIANTS.VARIANTE</t>
        </is>
      </c>
      <c r="B1007" s="2" t="inlineStr">
        <is>
          <t>variante</t>
        </is>
      </c>
      <c r="C1007" s="14">
        <f>IFERROR(IF(INDEX('01_Formulario_A11'!$D:$D,MATCH("D19-DOC-PAC-001.VARIANTS.VARIANTE",'01_Formulario_A11'!$A:$A,0))="","— (a preencher em 01_Formulario_A11)",INDEX('01_Formulario_A11'!$D:$D,MATCH("D19-DOC-PAC-001.VARIANTS.VARIANTE",'01_Formulario_A11'!$A:$A,0))),"— (a preencher em 01_Formulario_A11)")</f>
        <v/>
      </c>
    </row>
    <row r="1008">
      <c r="A1008" s="13" t="inlineStr">
        <is>
          <t>D19-DOC-PAC-001.VARIANTS.USO</t>
        </is>
      </c>
      <c r="B1008" s="2" t="inlineStr">
        <is>
          <t>uso</t>
        </is>
      </c>
      <c r="C1008" s="14">
        <f>IFERROR(IF(INDEX('01_Formulario_A11'!$D:$D,MATCH("D19-DOC-PAC-001.VARIANTS.USO",'01_Formulario_A11'!$A:$A,0))="","— (a preencher em 01_Formulario_A11)",INDEX('01_Formulario_A11'!$D:$D,MATCH("D19-DOC-PAC-001.VARIANTS.USO",'01_Formulario_A11'!$A:$A,0))),"— (a preencher em 01_Formulario_A11)")</f>
        <v/>
      </c>
    </row>
    <row r="1009">
      <c r="A1009" s="13" t="inlineStr">
        <is>
          <t>D19-DOC-PAC-001.CTA_CATALOG.CTA_ID</t>
        </is>
      </c>
      <c r="B1009" s="2" t="inlineStr">
        <is>
          <t>cta_id</t>
        </is>
      </c>
      <c r="C1009" s="14">
        <f>IFERROR(IF(INDEX('01_Formulario_A11'!$D:$D,MATCH("D19-DOC-PAC-001.CTA_CATALOG.CTA_ID",'01_Formulario_A11'!$A:$A,0))="","— (a preencher em 01_Formulario_A11)",INDEX('01_Formulario_A11'!$D:$D,MATCH("D19-DOC-PAC-001.CTA_CATALOG.CTA_ID",'01_Formulario_A11'!$A:$A,0))),"— (a preencher em 01_Formulario_A11)")</f>
        <v/>
      </c>
    </row>
    <row r="1010">
      <c r="A1010" s="13" t="inlineStr">
        <is>
          <t>D19-DOC-PAC-001.CTA_CATALOG.TEXTO</t>
        </is>
      </c>
      <c r="B1010" s="2" t="inlineStr">
        <is>
          <t>texto</t>
        </is>
      </c>
      <c r="C1010" s="14">
        <f>IFERROR(IF(INDEX('01_Formulario_A11'!$D:$D,MATCH("D19-DOC-PAC-001.CTA_CATALOG.TEXTO",'01_Formulario_A11'!$A:$A,0))="","— (a preencher em 01_Formulario_A11)",INDEX('01_Formulario_A11'!$D:$D,MATCH("D19-DOC-PAC-001.CTA_CATALOG.TEXTO",'01_Formulario_A11'!$A:$A,0))),"— (a preencher em 01_Formulario_A11)")</f>
        <v/>
      </c>
    </row>
    <row r="1011">
      <c r="A1011" s="13" t="inlineStr">
        <is>
          <t>D19-DOC-PAC-001.CTA_CATALOG.ACAO</t>
        </is>
      </c>
      <c r="B1011" s="2" t="inlineStr">
        <is>
          <t>acao</t>
        </is>
      </c>
      <c r="C1011" s="14">
        <f>IFERROR(IF(INDEX('01_Formulario_A11'!$D:$D,MATCH("D19-DOC-PAC-001.CTA_CATALOG.ACAO",'01_Formulario_A11'!$A:$A,0))="","— (a preencher em 01_Formulario_A11)",INDEX('01_Formulario_A11'!$D:$D,MATCH("D19-DOC-PAC-001.CTA_CATALOG.ACAO",'01_Formulario_A11'!$A:$A,0))),"— (a preencher em 01_Formulario_A11)")</f>
        <v/>
      </c>
    </row>
    <row r="1012">
      <c r="A1012" s="13" t="inlineStr">
        <is>
          <t>D19-DOC-PAC-001.DESTINATION.URL</t>
        </is>
      </c>
      <c r="B1012" s="2" t="inlineStr">
        <is>
          <t>url</t>
        </is>
      </c>
      <c r="C1012" s="14">
        <f>IFERROR(IF(INDEX('01_Formulario_A11'!$D:$D,MATCH("D19-DOC-PAC-001.DESTINATION.URL",'01_Formulario_A11'!$A:$A,0))="","— (a preencher em 01_Formulario_A11)",INDEX('01_Formulario_A11'!$D:$D,MATCH("D19-DOC-PAC-001.DESTINATION.URL",'01_Formulario_A11'!$A:$A,0))),"— (a preencher em 01_Formulario_A11)")</f>
        <v/>
      </c>
    </row>
    <row r="1013">
      <c r="A1013" s="13" t="inlineStr">
        <is>
          <t>D19-DOC-PAC-001.DESTINATION.DEEP_LINK</t>
        </is>
      </c>
      <c r="B1013" s="2" t="inlineStr">
        <is>
          <t>deep_link</t>
        </is>
      </c>
      <c r="C1013" s="14">
        <f>IFERROR(IF(INDEX('01_Formulario_A11'!$D:$D,MATCH("D19-DOC-PAC-001.DESTINATION.DEEP_LINK",'01_Formulario_A11'!$A:$A,0))="","— (a preencher em 01_Formulario_A11)",INDEX('01_Formulario_A11'!$D:$D,MATCH("D19-DOC-PAC-001.DESTINATION.DEEP_LINK",'01_Formulario_A11'!$A:$A,0))),"— (a preencher em 01_Formulario_A11)")</f>
        <v/>
      </c>
    </row>
    <row r="1014">
      <c r="A1014" s="13" t="inlineStr">
        <is>
          <t>D19-DOC-PAC-001.DESTINATION.FORMULARIO</t>
        </is>
      </c>
      <c r="B1014" s="2" t="inlineStr">
        <is>
          <t>formulario</t>
        </is>
      </c>
      <c r="C1014" s="14">
        <f>IFERROR(IF(INDEX('01_Formulario_A11'!$D:$D,MATCH("D19-DOC-PAC-001.DESTINATION.FORMULARIO",'01_Formulario_A11'!$A:$A,0))="","— (a preencher em 01_Formulario_A11)",INDEX('01_Formulario_A11'!$D:$D,MATCH("D19-DOC-PAC-001.DESTINATION.FORMULARIO",'01_Formulario_A11'!$A:$A,0))),"— (a preencher em 01_Formulario_A11)")</f>
        <v/>
      </c>
    </row>
    <row r="1015">
      <c r="A1015" s="13" t="inlineStr">
        <is>
          <t>D19-DOC-PAC-001.PLACEMENT.PAGINA</t>
        </is>
      </c>
      <c r="B1015" s="2" t="inlineStr">
        <is>
          <t>pagina</t>
        </is>
      </c>
      <c r="C1015" s="14">
        <f>IFERROR(IF(INDEX('01_Formulario_A11'!$D:$D,MATCH("D19-DOC-PAC-001.PLACEMENT.PAGINA",'01_Formulario_A11'!$A:$A,0))="","— (a preencher em 01_Formulario_A11)",INDEX('01_Formulario_A11'!$D:$D,MATCH("D19-DOC-PAC-001.PLACEMENT.PAGINA",'01_Formulario_A11'!$A:$A,0))),"— (a preencher em 01_Formulario_A11)")</f>
        <v/>
      </c>
    </row>
    <row r="1016">
      <c r="A1016" s="13" t="inlineStr">
        <is>
          <t>D19-DOC-PAC-001.PLACEMENT.COMPONENTE</t>
        </is>
      </c>
      <c r="B1016" s="2" t="inlineStr">
        <is>
          <t>componente</t>
        </is>
      </c>
      <c r="C1016" s="14">
        <f>IFERROR(IF(INDEX('01_Formulario_A11'!$D:$D,MATCH("D19-DOC-PAC-001.PLACEMENT.COMPONENTE",'01_Formulario_A11'!$A:$A,0))="","— (a preencher em 01_Formulario_A11)",INDEX('01_Formulario_A11'!$D:$D,MATCH("D19-DOC-PAC-001.PLACEMENT.COMPONENTE",'01_Formulario_A11'!$A:$A,0))),"— (a preencher em 01_Formulario_A11)")</f>
        <v/>
      </c>
    </row>
    <row r="1017">
      <c r="A1017" s="13" t="inlineStr">
        <is>
          <t>D19-DOC-PAC-001.PLACEMENT.CANAL</t>
        </is>
      </c>
      <c r="B1017" s="2" t="inlineStr">
        <is>
          <t>canal</t>
        </is>
      </c>
      <c r="C1017" s="14">
        <f>IFERROR(IF(INDEX('01_Formulario_A11'!$D:$D,MATCH("D19-DOC-PAC-001.PLACEMENT.CANAL",'01_Formulario_A11'!$A:$A,0))="","— (a preencher em 01_Formulario_A11)",INDEX('01_Formulario_A11'!$D:$D,MATCH("D19-DOC-PAC-001.PLACEMENT.CANAL",'01_Formulario_A11'!$A:$A,0))),"— (a preencher em 01_Formulario_A11)")</f>
        <v/>
      </c>
    </row>
    <row r="1018">
      <c r="A1018" s="13" t="inlineStr">
        <is>
          <t>D19-DOC-PAC-001.TRACKING.UTM</t>
        </is>
      </c>
      <c r="B1018" s="2" t="inlineStr">
        <is>
          <t>utm</t>
        </is>
      </c>
      <c r="C1018" s="14">
        <f>IFERROR(IF(INDEX('01_Formulario_A11'!$D:$D,MATCH("D19-DOC-PAC-001.TRACKING.UTM",'01_Formulario_A11'!$A:$A,0))="","— (a preencher em 01_Formulario_A11)",INDEX('01_Formulario_A11'!$D:$D,MATCH("D19-DOC-PAC-001.TRACKING.UTM",'01_Formulario_A11'!$A:$A,0))),"— (a preencher em 01_Formulario_A11)")</f>
        <v/>
      </c>
    </row>
    <row r="1019">
      <c r="A1019" s="13" t="inlineStr">
        <is>
          <t>D19-DOC-PAC-001.TRACKING.EVENTO</t>
        </is>
      </c>
      <c r="B1019" s="2" t="inlineStr">
        <is>
          <t>evento</t>
        </is>
      </c>
      <c r="C1019" s="14">
        <f>IFERROR(IF(INDEX('01_Formulario_A11'!$D:$D,MATCH("D19-DOC-PAC-001.TRACKING.EVENTO",'01_Formulario_A11'!$A:$A,0))="","— (a preencher em 01_Formulario_A11)",INDEX('01_Formulario_A11'!$D:$D,MATCH("D19-DOC-PAC-001.TRACKING.EVENTO",'01_Formulario_A11'!$A:$A,0))),"— (a preencher em 01_Formulario_A11)")</f>
        <v/>
      </c>
    </row>
    <row r="1020">
      <c r="A1020" s="13" t="inlineStr">
        <is>
          <t>D19-DOC-PAC-001.TRACKING.CAMPANHA</t>
        </is>
      </c>
      <c r="B1020" s="2" t="inlineStr">
        <is>
          <t>campanha</t>
        </is>
      </c>
      <c r="C1020" s="14">
        <f>IFERROR(IF(INDEX('01_Formulario_A11'!$D:$D,MATCH("D19-DOC-PAC-001.TRACKING.CAMPANHA",'01_Formulario_A11'!$A:$A,0))="","— (a preencher em 01_Formulario_A11)",INDEX('01_Formulario_A11'!$D:$D,MATCH("D19-DOC-PAC-001.TRACKING.CAMPANHA",'01_Formulario_A11'!$A:$A,0))),"— (a preencher em 01_Formulario_A11)")</f>
        <v/>
      </c>
    </row>
    <row r="1021">
      <c r="A1021" s="13" t="inlineStr">
        <is>
          <t>D19-DOC-PAC-001.ACCESSIBILITY.ALT_TEXT</t>
        </is>
      </c>
      <c r="B1021" s="2" t="inlineStr">
        <is>
          <t>alt_text</t>
        </is>
      </c>
      <c r="C1021" s="14">
        <f>IFERROR(IF(INDEX('01_Formulario_A11'!$D:$D,MATCH("D19-DOC-PAC-001.ACCESSIBILITY.ALT_TEXT",'01_Formulario_A11'!$A:$A,0))="","— (a preencher em 01_Formulario_A11)",INDEX('01_Formulario_A11'!$D:$D,MATCH("D19-DOC-PAC-001.ACCESSIBILITY.ALT_TEXT",'01_Formulario_A11'!$A:$A,0))),"— (a preencher em 01_Formulario_A11)")</f>
        <v/>
      </c>
    </row>
    <row r="1022">
      <c r="A1022" s="13" t="inlineStr">
        <is>
          <t>D19-DOC-PAC-001.ACCESSIBILITY.LEGIBILIDADE</t>
        </is>
      </c>
      <c r="B1022" s="2" t="inlineStr">
        <is>
          <t>legibilidade</t>
        </is>
      </c>
      <c r="C1022" s="14">
        <f>IFERROR(IF(INDEX('01_Formulario_A11'!$D:$D,MATCH("D19-DOC-PAC-001.ACCESSIBILITY.LEGIBILIDADE",'01_Formulario_A11'!$A:$A,0))="","— (a preencher em 01_Formulario_A11)",INDEX('01_Formulario_A11'!$D:$D,MATCH("D19-DOC-PAC-001.ACCESSIBILITY.LEGIBILIDADE",'01_Formulario_A11'!$A:$A,0))),"— (a preencher em 01_Formulario_A11)")</f>
        <v/>
      </c>
    </row>
    <row r="1023">
      <c r="A1023" s="13" t="inlineStr">
        <is>
          <t>D19-DOC-PAC-001.OWNERSHIP.OWNER</t>
        </is>
      </c>
      <c r="B1023" s="2" t="inlineStr">
        <is>
          <t>owner</t>
        </is>
      </c>
      <c r="C1023" s="14">
        <f>IFERROR(IF(INDEX('01_Formulario_A11'!$D:$D,MATCH("D19-DOC-PAC-001.OWNERSHIP.OWNER",'01_Formulario_A11'!$A:$A,0))="","— (a preencher em 01_Formulario_A11)",INDEX('01_Formulario_A11'!$D:$D,MATCH("D19-DOC-PAC-001.OWNERSHIP.OWNER",'01_Formulario_A11'!$A:$A,0))),"— (a preencher em 01_Formulario_A11)")</f>
        <v/>
      </c>
    </row>
    <row r="1024">
      <c r="A1024" s="13" t="inlineStr">
        <is>
          <t>D19-DOC-PAC-001.OWNERSHIP.APROVADOR</t>
        </is>
      </c>
      <c r="B1024" s="2" t="inlineStr">
        <is>
          <t>aprovador</t>
        </is>
      </c>
      <c r="C1024" s="14">
        <f>IFERROR(IF(INDEX('01_Formulario_A11'!$D:$D,MATCH("D19-DOC-PAC-001.OWNERSHIP.APROVADOR",'01_Formulario_A11'!$A:$A,0))="","— (a preencher em 01_Formulario_A11)",INDEX('01_Formulario_A11'!$D:$D,MATCH("D19-DOC-PAC-001.OWNERSHIP.APROVADOR",'01_Formulario_A11'!$A:$A,0))),"— (a preencher em 01_Formulario_A11)")</f>
        <v/>
      </c>
    </row>
    <row r="1025">
      <c r="A1025" s="13" t="inlineStr">
        <is>
          <t>D19-DOC-PAC-001.STATUS.DRAFT</t>
        </is>
      </c>
      <c r="B1025" s="2" t="inlineStr">
        <is>
          <t>draft</t>
        </is>
      </c>
      <c r="C1025" s="14">
        <f>IFERROR(IF(INDEX('01_Formulario_A11'!$D:$D,MATCH("D19-DOC-PAC-001.STATUS.DRAFT",'01_Formulario_A11'!$A:$A,0))="","— (a preencher em 01_Formulario_A11)",INDEX('01_Formulario_A11'!$D:$D,MATCH("D19-DOC-PAC-001.STATUS.DRAFT",'01_Formulario_A11'!$A:$A,0))),"— (a preencher em 01_Formulario_A11)")</f>
        <v/>
      </c>
    </row>
    <row r="1026">
      <c r="A1026" s="13" t="inlineStr">
        <is>
          <t>D19-DOC-PAC-001.STATUS.APROVADO</t>
        </is>
      </c>
      <c r="B1026" s="2" t="inlineStr">
        <is>
          <t>aprovado</t>
        </is>
      </c>
      <c r="C1026" s="14">
        <f>IFERROR(IF(INDEX('01_Formulario_A11'!$D:$D,MATCH("D19-DOC-PAC-001.STATUS.APROVADO",'01_Formulario_A11'!$A:$A,0))="","— (a preencher em 01_Formulario_A11)",INDEX('01_Formulario_A11'!$D:$D,MATCH("D19-DOC-PAC-001.STATUS.APROVADO",'01_Formulario_A11'!$A:$A,0))),"— (a preencher em 01_Formulario_A11)")</f>
        <v/>
      </c>
    </row>
    <row r="1027">
      <c r="A1027" s="13" t="inlineStr">
        <is>
          <t>D19-DOC-PAC-001.STATUS.PUBLICADO</t>
        </is>
      </c>
      <c r="B1027" s="2" t="inlineStr">
        <is>
          <t>publicado</t>
        </is>
      </c>
      <c r="C1027" s="14">
        <f>IFERROR(IF(INDEX('01_Formulario_A11'!$D:$D,MATCH("D19-DOC-PAC-001.STATUS.PUBLICADO",'01_Formulario_A11'!$A:$A,0))="","— (a preencher em 01_Formulario_A11)",INDEX('01_Formulario_A11'!$D:$D,MATCH("D19-DOC-PAC-001.STATUS.PUBLICADO",'01_Formulario_A11'!$A:$A,0))),"— (a preencher em 01_Formulario_A11)")</f>
        <v/>
      </c>
    </row>
    <row r="1028">
      <c r="A1028" s="13" t="inlineStr">
        <is>
          <t>D19-DOC-PAC-001.REUSE.ATIVO_FONTE</t>
        </is>
      </c>
      <c r="B1028" s="2" t="inlineStr">
        <is>
          <t>ativo_fonte</t>
        </is>
      </c>
      <c r="C1028" s="14">
        <f>IFERROR(IF(INDEX('01_Formulario_A11'!$D:$D,MATCH("D19-DOC-PAC-001.REUSE.ATIVO_FONTE",'01_Formulario_A11'!$A:$A,0))="","— (a preencher em 01_Formulario_A11)",INDEX('01_Formulario_A11'!$D:$D,MATCH("D19-DOC-PAC-001.REUSE.ATIVO_FONTE",'01_Formulario_A11'!$A:$A,0))),"— (a preencher em 01_Formulario_A11)")</f>
        <v/>
      </c>
    </row>
    <row r="1029">
      <c r="A1029" s="13" t="inlineStr">
        <is>
          <t>D19-DOC-PAC-001.REUSE.DERIVADOS</t>
        </is>
      </c>
      <c r="B1029" s="2" t="inlineStr">
        <is>
          <t>derivados</t>
        </is>
      </c>
      <c r="C1029" s="14">
        <f>IFERROR(IF(INDEX('01_Formulario_A11'!$D:$D,MATCH("D19-DOC-PAC-001.REUSE.DERIVADOS",'01_Formulario_A11'!$A:$A,0))="","— (a preencher em 01_Formulario_A11)",INDEX('01_Formulario_A11'!$D:$D,MATCH("D19-DOC-PAC-001.REUSE.DERIVADOS",'01_Formulario_A11'!$A:$A,0))),"— (a preencher em 01_Formulario_A11)")</f>
        <v/>
      </c>
    </row>
    <row r="1030">
      <c r="A1030" s="5" t="inlineStr">
        <is>
          <t>D20-DOC-PPR-001 — Plano de Plataformas e Repositórios [PRE_PREENCHIDO/PENDENTE]</t>
        </is>
      </c>
      <c r="B1030" s="6" t="n"/>
      <c r="C1030" s="7" t="n"/>
    </row>
    <row r="1031">
      <c r="A1031" s="13" t="inlineStr">
        <is>
          <t>D20-DOC-PPR-001.SYSTEMS.PLATAFORMA</t>
        </is>
      </c>
      <c r="B1031" s="2" t="inlineStr">
        <is>
          <t>plataforma</t>
        </is>
      </c>
      <c r="C1031" s="14">
        <f>IFERROR(IF(INDEX('01_Formulario_A11'!$D:$D,MATCH("D20-DOC-PPR-001.SYSTEMS.PLATAFORMA",'01_Formulario_A11'!$A:$A,0))="","— (a preencher em 01_Formulario_A11)",INDEX('01_Formulario_A11'!$D:$D,MATCH("D20-DOC-PPR-001.SYSTEMS.PLATAFORMA",'01_Formulario_A11'!$A:$A,0))),"— (a preencher em 01_Formulario_A11)")</f>
        <v/>
      </c>
    </row>
    <row r="1032">
      <c r="A1032" s="13" t="inlineStr">
        <is>
          <t>D20-DOC-PPR-001.SYSTEMS.FINALIDADE</t>
        </is>
      </c>
      <c r="B1032" s="2" t="inlineStr">
        <is>
          <t>finalidade</t>
        </is>
      </c>
      <c r="C1032" s="14">
        <f>IFERROR(IF(INDEX('01_Formulario_A11'!$D:$D,MATCH("D20-DOC-PPR-001.SYSTEMS.FINALIDADE",'01_Formulario_A11'!$A:$A,0))="","— (a preencher em 01_Formulario_A11)",INDEX('01_Formulario_A11'!$D:$D,MATCH("D20-DOC-PPR-001.SYSTEMS.FINALIDADE",'01_Formulario_A11'!$A:$A,0))),"— (a preencher em 01_Formulario_A11)")</f>
        <v/>
      </c>
    </row>
    <row r="1033">
      <c r="A1033" s="13" t="inlineStr">
        <is>
          <t>D20-DOC-PPR-001.ACCOUNTS.CONTA</t>
        </is>
      </c>
      <c r="B1033" s="2" t="inlineStr">
        <is>
          <t>conta</t>
        </is>
      </c>
      <c r="C1033" s="14">
        <f>IFERROR(IF(INDEX('01_Formulario_A11'!$D:$D,MATCH("D20-DOC-PPR-001.ACCOUNTS.CONTA",'01_Formulario_A11'!$A:$A,0))="","— (a preencher em 01_Formulario_A11)",INDEX('01_Formulario_A11'!$D:$D,MATCH("D20-DOC-PPR-001.ACCOUNTS.CONTA",'01_Formulario_A11'!$A:$A,0))),"— (a preencher em 01_Formulario_A11)")</f>
        <v/>
      </c>
    </row>
    <row r="1034">
      <c r="A1034" s="13" t="inlineStr">
        <is>
          <t>D20-DOC-PPR-001.ACCOUNTS.ORGANIZACAO</t>
        </is>
      </c>
      <c r="B1034" s="2" t="inlineStr">
        <is>
          <t>organizacao</t>
        </is>
      </c>
      <c r="C1034" s="14">
        <f>IFERROR(IF(INDEX('01_Formulario_A11'!$D:$D,MATCH("D20-DOC-PPR-001.ACCOUNTS.ORGANIZACAO",'01_Formulario_A11'!$A:$A,0))="","— (a preencher em 01_Formulario_A11)",INDEX('01_Formulario_A11'!$D:$D,MATCH("D20-DOC-PPR-001.ACCOUNTS.ORGANIZACAO",'01_Formulario_A11'!$A:$A,0))),"— (a preencher em 01_Formulario_A11)")</f>
        <v/>
      </c>
    </row>
    <row r="1035">
      <c r="A1035" s="13" t="inlineStr">
        <is>
          <t>D20-DOC-PPR-001.REPOSITORIES.REPO</t>
        </is>
      </c>
      <c r="B1035" s="2" t="inlineStr">
        <is>
          <t>repo</t>
        </is>
      </c>
      <c r="C1035" s="14">
        <f>IFERROR(IF(INDEX('01_Formulario_A11'!$D:$D,MATCH("D20-DOC-PPR-001.REPOSITORIES.REPO",'01_Formulario_A11'!$A:$A,0))="","— (a preencher em 01_Formulario_A11)",INDEX('01_Formulario_A11'!$D:$D,MATCH("D20-DOC-PPR-001.REPOSITORIES.REPO",'01_Formulario_A11'!$A:$A,0))),"— (a preencher em 01_Formulario_A11)")</f>
        <v/>
      </c>
    </row>
    <row r="1036">
      <c r="A1036" s="13" t="inlineStr">
        <is>
          <t>D20-DOC-PPR-001.REPOSITORIES.OWNER</t>
        </is>
      </c>
      <c r="B1036" s="2" t="inlineStr">
        <is>
          <t>owner</t>
        </is>
      </c>
      <c r="C1036" s="14">
        <f>IFERROR(IF(INDEX('01_Formulario_A11'!$D:$D,MATCH("D20-DOC-PPR-001.REPOSITORIES.OWNER",'01_Formulario_A11'!$A:$A,0))="","— (a preencher em 01_Formulario_A11)",INDEX('01_Formulario_A11'!$D:$D,MATCH("D20-DOC-PPR-001.REPOSITORIES.OWNER",'01_Formulario_A11'!$A:$A,0))),"— (a preencher em 01_Formulario_A11)")</f>
        <v/>
      </c>
    </row>
    <row r="1037">
      <c r="A1037" s="13" t="inlineStr">
        <is>
          <t>D20-DOC-PPR-001.REPOSITORIES.FINALIDADE</t>
        </is>
      </c>
      <c r="B1037" s="2" t="inlineStr">
        <is>
          <t>finalidade</t>
        </is>
      </c>
      <c r="C1037" s="14">
        <f>IFERROR(IF(INDEX('01_Formulario_A11'!$D:$D,MATCH("D20-DOC-PPR-001.REPOSITORIES.FINALIDADE",'01_Formulario_A11'!$A:$A,0))="","— (a preencher em 01_Formulario_A11)",INDEX('01_Formulario_A11'!$D:$D,MATCH("D20-DOC-PPR-001.REPOSITORIES.FINALIDADE",'01_Formulario_A11'!$A:$A,0))),"— (a preencher em 01_Formulario_A11)")</f>
        <v/>
      </c>
    </row>
    <row r="1038">
      <c r="A1038" s="13" t="inlineStr">
        <is>
          <t>D20-DOC-PPR-001.BRANCHES.BRANCH</t>
        </is>
      </c>
      <c r="B1038" s="2" t="inlineStr">
        <is>
          <t>branch</t>
        </is>
      </c>
      <c r="C1038" s="14">
        <f>IFERROR(IF(INDEX('01_Formulario_A11'!$D:$D,MATCH("D20-DOC-PPR-001.BRANCHES.BRANCH",'01_Formulario_A11'!$A:$A,0))="","— (a preencher em 01_Formulario_A11)",INDEX('01_Formulario_A11'!$D:$D,MATCH("D20-DOC-PPR-001.BRANCHES.BRANCH",'01_Formulario_A11'!$A:$A,0))),"— (a preencher em 01_Formulario_A11)")</f>
        <v/>
      </c>
    </row>
    <row r="1039">
      <c r="A1039" s="13" t="inlineStr">
        <is>
          <t>D20-DOC-PPR-001.BRANCHES.FUNCAO</t>
        </is>
      </c>
      <c r="B1039" s="2" t="inlineStr">
        <is>
          <t>funcao</t>
        </is>
      </c>
      <c r="C1039" s="14">
        <f>IFERROR(IF(INDEX('01_Formulario_A11'!$D:$D,MATCH("D20-DOC-PPR-001.BRANCHES.FUNCAO",'01_Formulario_A11'!$A:$A,0))="","— (a preencher em 01_Formulario_A11)",INDEX('01_Formulario_A11'!$D:$D,MATCH("D20-DOC-PPR-001.BRANCHES.FUNCAO",'01_Formulario_A11'!$A:$A,0))),"— (a preencher em 01_Formulario_A11)")</f>
        <v/>
      </c>
    </row>
    <row r="1040">
      <c r="A1040" s="13" t="inlineStr">
        <is>
          <t>D20-DOC-PPR-001.BRANCHES.PROTECAO</t>
        </is>
      </c>
      <c r="B1040" s="2" t="inlineStr">
        <is>
          <t>protecao</t>
        </is>
      </c>
      <c r="C1040" s="14">
        <f>IFERROR(IF(INDEX('01_Formulario_A11'!$D:$D,MATCH("D20-DOC-PPR-001.BRANCHES.PROTECAO",'01_Formulario_A11'!$A:$A,0))="","— (a preencher em 01_Formulario_A11)",INDEX('01_Formulario_A11'!$D:$D,MATCH("D20-DOC-PPR-001.BRANCHES.PROTECAO",'01_Formulario_A11'!$A:$A,0))),"— (a preencher em 01_Formulario_A11)")</f>
        <v/>
      </c>
    </row>
    <row r="1041">
      <c r="A1041" s="13" t="inlineStr">
        <is>
          <t>D20-DOC-PPR-001.DIRECTORIES.PATH</t>
        </is>
      </c>
      <c r="B1041" s="2" t="inlineStr">
        <is>
          <t>path</t>
        </is>
      </c>
      <c r="C1041" s="14">
        <f>IFERROR(IF(INDEX('01_Formulario_A11'!$D:$D,MATCH("D20-DOC-PPR-001.DIRECTORIES.PATH",'01_Formulario_A11'!$A:$A,0))="","— (a preencher em 01_Formulario_A11)",INDEX('01_Formulario_A11'!$D:$D,MATCH("D20-DOC-PPR-001.DIRECTORIES.PATH",'01_Formulario_A11'!$A:$A,0))),"— (a preencher em 01_Formulario_A11)")</f>
        <v/>
      </c>
    </row>
    <row r="1042">
      <c r="A1042" s="13" t="inlineStr">
        <is>
          <t>D20-DOC-PPR-001.DIRECTORIES.RESPONSABILIDADE</t>
        </is>
      </c>
      <c r="B1042" s="2" t="inlineStr">
        <is>
          <t>responsabilidade</t>
        </is>
      </c>
      <c r="C1042" s="14">
        <f>IFERROR(IF(INDEX('01_Formulario_A11'!$D:$D,MATCH("D20-DOC-PPR-001.DIRECTORIES.RESPONSABILIDADE",'01_Formulario_A11'!$A:$A,0))="","— (a preencher em 01_Formulario_A11)",INDEX('01_Formulario_A11'!$D:$D,MATCH("D20-DOC-PPR-001.DIRECTORIES.RESPONSABILIDADE",'01_Formulario_A11'!$A:$A,0))),"— (a preencher em 01_Formulario_A11)")</f>
        <v/>
      </c>
    </row>
    <row r="1043">
      <c r="A1043" s="13" t="inlineStr">
        <is>
          <t>D20-DOC-PPR-001.ENVIRONMENTS.LOCAL</t>
        </is>
      </c>
      <c r="B1043" s="2" t="inlineStr">
        <is>
          <t>local</t>
        </is>
      </c>
      <c r="C1043" s="14">
        <f>IFERROR(IF(INDEX('01_Formulario_A11'!$D:$D,MATCH("D20-DOC-PPR-001.ENVIRONMENTS.LOCAL",'01_Formulario_A11'!$A:$A,0))="","— (a preencher em 01_Formulario_A11)",INDEX('01_Formulario_A11'!$D:$D,MATCH("D20-DOC-PPR-001.ENVIRONMENTS.LOCAL",'01_Formulario_A11'!$A:$A,0))),"— (a preencher em 01_Formulario_A11)")</f>
        <v/>
      </c>
    </row>
    <row r="1044">
      <c r="A1044" s="13" t="inlineStr">
        <is>
          <t>D20-DOC-PPR-001.ENVIRONMENTS.PREVIEW</t>
        </is>
      </c>
      <c r="B1044" s="2" t="inlineStr">
        <is>
          <t>preview</t>
        </is>
      </c>
      <c r="C1044" s="14">
        <f>IFERROR(IF(INDEX('01_Formulario_A11'!$D:$D,MATCH("D20-DOC-PPR-001.ENVIRONMENTS.PREVIEW",'01_Formulario_A11'!$A:$A,0))="","— (a preencher em 01_Formulario_A11)",INDEX('01_Formulario_A11'!$D:$D,MATCH("D20-DOC-PPR-001.ENVIRONMENTS.PREVIEW",'01_Formulario_A11'!$A:$A,0))),"— (a preencher em 01_Formulario_A11)")</f>
        <v/>
      </c>
    </row>
    <row r="1045">
      <c r="A1045" s="13" t="inlineStr">
        <is>
          <t>D20-DOC-PPR-001.ENVIRONMENTS.STAGING</t>
        </is>
      </c>
      <c r="B1045" s="2" t="inlineStr">
        <is>
          <t>staging</t>
        </is>
      </c>
      <c r="C1045" s="14">
        <f>IFERROR(IF(INDEX('01_Formulario_A11'!$D:$D,MATCH("D20-DOC-PPR-001.ENVIRONMENTS.STAGING",'01_Formulario_A11'!$A:$A,0))="","— (a preencher em 01_Formulario_A11)",INDEX('01_Formulario_A11'!$D:$D,MATCH("D20-DOC-PPR-001.ENVIRONMENTS.STAGING",'01_Formulario_A11'!$A:$A,0))),"— (a preencher em 01_Formulario_A11)")</f>
        <v/>
      </c>
    </row>
    <row r="1046">
      <c r="A1046" s="13" t="inlineStr">
        <is>
          <t>D20-DOC-PPR-001.ENVIRONMENTS.PRODUCTION</t>
        </is>
      </c>
      <c r="B1046" s="2" t="inlineStr">
        <is>
          <t>production</t>
        </is>
      </c>
      <c r="C1046" s="14">
        <f>IFERROR(IF(INDEX('01_Formulario_A11'!$D:$D,MATCH("D20-DOC-PPR-001.ENVIRONMENTS.PRODUCTION",'01_Formulario_A11'!$A:$A,0))="","— (a preencher em 01_Formulario_A11)",INDEX('01_Formulario_A11'!$D:$D,MATCH("D20-DOC-PPR-001.ENVIRONMENTS.PRODUCTION",'01_Formulario_A11'!$A:$A,0))),"— (a preencher em 01_Formulario_A11)")</f>
        <v/>
      </c>
    </row>
    <row r="1047">
      <c r="A1047" s="13" t="inlineStr">
        <is>
          <t>D20-DOC-PPR-001.DEPLOYMENTS.APP</t>
        </is>
      </c>
      <c r="B1047" s="2" t="inlineStr">
        <is>
          <t>app</t>
        </is>
      </c>
      <c r="C1047" s="14">
        <f>IFERROR(IF(INDEX('01_Formulario_A11'!$D:$D,MATCH("D20-DOC-PPR-001.DEPLOYMENTS.APP",'01_Formulario_A11'!$A:$A,0))="","— (a preencher em 01_Formulario_A11)",INDEX('01_Formulario_A11'!$D:$D,MATCH("D20-DOC-PPR-001.DEPLOYMENTS.APP",'01_Formulario_A11'!$A:$A,0))),"— (a preencher em 01_Formulario_A11)")</f>
        <v/>
      </c>
    </row>
    <row r="1048">
      <c r="A1048" s="13" t="inlineStr">
        <is>
          <t>D20-DOC-PPR-001.DEPLOYMENTS.PLATAFORMA</t>
        </is>
      </c>
      <c r="B1048" s="2" t="inlineStr">
        <is>
          <t>plataforma</t>
        </is>
      </c>
      <c r="C1048" s="14">
        <f>IFERROR(IF(INDEX('01_Formulario_A11'!$D:$D,MATCH("D20-DOC-PPR-001.DEPLOYMENTS.PLATAFORMA",'01_Formulario_A11'!$A:$A,0))="","— (a preencher em 01_Formulario_A11)",INDEX('01_Formulario_A11'!$D:$D,MATCH("D20-DOC-PPR-001.DEPLOYMENTS.PLATAFORMA",'01_Formulario_A11'!$A:$A,0))),"— (a preencher em 01_Formulario_A11)")</f>
        <v/>
      </c>
    </row>
    <row r="1049">
      <c r="A1049" s="13" t="inlineStr">
        <is>
          <t>D20-DOC-PPR-001.DEPLOYMENTS.URL</t>
        </is>
      </c>
      <c r="B1049" s="2" t="inlineStr">
        <is>
          <t>url</t>
        </is>
      </c>
      <c r="C1049" s="14">
        <f>IFERROR(IF(INDEX('01_Formulario_A11'!$D:$D,MATCH("D20-DOC-PPR-001.DEPLOYMENTS.URL",'01_Formulario_A11'!$A:$A,0))="","— (a preencher em 01_Formulario_A11)",INDEX('01_Formulario_A11'!$D:$D,MATCH("D20-DOC-PPR-001.DEPLOYMENTS.URL",'01_Formulario_A11'!$A:$A,0))),"— (a preencher em 01_Formulario_A11)")</f>
        <v/>
      </c>
    </row>
    <row r="1050">
      <c r="A1050" s="13" t="inlineStr">
        <is>
          <t>D20-DOC-PPR-001.DEPLOYMENTS.STATUS</t>
        </is>
      </c>
      <c r="B1050" s="2" t="inlineStr">
        <is>
          <t>status</t>
        </is>
      </c>
      <c r="C1050" s="14">
        <f>IFERROR(IF(INDEX('01_Formulario_A11'!$D:$D,MATCH("D20-DOC-PPR-001.DEPLOYMENTS.STATUS",'01_Formulario_A11'!$A:$A,0))="","— (a preencher em 01_Formulario_A11)",INDEX('01_Formulario_A11'!$D:$D,MATCH("D20-DOC-PPR-001.DEPLOYMENTS.STATUS",'01_Formulario_A11'!$A:$A,0))),"— (a preencher em 01_Formulario_A11)")</f>
        <v/>
      </c>
    </row>
    <row r="1051">
      <c r="A1051" s="13" t="inlineStr">
        <is>
          <t>D20-DOC-PPR-001.DOMAINS.DOMINIO</t>
        </is>
      </c>
      <c r="B1051" s="2" t="inlineStr">
        <is>
          <t>dominio</t>
        </is>
      </c>
      <c r="C1051" s="14">
        <f>IFERROR(IF(INDEX('01_Formulario_A11'!$D:$D,MATCH("D20-DOC-PPR-001.DOMAINS.DOMINIO",'01_Formulario_A11'!$A:$A,0))="","— (a preencher em 01_Formulario_A11)",INDEX('01_Formulario_A11'!$D:$D,MATCH("D20-DOC-PPR-001.DOMAINS.DOMINIO",'01_Formulario_A11'!$A:$A,0))),"— (a preencher em 01_Formulario_A11)")</f>
        <v/>
      </c>
    </row>
    <row r="1052">
      <c r="A1052" s="13" t="inlineStr">
        <is>
          <t>D20-DOC-PPR-001.DOMAINS.DESTINO</t>
        </is>
      </c>
      <c r="B1052" s="2" t="inlineStr">
        <is>
          <t>destino</t>
        </is>
      </c>
      <c r="C1052" s="14">
        <f>IFERROR(IF(INDEX('01_Formulario_A11'!$D:$D,MATCH("D20-DOC-PPR-001.DOMAINS.DESTINO",'01_Formulario_A11'!$A:$A,0))="","— (a preencher em 01_Formulario_A11)",INDEX('01_Formulario_A11'!$D:$D,MATCH("D20-DOC-PPR-001.DOMAINS.DESTINO",'01_Formulario_A11'!$A:$A,0))),"— (a preencher em 01_Formulario_A11)")</f>
        <v/>
      </c>
    </row>
    <row r="1053">
      <c r="A1053" s="13" t="inlineStr">
        <is>
          <t>D20-DOC-PPR-001.INTEGRATIONS.ORIGEM</t>
        </is>
      </c>
      <c r="B1053" s="2" t="inlineStr">
        <is>
          <t>origem</t>
        </is>
      </c>
      <c r="C1053" s="14">
        <f>IFERROR(IF(INDEX('01_Formulario_A11'!$D:$D,MATCH("D20-DOC-PPR-001.INTEGRATIONS.ORIGEM",'01_Formulario_A11'!$A:$A,0))="","— (a preencher em 01_Formulario_A11)",INDEX('01_Formulario_A11'!$D:$D,MATCH("D20-DOC-PPR-001.INTEGRATIONS.ORIGEM",'01_Formulario_A11'!$A:$A,0))),"— (a preencher em 01_Formulario_A11)")</f>
        <v/>
      </c>
    </row>
    <row r="1054">
      <c r="A1054" s="13" t="inlineStr">
        <is>
          <t>D20-DOC-PPR-001.INTEGRATIONS.DESTINO</t>
        </is>
      </c>
      <c r="B1054" s="2" t="inlineStr">
        <is>
          <t>destino</t>
        </is>
      </c>
      <c r="C1054" s="14">
        <f>IFERROR(IF(INDEX('01_Formulario_A11'!$D:$D,MATCH("D20-DOC-PPR-001.INTEGRATIONS.DESTINO",'01_Formulario_A11'!$A:$A,0))="","— (a preencher em 01_Formulario_A11)",INDEX('01_Formulario_A11'!$D:$D,MATCH("D20-DOC-PPR-001.INTEGRATIONS.DESTINO",'01_Formulario_A11'!$A:$A,0))),"— (a preencher em 01_Formulario_A11)")</f>
        <v/>
      </c>
    </row>
    <row r="1055">
      <c r="A1055" s="13" t="inlineStr">
        <is>
          <t>D20-DOC-PPR-001.INTEGRATIONS.METODO</t>
        </is>
      </c>
      <c r="B1055" s="2" t="inlineStr">
        <is>
          <t>metodo</t>
        </is>
      </c>
      <c r="C1055" s="14">
        <f>IFERROR(IF(INDEX('01_Formulario_A11'!$D:$D,MATCH("D20-DOC-PPR-001.INTEGRATIONS.METODO",'01_Formulario_A11'!$A:$A,0))="","— (a preencher em 01_Formulario_A11)",INDEX('01_Formulario_A11'!$D:$D,MATCH("D20-DOC-PPR-001.INTEGRATIONS.METODO",'01_Formulario_A11'!$A:$A,0))),"— (a preencher em 01_Formulario_A11)")</f>
        <v/>
      </c>
    </row>
    <row r="1056">
      <c r="A1056" s="13" t="inlineStr">
        <is>
          <t>D20-DOC-PPR-001.PERMISSIONS.SISTEMA</t>
        </is>
      </c>
      <c r="B1056" s="2" t="inlineStr">
        <is>
          <t>sistema</t>
        </is>
      </c>
      <c r="C1056" s="14">
        <f>IFERROR(IF(INDEX('01_Formulario_A11'!$D:$D,MATCH("D20-DOC-PPR-001.PERMISSIONS.SISTEMA",'01_Formulario_A11'!$A:$A,0))="","— (a preencher em 01_Formulario_A11)",INDEX('01_Formulario_A11'!$D:$D,MATCH("D20-DOC-PPR-001.PERMISSIONS.SISTEMA",'01_Formulario_A11'!$A:$A,0))),"— (a preencher em 01_Formulario_A11)")</f>
        <v/>
      </c>
    </row>
    <row r="1057">
      <c r="A1057" s="13" t="inlineStr">
        <is>
          <t>D20-DOC-PPR-001.PERMISSIONS.PERFIL</t>
        </is>
      </c>
      <c r="B1057" s="2" t="inlineStr">
        <is>
          <t>perfil</t>
        </is>
      </c>
      <c r="C1057" s="14">
        <f>IFERROR(IF(INDEX('01_Formulario_A11'!$D:$D,MATCH("D20-DOC-PPR-001.PERMISSIONS.PERFIL",'01_Formulario_A11'!$A:$A,0))="","— (a preencher em 01_Formulario_A11)",INDEX('01_Formulario_A11'!$D:$D,MATCH("D20-DOC-PPR-001.PERMISSIONS.PERFIL",'01_Formulario_A11'!$A:$A,0))),"— (a preencher em 01_Formulario_A11)")</f>
        <v/>
      </c>
    </row>
    <row r="1058">
      <c r="A1058" s="13" t="inlineStr">
        <is>
          <t>D20-DOC-PPR-001.PERMISSIONS.ACESSO</t>
        </is>
      </c>
      <c r="B1058" s="2" t="inlineStr">
        <is>
          <t>acesso</t>
        </is>
      </c>
      <c r="C1058" s="14">
        <f>IFERROR(IF(INDEX('01_Formulario_A11'!$D:$D,MATCH("D20-DOC-PPR-001.PERMISSIONS.ACESSO",'01_Formulario_A11'!$A:$A,0))="","— (a preencher em 01_Formulario_A11)",INDEX('01_Formulario_A11'!$D:$D,MATCH("D20-DOC-PPR-001.PERMISSIONS.ACESSO",'01_Formulario_A11'!$A:$A,0))),"— (a preencher em 01_Formulario_A11)")</f>
        <v/>
      </c>
    </row>
    <row r="1059">
      <c r="A1059" s="13" t="inlineStr">
        <is>
          <t>D20-DOC-PPR-001.SECRETS.SECRET_NAME</t>
        </is>
      </c>
      <c r="B1059" s="2" t="inlineStr">
        <is>
          <t>secret_name</t>
        </is>
      </c>
      <c r="C1059" s="14">
        <f>IFERROR(IF(INDEX('01_Formulario_A11'!$D:$D,MATCH("D20-DOC-PPR-001.SECRETS.SECRET_NAME",'01_Formulario_A11'!$A:$A,0))="","— (a preencher em 01_Formulario_A11)",INDEX('01_Formulario_A11'!$D:$D,MATCH("D20-DOC-PPR-001.SECRETS.SECRET_NAME",'01_Formulario_A11'!$A:$A,0))),"— (a preencher em 01_Formulario_A11)")</f>
        <v/>
      </c>
    </row>
    <row r="1060">
      <c r="A1060" s="13" t="inlineStr">
        <is>
          <t>D20-DOC-PPR-001.SECRETS.LOCALIZACAO_SEM_VALOR</t>
        </is>
      </c>
      <c r="B1060" s="2" t="inlineStr">
        <is>
          <t>localizacao_sem_valor</t>
        </is>
      </c>
      <c r="C1060" s="14">
        <f>IFERROR(IF(INDEX('01_Formulario_A11'!$D:$D,MATCH("D20-DOC-PPR-001.SECRETS.LOCALIZACAO_SEM_VALOR",'01_Formulario_A11'!$A:$A,0))="","— (a preencher em 01_Formulario_A11)",INDEX('01_Formulario_A11'!$D:$D,MATCH("D20-DOC-PPR-001.SECRETS.LOCALIZACAO_SEM_VALOR",'01_Formulario_A11'!$A:$A,0))),"— (a preencher em 01_Formulario_A11)")</f>
        <v/>
      </c>
    </row>
    <row r="1061">
      <c r="A1061" s="13" t="inlineStr">
        <is>
          <t>D20-DOC-PPR-001.SOURCE_OF_TRUTH.OBJETO</t>
        </is>
      </c>
      <c r="B1061" s="2" t="inlineStr">
        <is>
          <t>objeto</t>
        </is>
      </c>
      <c r="C1061" s="14">
        <f>IFERROR(IF(INDEX('01_Formulario_A11'!$D:$D,MATCH("D20-DOC-PPR-001.SOURCE_OF_TRUTH.OBJETO",'01_Formulario_A11'!$A:$A,0))="","— (a preencher em 01_Formulario_A11)",INDEX('01_Formulario_A11'!$D:$D,MATCH("D20-DOC-PPR-001.SOURCE_OF_TRUTH.OBJETO",'01_Formulario_A11'!$A:$A,0))),"— (a preencher em 01_Formulario_A11)")</f>
        <v/>
      </c>
    </row>
    <row r="1062">
      <c r="A1062" s="13" t="inlineStr">
        <is>
          <t>D20-DOC-PPR-001.SOURCE_OF_TRUTH.REPOSITORIO</t>
        </is>
      </c>
      <c r="B1062" s="2" t="inlineStr">
        <is>
          <t>repositorio</t>
        </is>
      </c>
      <c r="C1062" s="14">
        <f>IFERROR(IF(INDEX('01_Formulario_A11'!$D:$D,MATCH("D20-DOC-PPR-001.SOURCE_OF_TRUTH.REPOSITORIO",'01_Formulario_A11'!$A:$A,0))="","— (a preencher em 01_Formulario_A11)",INDEX('01_Formulario_A11'!$D:$D,MATCH("D20-DOC-PPR-001.SOURCE_OF_TRUTH.REPOSITORIO",'01_Formulario_A11'!$A:$A,0))),"— (a preencher em 01_Formulario_A11)")</f>
        <v/>
      </c>
    </row>
    <row r="1063">
      <c r="A1063" s="13" t="inlineStr">
        <is>
          <t>D20-DOC-PPR-001.BACKUPS.OBJETO</t>
        </is>
      </c>
      <c r="B1063" s="2" t="inlineStr">
        <is>
          <t>objeto</t>
        </is>
      </c>
      <c r="C1063" s="14">
        <f>IFERROR(IF(INDEX('01_Formulario_A11'!$D:$D,MATCH("D20-DOC-PPR-001.BACKUPS.OBJETO",'01_Formulario_A11'!$A:$A,0))="","— (a preencher em 01_Formulario_A11)",INDEX('01_Formulario_A11'!$D:$D,MATCH("D20-DOC-PPR-001.BACKUPS.OBJETO",'01_Formulario_A11'!$A:$A,0))),"— (a preencher em 01_Formulario_A11)")</f>
        <v/>
      </c>
    </row>
    <row r="1064">
      <c r="A1064" s="13" t="inlineStr">
        <is>
          <t>D20-DOC-PPR-001.BACKUPS.ESTRATEGIA</t>
        </is>
      </c>
      <c r="B1064" s="2" t="inlineStr">
        <is>
          <t>estrategia</t>
        </is>
      </c>
      <c r="C1064" s="14">
        <f>IFERROR(IF(INDEX('01_Formulario_A11'!$D:$D,MATCH("D20-DOC-PPR-001.BACKUPS.ESTRATEGIA",'01_Formulario_A11'!$A:$A,0))="","— (a preencher em 01_Formulario_A11)",INDEX('01_Formulario_A11'!$D:$D,MATCH("D20-DOC-PPR-001.BACKUPS.ESTRATEGIA",'01_Formulario_A11'!$A:$A,0))),"— (a preencher em 01_Formulario_A11)")</f>
        <v/>
      </c>
    </row>
    <row r="1065">
      <c r="A1065" s="13" t="inlineStr">
        <is>
          <t>D20-DOC-PPR-001.RECOVERY.PROCEDIMENTO</t>
        </is>
      </c>
      <c r="B1065" s="2" t="inlineStr">
        <is>
          <t>procedimento</t>
        </is>
      </c>
      <c r="C1065" s="14">
        <f>IFERROR(IF(INDEX('01_Formulario_A11'!$D:$D,MATCH("D20-DOC-PPR-001.RECOVERY.PROCEDIMENTO",'01_Formulario_A11'!$A:$A,0))="","— (a preencher em 01_Formulario_A11)",INDEX('01_Formulario_A11'!$D:$D,MATCH("D20-DOC-PPR-001.RECOVERY.PROCEDIMENTO",'01_Formulario_A11'!$A:$A,0))),"— (a preencher em 01_Formulario_A11)")</f>
        <v/>
      </c>
    </row>
    <row r="1066">
      <c r="A1066" s="13" t="inlineStr">
        <is>
          <t>D20-DOC-PPR-001.RECOVERY.RTO</t>
        </is>
      </c>
      <c r="B1066" s="2" t="inlineStr">
        <is>
          <t>rto</t>
        </is>
      </c>
      <c r="C1066" s="14">
        <f>IFERROR(IF(INDEX('01_Formulario_A11'!$D:$D,MATCH("D20-DOC-PPR-001.RECOVERY.RTO",'01_Formulario_A11'!$A:$A,0))="","— (a preencher em 01_Formulario_A11)",INDEX('01_Formulario_A11'!$D:$D,MATCH("D20-DOC-PPR-001.RECOVERY.RTO",'01_Formulario_A11'!$A:$A,0))),"— (a preencher em 01_Formulario_A11)")</f>
        <v/>
      </c>
    </row>
    <row r="1067">
      <c r="A1067" s="13" t="inlineStr">
        <is>
          <t>D20-DOC-PPR-001.RECOVERY.RPO</t>
        </is>
      </c>
      <c r="B1067" s="2" t="inlineStr">
        <is>
          <t>rpo</t>
        </is>
      </c>
      <c r="C1067" s="14">
        <f>IFERROR(IF(INDEX('01_Formulario_A11'!$D:$D,MATCH("D20-DOC-PPR-001.RECOVERY.RPO",'01_Formulario_A11'!$A:$A,0))="","— (a preencher em 01_Formulario_A11)",INDEX('01_Formulario_A11'!$D:$D,MATCH("D20-DOC-PPR-001.RECOVERY.RPO",'01_Formulario_A11'!$A:$A,0))),"— (a preencher em 01_Formulario_A11)")</f>
        <v/>
      </c>
    </row>
    <row r="1068">
      <c r="A1068" s="13" t="inlineStr">
        <is>
          <t>D20-DOC-PPR-001.MAINTENANCE.ROTINA</t>
        </is>
      </c>
      <c r="B1068" s="2" t="inlineStr">
        <is>
          <t>rotina</t>
        </is>
      </c>
      <c r="C1068" s="14">
        <f>IFERROR(IF(INDEX('01_Formulario_A11'!$D:$D,MATCH("D20-DOC-PPR-001.MAINTENANCE.ROTINA",'01_Formulario_A11'!$A:$A,0))="","— (a preencher em 01_Formulario_A11)",INDEX('01_Formulario_A11'!$D:$D,MATCH("D20-DOC-PPR-001.MAINTENANCE.ROTINA",'01_Formulario_A11'!$A:$A,0))),"— (a preencher em 01_Formulario_A11)")</f>
        <v/>
      </c>
    </row>
    <row r="1069">
      <c r="A1069" s="13" t="inlineStr">
        <is>
          <t>D20-DOC-PPR-001.MAINTENANCE.OWNER</t>
        </is>
      </c>
      <c r="B1069" s="2" t="inlineStr">
        <is>
          <t>owner</t>
        </is>
      </c>
      <c r="C1069" s="14">
        <f>IFERROR(IF(INDEX('01_Formulario_A11'!$D:$D,MATCH("D20-DOC-PPR-001.MAINTENANCE.OWNER",'01_Formulario_A11'!$A:$A,0))="","— (a preencher em 01_Formulario_A11)",INDEX('01_Formulario_A11'!$D:$D,MATCH("D20-DOC-PPR-001.MAINTENANCE.OWNER",'01_Formulario_A11'!$A:$A,0))),"— (a preencher em 01_Formulario_A11)")</f>
        <v/>
      </c>
    </row>
    <row r="1070">
      <c r="A1070" s="5" t="inlineStr">
        <is>
          <t>D21-DOC-PWB-001 — Plano de Workbooks [PRE_PREENCHIDO/PENDENTE]</t>
        </is>
      </c>
      <c r="B1070" s="6" t="n"/>
      <c r="C1070" s="7" t="n"/>
    </row>
    <row r="1071">
      <c r="A1071" s="13" t="inlineStr">
        <is>
          <t>D21-DOC-PWB-001.WORKBOOK_CATALOG.WORKBOOK_ID</t>
        </is>
      </c>
      <c r="B1071" s="2" t="inlineStr">
        <is>
          <t>workbook_id</t>
        </is>
      </c>
      <c r="C1071" s="14">
        <f>IFERROR(IF(INDEX('01_Formulario_A10'!$D:$D,MATCH("D21-DOC-PWB-001.WORKBOOK_CATALOG.WORKBOOK_ID",'01_Formulario_A10'!$A:$A,0))="","— (a preencher em 01_Formulario_A10)",INDEX('01_Formulario_A10'!$D:$D,MATCH("D21-DOC-PWB-001.WORKBOOK_CATALOG.WORKBOOK_ID",'01_Formulario_A10'!$A:$A,0))),"— (a preencher em 01_Formulario_A10)")</f>
        <v/>
      </c>
    </row>
    <row r="1072">
      <c r="A1072" s="13" t="inlineStr">
        <is>
          <t>D21-DOC-PWB-001.WORKBOOK_CATALOG.NOME</t>
        </is>
      </c>
      <c r="B1072" s="2" t="inlineStr">
        <is>
          <t>nome</t>
        </is>
      </c>
      <c r="C1072" s="14">
        <f>IFERROR(IF(INDEX('01_Formulario_A10'!$D:$D,MATCH("D21-DOC-PWB-001.WORKBOOK_CATALOG.NOME",'01_Formulario_A10'!$A:$A,0))="","— (a preencher em 01_Formulario_A10)",INDEX('01_Formulario_A10'!$D:$D,MATCH("D21-DOC-PWB-001.WORKBOOK_CATALOG.NOME",'01_Formulario_A10'!$A:$A,0))),"— (a preencher em 01_Formulario_A10)")</f>
        <v/>
      </c>
    </row>
    <row r="1073">
      <c r="A1073" s="13" t="inlineStr">
        <is>
          <t>D21-DOC-PWB-001.PURPOSE.OBJETIVO</t>
        </is>
      </c>
      <c r="B1073" s="2" t="inlineStr">
        <is>
          <t>objetivo</t>
        </is>
      </c>
      <c r="C1073" s="14">
        <f>IFERROR(IF(INDEX('01_Formulario_A10'!$D:$D,MATCH("D21-DOC-PWB-001.PURPOSE.OBJETIVO",'01_Formulario_A10'!$A:$A,0))="","— (a preencher em 01_Formulario_A10)",INDEX('01_Formulario_A10'!$D:$D,MATCH("D21-DOC-PWB-001.PURPOSE.OBJETIVO",'01_Formulario_A10'!$A:$A,0))),"— (a preencher em 01_Formulario_A10)")</f>
        <v/>
      </c>
    </row>
    <row r="1074">
      <c r="A1074" s="13" t="inlineStr">
        <is>
          <t>D21-DOC-PWB-001.PURPOSE.USUARIO</t>
        </is>
      </c>
      <c r="B1074" s="2" t="inlineStr">
        <is>
          <t>usuario</t>
        </is>
      </c>
      <c r="C1074" s="14">
        <f>IFERROR(IF(INDEX('01_Formulario_A10'!$D:$D,MATCH("D21-DOC-PWB-001.PURPOSE.USUARIO",'01_Formulario_A10'!$A:$A,0))="","— (a preencher em 01_Formulario_A10)",INDEX('01_Formulario_A10'!$D:$D,MATCH("D21-DOC-PWB-001.PURPOSE.USUARIO",'01_Formulario_A10'!$A:$A,0))),"— (a preencher em 01_Formulario_A10)")</f>
        <v/>
      </c>
    </row>
    <row r="1075">
      <c r="A1075" s="13" t="inlineStr">
        <is>
          <t>D21-DOC-PWB-001.SOURCE_DATA.FONTE</t>
        </is>
      </c>
      <c r="B1075" s="2" t="inlineStr">
        <is>
          <t>fonte</t>
        </is>
      </c>
      <c r="C1075" s="14">
        <f>IFERROR(IF(INDEX('01_Formulario_A10'!$D:$D,MATCH("D21-DOC-PWB-001.SOURCE_DATA.FONTE",'01_Formulario_A10'!$A:$A,0))="","— (a preencher em 01_Formulario_A10)",INDEX('01_Formulario_A10'!$D:$D,MATCH("D21-DOC-PWB-001.SOURCE_DATA.FONTE",'01_Formulario_A10'!$A:$A,0))),"— (a preencher em 01_Formulario_A10)")</f>
        <v/>
      </c>
    </row>
    <row r="1076">
      <c r="A1076" s="13" t="inlineStr">
        <is>
          <t>D21-DOC-PWB-001.SOURCE_DATA.ATUALIZACAO</t>
        </is>
      </c>
      <c r="B1076" s="2" t="inlineStr">
        <is>
          <t>atualizacao</t>
        </is>
      </c>
      <c r="C1076" s="14">
        <f>IFERROR(IF(INDEX('01_Formulario_A10'!$D:$D,MATCH("D21-DOC-PWB-001.SOURCE_DATA.ATUALIZACAO",'01_Formulario_A10'!$A:$A,0))="","— (a preencher em 01_Formulario_A10)",INDEX('01_Formulario_A10'!$D:$D,MATCH("D21-DOC-PWB-001.SOURCE_DATA.ATUALIZACAO",'01_Formulario_A10'!$A:$A,0))),"— (a preencher em 01_Formulario_A10)")</f>
        <v/>
      </c>
    </row>
    <row r="1077">
      <c r="A1077" s="13" t="inlineStr">
        <is>
          <t>D21-DOC-PWB-001.SHEETS.ABA</t>
        </is>
      </c>
      <c r="B1077" s="2" t="inlineStr">
        <is>
          <t>aba</t>
        </is>
      </c>
      <c r="C1077" s="14">
        <f>IFERROR(IF(INDEX('01_Formulario_A10'!$D:$D,MATCH("D21-DOC-PWB-001.SHEETS.ABA",'01_Formulario_A10'!$A:$A,0))="","— (a preencher em 01_Formulario_A10)",INDEX('01_Formulario_A10'!$D:$D,MATCH("D21-DOC-PWB-001.SHEETS.ABA",'01_Formulario_A10'!$A:$A,0))),"— (a preencher em 01_Formulario_A10)")</f>
        <v/>
      </c>
    </row>
    <row r="1078">
      <c r="A1078" s="13" t="inlineStr">
        <is>
          <t>D21-DOC-PWB-001.SHEETS.FINALIDADE</t>
        </is>
      </c>
      <c r="B1078" s="2" t="inlineStr">
        <is>
          <t>finalidade</t>
        </is>
      </c>
      <c r="C1078" s="14">
        <f>IFERROR(IF(INDEX('01_Formulario_A10'!$D:$D,MATCH("D21-DOC-PWB-001.SHEETS.FINALIDADE",'01_Formulario_A10'!$A:$A,0))="","— (a preencher em 01_Formulario_A10)",INDEX('01_Formulario_A10'!$D:$D,MATCH("D21-DOC-PWB-001.SHEETS.FINALIDADE",'01_Formulario_A10'!$A:$A,0))),"— (a preencher em 01_Formulario_A10)")</f>
        <v/>
      </c>
    </row>
    <row r="1079">
      <c r="A1079" s="13" t="inlineStr">
        <is>
          <t>D21-DOC-PWB-001.FIELDS.CAMPO</t>
        </is>
      </c>
      <c r="B1079" s="2" t="inlineStr">
        <is>
          <t>campo</t>
        </is>
      </c>
      <c r="C1079" s="14">
        <f>IFERROR(IF(INDEX('01_Formulario_A10'!$D:$D,MATCH("D21-DOC-PWB-001.FIELDS.CAMPO",'01_Formulario_A10'!$A:$A,0))="","— (a preencher em 01_Formulario_A10)",INDEX('01_Formulario_A10'!$D:$D,MATCH("D21-DOC-PWB-001.FIELDS.CAMPO",'01_Formulario_A10'!$A:$A,0))),"— (a preencher em 01_Formulario_A10)")</f>
        <v/>
      </c>
    </row>
    <row r="1080">
      <c r="A1080" s="13" t="inlineStr">
        <is>
          <t>D21-DOC-PWB-001.FIELDS.DEFINICAO</t>
        </is>
      </c>
      <c r="B1080" s="2" t="inlineStr">
        <is>
          <t>definicao</t>
        </is>
      </c>
      <c r="C1080" s="14">
        <f>IFERROR(IF(INDEX('01_Formulario_A10'!$D:$D,MATCH("D21-DOC-PWB-001.FIELDS.DEFINICAO",'01_Formulario_A10'!$A:$A,0))="","— (a preencher em 01_Formulario_A10)",INDEX('01_Formulario_A10'!$D:$D,MATCH("D21-DOC-PWB-001.FIELDS.DEFINICAO",'01_Formulario_A10'!$A:$A,0))),"— (a preencher em 01_Formulario_A10)")</f>
        <v/>
      </c>
    </row>
    <row r="1081">
      <c r="A1081" s="13" t="inlineStr">
        <is>
          <t>D21-DOC-PWB-001.FORMULAS.FORMULA</t>
        </is>
      </c>
      <c r="B1081" s="2" t="inlineStr">
        <is>
          <t>formula</t>
        </is>
      </c>
      <c r="C1081" s="14">
        <f>IFERROR(IF(INDEX('01_Formulario_A10'!$D:$D,MATCH("D21-DOC-PWB-001.FORMULAS.FORMULA",'01_Formulario_A10'!$A:$A,0))="","— (a preencher em 01_Formulario_A10)",INDEX('01_Formulario_A10'!$D:$D,MATCH("D21-DOC-PWB-001.FORMULAS.FORMULA",'01_Formulario_A10'!$A:$A,0))),"— (a preencher em 01_Formulario_A10)")</f>
        <v/>
      </c>
    </row>
    <row r="1082">
      <c r="A1082" s="13" t="inlineStr">
        <is>
          <t>D21-DOC-PWB-001.FORMULAS.LOGICA</t>
        </is>
      </c>
      <c r="B1082" s="2" t="inlineStr">
        <is>
          <t>logica</t>
        </is>
      </c>
      <c r="C1082" s="14">
        <f>IFERROR(IF(INDEX('01_Formulario_A10'!$D:$D,MATCH("D21-DOC-PWB-001.FORMULAS.LOGICA",'01_Formulario_A10'!$A:$A,0))="","— (a preencher em 01_Formulario_A10)",INDEX('01_Formulario_A10'!$D:$D,MATCH("D21-DOC-PWB-001.FORMULAS.LOGICA",'01_Formulario_A10'!$A:$A,0))),"— (a preencher em 01_Formulario_A10)")</f>
        <v/>
      </c>
    </row>
    <row r="1083">
      <c r="A1083" s="13" t="inlineStr">
        <is>
          <t>D21-DOC-PWB-001.INPUTS.ENTRADA</t>
        </is>
      </c>
      <c r="B1083" s="2" t="inlineStr">
        <is>
          <t>entrada</t>
        </is>
      </c>
      <c r="C1083" s="14">
        <f>IFERROR(IF(INDEX('01_Formulario_A10'!$D:$D,MATCH("D21-DOC-PWB-001.INPUTS.ENTRADA",'01_Formulario_A10'!$A:$A,0))="","— (a preencher em 01_Formulario_A10)",INDEX('01_Formulario_A10'!$D:$D,MATCH("D21-DOC-PWB-001.INPUTS.ENTRADA",'01_Formulario_A10'!$A:$A,0))),"— (a preencher em 01_Formulario_A10)")</f>
        <v/>
      </c>
    </row>
    <row r="1084">
      <c r="A1084" s="13" t="inlineStr">
        <is>
          <t>D21-DOC-PWB-001.INPUTS.TIPO</t>
        </is>
      </c>
      <c r="B1084" s="2" t="inlineStr">
        <is>
          <t>tipo</t>
        </is>
      </c>
      <c r="C1084" s="14">
        <f>IFERROR(IF(INDEX('01_Formulario_A10'!$D:$D,MATCH("D21-DOC-PWB-001.INPUTS.TIPO",'01_Formulario_A10'!$A:$A,0))="","— (a preencher em 01_Formulario_A10)",INDEX('01_Formulario_A10'!$D:$D,MATCH("D21-DOC-PWB-001.INPUTS.TIPO",'01_Formulario_A10'!$A:$A,0))),"— (a preencher em 01_Formulario_A10)")</f>
        <v/>
      </c>
    </row>
    <row r="1085">
      <c r="A1085" s="13" t="inlineStr">
        <is>
          <t>D21-DOC-PWB-001.OUTPUTS.RELATORIO</t>
        </is>
      </c>
      <c r="B1085" s="2" t="inlineStr">
        <is>
          <t>relatorio</t>
        </is>
      </c>
      <c r="C1085" s="14">
        <f>IFERROR(IF(INDEX('01_Formulario_A10'!$D:$D,MATCH("D21-DOC-PWB-001.OUTPUTS.RELATORIO",'01_Formulario_A10'!$A:$A,0))="","— (a preencher em 01_Formulario_A10)",INDEX('01_Formulario_A10'!$D:$D,MATCH("D21-DOC-PWB-001.OUTPUTS.RELATORIO",'01_Formulario_A10'!$A:$A,0))),"— (a preencher em 01_Formulario_A10)")</f>
        <v/>
      </c>
    </row>
    <row r="1086">
      <c r="A1086" s="13" t="inlineStr">
        <is>
          <t>D21-DOC-PWB-001.OUTPUTS.INDICADOR</t>
        </is>
      </c>
      <c r="B1086" s="2" t="inlineStr">
        <is>
          <t>indicador</t>
        </is>
      </c>
      <c r="C1086" s="14">
        <f>IFERROR(IF(INDEX('01_Formulario_A10'!$D:$D,MATCH("D21-DOC-PWB-001.OUTPUTS.INDICADOR",'01_Formulario_A10'!$A:$A,0))="","— (a preencher em 01_Formulario_A10)",INDEX('01_Formulario_A10'!$D:$D,MATCH("D21-DOC-PWB-001.OUTPUTS.INDICADOR",'01_Formulario_A10'!$A:$A,0))),"— (a preencher em 01_Formulario_A10)")</f>
        <v/>
      </c>
    </row>
    <row r="1087">
      <c r="A1087" s="13" t="inlineStr">
        <is>
          <t>D21-DOC-PWB-001.VALIDATION.REGRA</t>
        </is>
      </c>
      <c r="B1087" s="2" t="inlineStr">
        <is>
          <t>regra</t>
        </is>
      </c>
      <c r="C1087" s="14">
        <f>IFERROR(IF(INDEX('01_Formulario_A10'!$D:$D,MATCH("D21-DOC-PWB-001.VALIDATION.REGRA",'01_Formulario_A10'!$A:$A,0))="","— (a preencher em 01_Formulario_A10)",INDEX('01_Formulario_A10'!$D:$D,MATCH("D21-DOC-PWB-001.VALIDATION.REGRA",'01_Formulario_A10'!$A:$A,0))),"— (a preencher em 01_Formulario_A10)")</f>
        <v/>
      </c>
    </row>
    <row r="1088">
      <c r="A1088" s="13" t="inlineStr">
        <is>
          <t>D21-DOC-PWB-001.VALIDATION.ERRO</t>
        </is>
      </c>
      <c r="B1088" s="2" t="inlineStr">
        <is>
          <t>erro</t>
        </is>
      </c>
      <c r="C1088" s="14">
        <f>IFERROR(IF(INDEX('01_Formulario_A10'!$D:$D,MATCH("D21-DOC-PWB-001.VALIDATION.ERRO",'01_Formulario_A10'!$A:$A,0))="","— (a preencher em 01_Formulario_A10)",INDEX('01_Formulario_A10'!$D:$D,MATCH("D21-DOC-PWB-001.VALIDATION.ERRO",'01_Formulario_A10'!$A:$A,0))),"— (a preencher em 01_Formulario_A10)")</f>
        <v/>
      </c>
    </row>
    <row r="1089">
      <c r="A1089" s="13" t="inlineStr">
        <is>
          <t>D21-DOC-PWB-001.VISUALIZATION.GRAFICO</t>
        </is>
      </c>
      <c r="B1089" s="2" t="inlineStr">
        <is>
          <t>grafico</t>
        </is>
      </c>
      <c r="C1089" s="14">
        <f>IFERROR(IF(INDEX('01_Formulario_A10'!$D:$D,MATCH("D21-DOC-PWB-001.VISUALIZATION.GRAFICO",'01_Formulario_A10'!$A:$A,0))="","— (a preencher em 01_Formulario_A10)",INDEX('01_Formulario_A10'!$D:$D,MATCH("D21-DOC-PWB-001.VISUALIZATION.GRAFICO",'01_Formulario_A10'!$A:$A,0))),"— (a preencher em 01_Formulario_A10)")</f>
        <v/>
      </c>
    </row>
    <row r="1090">
      <c r="A1090" s="13" t="inlineStr">
        <is>
          <t>D21-DOC-PWB-001.VISUALIZATION.TABELA</t>
        </is>
      </c>
      <c r="B1090" s="2" t="inlineStr">
        <is>
          <t>tabela</t>
        </is>
      </c>
      <c r="C1090" s="14">
        <f>IFERROR(IF(INDEX('01_Formulario_A10'!$D:$D,MATCH("D21-DOC-PWB-001.VISUALIZATION.TABELA",'01_Formulario_A10'!$A:$A,0))="","— (a preencher em 01_Formulario_A10)",INDEX('01_Formulario_A10'!$D:$D,MATCH("D21-DOC-PWB-001.VISUALIZATION.TABELA",'01_Formulario_A10'!$A:$A,0))),"— (a preencher em 01_Formulario_A10)")</f>
        <v/>
      </c>
    </row>
    <row r="1091">
      <c r="A1091" s="13" t="inlineStr">
        <is>
          <t>D21-DOC-PWB-001.PRINTING.FORMATO</t>
        </is>
      </c>
      <c r="B1091" s="2" t="inlineStr">
        <is>
          <t>formato</t>
        </is>
      </c>
      <c r="C1091" s="14">
        <f>IFERROR(IF(INDEX('01_Formulario_A10'!$D:$D,MATCH("D21-DOC-PWB-001.PRINTING.FORMATO",'01_Formulario_A10'!$A:$A,0))="","— (a preencher em 01_Formulario_A10)",INDEX('01_Formulario_A10'!$D:$D,MATCH("D21-DOC-PWB-001.PRINTING.FORMATO",'01_Formulario_A10'!$A:$A,0))),"— (a preencher em 01_Formulario_A10)")</f>
        <v/>
      </c>
    </row>
    <row r="1092">
      <c r="A1092" s="13" t="inlineStr">
        <is>
          <t>D21-DOC-PWB-001.PRINTING.AREA_SEGURA</t>
        </is>
      </c>
      <c r="B1092" s="2" t="inlineStr">
        <is>
          <t>area_segura</t>
        </is>
      </c>
      <c r="C1092" s="14">
        <f>IFERROR(IF(INDEX('01_Formulario_A10'!$D:$D,MATCH("D21-DOC-PWB-001.PRINTING.AREA_SEGURA",'01_Formulario_A10'!$A:$A,0))="","— (a preencher em 01_Formulario_A10)",INDEX('01_Formulario_A10'!$D:$D,MATCH("D21-DOC-PWB-001.PRINTING.AREA_SEGURA",'01_Formulario_A10'!$A:$A,0))),"— (a preencher em 01_Formulario_A10)")</f>
        <v/>
      </c>
    </row>
    <row r="1093">
      <c r="A1093" s="13" t="inlineStr">
        <is>
          <t>D21-DOC-PWB-001.AUTOMATION.TRIGGER</t>
        </is>
      </c>
      <c r="B1093" s="2" t="inlineStr">
        <is>
          <t>trigger</t>
        </is>
      </c>
      <c r="C1093" s="14">
        <f>IFERROR(IF(INDEX('01_Formulario_A10'!$D:$D,MATCH("D21-DOC-PWB-001.AUTOMATION.TRIGGER",'01_Formulario_A10'!$A:$A,0))="","— (a preencher em 01_Formulario_A10)",INDEX('01_Formulario_A10'!$D:$D,MATCH("D21-DOC-PWB-001.AUTOMATION.TRIGGER",'01_Formulario_A10'!$A:$A,0))),"— (a preencher em 01_Formulario_A10)")</f>
        <v/>
      </c>
    </row>
    <row r="1094">
      <c r="A1094" s="13" t="inlineStr">
        <is>
          <t>D21-DOC-PWB-001.AUTOMATION.PROCESSO</t>
        </is>
      </c>
      <c r="B1094" s="2" t="inlineStr">
        <is>
          <t>processo</t>
        </is>
      </c>
      <c r="C1094" s="14">
        <f>IFERROR(IF(INDEX('01_Formulario_A10'!$D:$D,MATCH("D21-DOC-PWB-001.AUTOMATION.PROCESSO",'01_Formulario_A10'!$A:$A,0))="","— (a preencher em 01_Formulario_A10)",INDEX('01_Formulario_A10'!$D:$D,MATCH("D21-DOC-PWB-001.AUTOMATION.PROCESSO",'01_Formulario_A10'!$A:$A,0))),"— (a preencher em 01_Formulario_A10)")</f>
        <v/>
      </c>
    </row>
    <row r="1095">
      <c r="A1095" s="13" t="inlineStr">
        <is>
          <t>D21-DOC-PWB-001.OWNERSHIP.OWNER</t>
        </is>
      </c>
      <c r="B1095" s="2" t="inlineStr">
        <is>
          <t>owner</t>
        </is>
      </c>
      <c r="C1095" s="14">
        <f>IFERROR(IF(INDEX('01_Formulario_A10'!$D:$D,MATCH("D21-DOC-PWB-001.OWNERSHIP.OWNER",'01_Formulario_A10'!$A:$A,0))="","— (a preencher em 01_Formulario_A10)",INDEX('01_Formulario_A10'!$D:$D,MATCH("D21-DOC-PWB-001.OWNERSHIP.OWNER",'01_Formulario_A10'!$A:$A,0))),"— (a preencher em 01_Formulario_A10)")</f>
        <v/>
      </c>
    </row>
    <row r="1096">
      <c r="A1096" s="13" t="inlineStr">
        <is>
          <t>D21-DOC-PWB-001.OWNERSHIP.APROVADOR</t>
        </is>
      </c>
      <c r="B1096" s="2" t="inlineStr">
        <is>
          <t>aprovador</t>
        </is>
      </c>
      <c r="C1096" s="14">
        <f>IFERROR(IF(INDEX('01_Formulario_A10'!$D:$D,MATCH("D21-DOC-PWB-001.OWNERSHIP.APROVADOR",'01_Formulario_A10'!$A:$A,0))="","— (a preencher em 01_Formulario_A10)",INDEX('01_Formulario_A10'!$D:$D,MATCH("D21-DOC-PWB-001.OWNERSHIP.APROVADOR",'01_Formulario_A10'!$A:$A,0))),"— (a preencher em 01_Formulario_A10)")</f>
        <v/>
      </c>
    </row>
    <row r="1097">
      <c r="A1097" s="13" t="inlineStr">
        <is>
          <t>D21-DOC-PWB-001.VERSIONING.VERSAO</t>
        </is>
      </c>
      <c r="B1097" s="2" t="inlineStr">
        <is>
          <t>versao</t>
        </is>
      </c>
      <c r="C1097" s="14">
        <f>IFERROR(IF(INDEX('01_Formulario_A10'!$D:$D,MATCH("D21-DOC-PWB-001.VERSIONING.VERSAO",'01_Formulario_A10'!$A:$A,0))="","— (a preencher em 01_Formulario_A10)",INDEX('01_Formulario_A10'!$D:$D,MATCH("D21-DOC-PWB-001.VERSIONING.VERSAO",'01_Formulario_A10'!$A:$A,0))),"— (a preencher em 01_Formulario_A10)")</f>
        <v/>
      </c>
    </row>
    <row r="1098">
      <c r="A1098" s="13" t="inlineStr">
        <is>
          <t>D21-DOC-PWB-001.VERSIONING.ALTERACAO</t>
        </is>
      </c>
      <c r="B1098" s="2" t="inlineStr">
        <is>
          <t>alteracao</t>
        </is>
      </c>
      <c r="C1098" s="14">
        <f>IFERROR(IF(INDEX('01_Formulario_A10'!$D:$D,MATCH("D21-DOC-PWB-001.VERSIONING.ALTERACAO",'01_Formulario_A10'!$A:$A,0))="","— (a preencher em 01_Formulario_A10)",INDEX('01_Formulario_A10'!$D:$D,MATCH("D21-DOC-PWB-001.VERSIONING.ALTERACAO",'01_Formulario_A10'!$A:$A,0))),"— (a preencher em 01_Formulario_A10)")</f>
        <v/>
      </c>
    </row>
    <row r="1099">
      <c r="A1099" s="13" t="inlineStr">
        <is>
          <t>D21-DOC-PWB-001.EVIDENCE.FONTE</t>
        </is>
      </c>
      <c r="B1099" s="2" t="inlineStr">
        <is>
          <t>fonte</t>
        </is>
      </c>
      <c r="C1099" s="14">
        <f>IFERROR(IF(INDEX('01_Formulario_A10'!$D:$D,MATCH("D21-DOC-PWB-001.EVIDENCE.FONTE",'01_Formulario_A10'!$A:$A,0))="","— (a preencher em 01_Formulario_A10)",INDEX('01_Formulario_A10'!$D:$D,MATCH("D21-DOC-PWB-001.EVIDENCE.FONTE",'01_Formulario_A10'!$A:$A,0))),"— (a preencher em 01_Formulario_A10)")</f>
        <v/>
      </c>
    </row>
    <row r="1100">
      <c r="A1100" s="13" t="inlineStr">
        <is>
          <t>D21-DOC-PWB-001.EVIDENCE.RASTREABILIDADE</t>
        </is>
      </c>
      <c r="B1100" s="2" t="inlineStr">
        <is>
          <t>rastreabilidade</t>
        </is>
      </c>
      <c r="C1100" s="14">
        <f>IFERROR(IF(INDEX('01_Formulario_A10'!$D:$D,MATCH("D21-DOC-PWB-001.EVIDENCE.RASTREABILIDADE",'01_Formulario_A10'!$A:$A,0))="","— (a preencher em 01_Formulario_A10)",INDEX('01_Formulario_A10'!$D:$D,MATCH("D21-DOC-PWB-001.EVIDENCE.RASTREABILIDADE",'01_Formulario_A10'!$A:$A,0))),"— (a preencher em 01_Formulario_A10)")</f>
        <v/>
      </c>
    </row>
    <row r="1101">
      <c r="A1101" s="5" t="inlineStr">
        <is>
          <t>D22-DOC-DRL-001 — Decision and Register Log do Ecossistema [PRE_PREENCHIDO/PENDENTE]</t>
        </is>
      </c>
      <c r="B1101" s="6" t="n"/>
      <c r="C1101" s="7" t="n"/>
    </row>
    <row r="1102">
      <c r="A1102" s="13" t="inlineStr">
        <is>
          <t>D22-DOC-DRL-001.SCHEMA.DECISION_ID</t>
        </is>
      </c>
      <c r="B1102" s="2" t="inlineStr">
        <is>
          <t>decision_id</t>
        </is>
      </c>
      <c r="C1102" s="14">
        <f>IFERROR(IF(INDEX('01_Formulario_A10'!$D:$D,MATCH("D22-DOC-DRL-001.SCHEMA.DECISION_ID",'01_Formulario_A10'!$A:$A,0))="","— (a preencher em 01_Formulario_A10)",INDEX('01_Formulario_A10'!$D:$D,MATCH("D22-DOC-DRL-001.SCHEMA.DECISION_ID",'01_Formulario_A10'!$A:$A,0))),"— (a preencher em 01_Formulario_A10)")</f>
        <v/>
      </c>
    </row>
    <row r="1103">
      <c r="A1103" s="13" t="inlineStr">
        <is>
          <t>D22-DOC-DRL-001.SCHEMA.TITLE</t>
        </is>
      </c>
      <c r="B1103" s="2" t="inlineStr">
        <is>
          <t>title</t>
        </is>
      </c>
      <c r="C1103" s="14">
        <f>IFERROR(IF(INDEX('01_Formulario_A10'!$D:$D,MATCH("D22-DOC-DRL-001.SCHEMA.TITLE",'01_Formulario_A10'!$A:$A,0))="","— (a preencher em 01_Formulario_A10)",INDEX('01_Formulario_A10'!$D:$D,MATCH("D22-DOC-DRL-001.SCHEMA.TITLE",'01_Formulario_A10'!$A:$A,0))),"— (a preencher em 01_Formulario_A10)")</f>
        <v/>
      </c>
    </row>
    <row r="1104">
      <c r="A1104" s="13" t="inlineStr">
        <is>
          <t>D22-DOC-DRL-001.SCHEMA.DOMAIN</t>
        </is>
      </c>
      <c r="B1104" s="2" t="inlineStr">
        <is>
          <t>domain</t>
        </is>
      </c>
      <c r="C1104" s="14">
        <f>IFERROR(IF(INDEX('01_Formulario_A10'!$D:$D,MATCH("D22-DOC-DRL-001.SCHEMA.DOMAIN",'01_Formulario_A10'!$A:$A,0))="","— (a preencher em 01_Formulario_A10)",INDEX('01_Formulario_A10'!$D:$D,MATCH("D22-DOC-DRL-001.SCHEMA.DOMAIN",'01_Formulario_A10'!$A:$A,0))),"— (a preencher em 01_Formulario_A10)")</f>
        <v/>
      </c>
    </row>
    <row r="1105">
      <c r="A1105" s="13" t="inlineStr">
        <is>
          <t>D22-DOC-DRL-001.SCHEMA.CONTEXT</t>
        </is>
      </c>
      <c r="B1105" s="2" t="inlineStr">
        <is>
          <t>context</t>
        </is>
      </c>
      <c r="C1105" s="14">
        <f>IFERROR(IF(INDEX('01_Formulario_A10'!$D:$D,MATCH("D22-DOC-DRL-001.SCHEMA.CONTEXT",'01_Formulario_A10'!$A:$A,0))="","— (a preencher em 01_Formulario_A10)",INDEX('01_Formulario_A10'!$D:$D,MATCH("D22-DOC-DRL-001.SCHEMA.CONTEXT",'01_Formulario_A10'!$A:$A,0))),"— (a preencher em 01_Formulario_A10)")</f>
        <v/>
      </c>
    </row>
    <row r="1106">
      <c r="A1106" s="13" t="inlineStr">
        <is>
          <t>D22-DOC-DRL-001.SCHEMA.PROBLEM</t>
        </is>
      </c>
      <c r="B1106" s="2" t="inlineStr">
        <is>
          <t>problem</t>
        </is>
      </c>
      <c r="C1106" s="14">
        <f>IFERROR(IF(INDEX('01_Formulario_A10'!$D:$D,MATCH("D22-DOC-DRL-001.SCHEMA.PROBLEM",'01_Formulario_A10'!$A:$A,0))="","— (a preencher em 01_Formulario_A10)",INDEX('01_Formulario_A10'!$D:$D,MATCH("D22-DOC-DRL-001.SCHEMA.PROBLEM",'01_Formulario_A10'!$A:$A,0))),"— (a preencher em 01_Formulario_A10)")</f>
        <v/>
      </c>
    </row>
    <row r="1107">
      <c r="A1107" s="13" t="inlineStr">
        <is>
          <t>D22-DOC-DRL-001.SCHEMA.DECISION_REQUIRED</t>
        </is>
      </c>
      <c r="B1107" s="2" t="inlineStr">
        <is>
          <t>decision_required</t>
        </is>
      </c>
      <c r="C1107" s="14">
        <f>IFERROR(IF(INDEX('01_Formulario_A10'!$D:$D,MATCH("D22-DOC-DRL-001.SCHEMA.DECISION_REQUIRED",'01_Formulario_A10'!$A:$A,0))="","— (a preencher em 01_Formulario_A10)",INDEX('01_Formulario_A10'!$D:$D,MATCH("D22-DOC-DRL-001.SCHEMA.DECISION_REQUIRED",'01_Formulario_A10'!$A:$A,0))),"— (a preencher em 01_Formulario_A10)")</f>
        <v/>
      </c>
    </row>
    <row r="1108">
      <c r="A1108" s="13" t="inlineStr">
        <is>
          <t>D22-DOC-DRL-001.SCHEMA.OPTIONS_CONSIDERED</t>
        </is>
      </c>
      <c r="B1108" s="2" t="inlineStr">
        <is>
          <t>options_considered</t>
        </is>
      </c>
      <c r="C1108" s="14">
        <f>IFERROR(IF(INDEX('01_Formulario_A10'!$D:$D,MATCH("D22-DOC-DRL-001.SCHEMA.OPTIONS_CONSIDERED",'01_Formulario_A10'!$A:$A,0))="","— (a preencher em 01_Formulario_A10)",INDEX('01_Formulario_A10'!$D:$D,MATCH("D22-DOC-DRL-001.SCHEMA.OPTIONS_CONSIDERED",'01_Formulario_A10'!$A:$A,0))),"— (a preencher em 01_Formulario_A10)")</f>
        <v/>
      </c>
    </row>
    <row r="1109">
      <c r="A1109" s="13" t="inlineStr">
        <is>
          <t>D22-DOC-DRL-001.SCHEMA.EVALUATION_CRITERIA</t>
        </is>
      </c>
      <c r="B1109" s="2" t="inlineStr">
        <is>
          <t>evaluation_criteria</t>
        </is>
      </c>
      <c r="C1109" s="14">
        <f>IFERROR(IF(INDEX('01_Formulario_A10'!$D:$D,MATCH("D22-DOC-DRL-001.SCHEMA.EVALUATION_CRITERIA",'01_Formulario_A10'!$A:$A,0))="","— (a preencher em 01_Formulario_A10)",INDEX('01_Formulario_A10'!$D:$D,MATCH("D22-DOC-DRL-001.SCHEMA.EVALUATION_CRITERIA",'01_Formulario_A10'!$A:$A,0))),"— (a preencher em 01_Formulario_A10)")</f>
        <v/>
      </c>
    </row>
    <row r="1110">
      <c r="A1110" s="13" t="inlineStr">
        <is>
          <t>D22-DOC-DRL-001.SCHEMA.SELECTED_OPTION</t>
        </is>
      </c>
      <c r="B1110" s="2" t="inlineStr">
        <is>
          <t>selected_option</t>
        </is>
      </c>
      <c r="C1110" s="14">
        <f>IFERROR(IF(INDEX('01_Formulario_A10'!$D:$D,MATCH("D22-DOC-DRL-001.SCHEMA.SELECTED_OPTION",'01_Formulario_A10'!$A:$A,0))="","— (a preencher em 01_Formulario_A10)",INDEX('01_Formulario_A10'!$D:$D,MATCH("D22-DOC-DRL-001.SCHEMA.SELECTED_OPTION",'01_Formulario_A10'!$A:$A,0))),"— (a preencher em 01_Formulario_A10)")</f>
        <v/>
      </c>
    </row>
    <row r="1111">
      <c r="A1111" s="13" t="inlineStr">
        <is>
          <t>D22-DOC-DRL-001.SCHEMA.RATIONALE</t>
        </is>
      </c>
      <c r="B1111" s="2" t="inlineStr">
        <is>
          <t>rationale</t>
        </is>
      </c>
      <c r="C1111" s="14">
        <f>IFERROR(IF(INDEX('01_Formulario_A10'!$D:$D,MATCH("D22-DOC-DRL-001.SCHEMA.RATIONALE",'01_Formulario_A10'!$A:$A,0))="","— (a preencher em 01_Formulario_A10)",INDEX('01_Formulario_A10'!$D:$D,MATCH("D22-DOC-DRL-001.SCHEMA.RATIONALE",'01_Formulario_A10'!$A:$A,0))),"— (a preencher em 01_Formulario_A10)")</f>
        <v/>
      </c>
    </row>
    <row r="1112">
      <c r="A1112" s="13" t="inlineStr">
        <is>
          <t>D22-DOC-DRL-001.SCHEMA.EVIDENCE</t>
        </is>
      </c>
      <c r="B1112" s="2" t="inlineStr">
        <is>
          <t>evidence</t>
        </is>
      </c>
      <c r="C1112" s="14">
        <f>IFERROR(IF(INDEX('01_Formulario_A10'!$D:$D,MATCH("D22-DOC-DRL-001.SCHEMA.EVIDENCE",'01_Formulario_A10'!$A:$A,0))="","— (a preencher em 01_Formulario_A10)",INDEX('01_Formulario_A10'!$D:$D,MATCH("D22-DOC-DRL-001.SCHEMA.EVIDENCE",'01_Formulario_A10'!$A:$A,0))),"— (a preencher em 01_Formulario_A10)")</f>
        <v/>
      </c>
    </row>
    <row r="1113">
      <c r="A1113" s="13" t="inlineStr">
        <is>
          <t>D22-DOC-DRL-001.SCHEMA.OWNER</t>
        </is>
      </c>
      <c r="B1113" s="2" t="inlineStr">
        <is>
          <t>owner</t>
        </is>
      </c>
      <c r="C1113" s="14">
        <f>IFERROR(IF(INDEX('01_Formulario_A10'!$D:$D,MATCH("D22-DOC-DRL-001.SCHEMA.OWNER",'01_Formulario_A10'!$A:$A,0))="","— (a preencher em 01_Formulario_A10)",INDEX('01_Formulario_A10'!$D:$D,MATCH("D22-DOC-DRL-001.SCHEMA.OWNER",'01_Formulario_A10'!$A:$A,0))),"— (a preencher em 01_Formulario_A10)")</f>
        <v/>
      </c>
    </row>
    <row r="1114">
      <c r="A1114" s="13" t="inlineStr">
        <is>
          <t>D22-DOC-DRL-001.SCHEMA.DECISION_DATE</t>
        </is>
      </c>
      <c r="B1114" s="2" t="inlineStr">
        <is>
          <t>decision_date</t>
        </is>
      </c>
      <c r="C1114" s="14">
        <f>IFERROR(IF(INDEX('01_Formulario_A10'!$D:$D,MATCH("D22-DOC-DRL-001.SCHEMA.DECISION_DATE",'01_Formulario_A10'!$A:$A,0))="","— (a preencher em 01_Formulario_A10)",INDEX('01_Formulario_A10'!$D:$D,MATCH("D22-DOC-DRL-001.SCHEMA.DECISION_DATE",'01_Formulario_A10'!$A:$A,0))),"— (a preencher em 01_Formulario_A10)")</f>
        <v/>
      </c>
    </row>
    <row r="1115">
      <c r="A1115" s="13" t="inlineStr">
        <is>
          <t>D22-DOC-DRL-001.SCHEMA.EFFECTIVE_DATE</t>
        </is>
      </c>
      <c r="B1115" s="2" t="inlineStr">
        <is>
          <t>effective_date</t>
        </is>
      </c>
      <c r="C1115" s="14">
        <f>IFERROR(IF(INDEX('01_Formulario_A10'!$D:$D,MATCH("D22-DOC-DRL-001.SCHEMA.EFFECTIVE_DATE",'01_Formulario_A10'!$A:$A,0))="","— (a preencher em 01_Formulario_A10)",INDEX('01_Formulario_A10'!$D:$D,MATCH("D22-DOC-DRL-001.SCHEMA.EFFECTIVE_DATE",'01_Formulario_A10'!$A:$A,0))),"— (a preencher em 01_Formulario_A10)")</f>
        <v/>
      </c>
    </row>
    <row r="1116">
      <c r="A1116" s="13" t="inlineStr">
        <is>
          <t>D22-DOC-DRL-001.SCHEMA.STATUS</t>
        </is>
      </c>
      <c r="B1116" s="2" t="inlineStr">
        <is>
          <t>status</t>
        </is>
      </c>
      <c r="C1116" s="14">
        <f>IFERROR(IF(INDEX('01_Formulario_A10'!$D:$D,MATCH("D22-DOC-DRL-001.SCHEMA.STATUS",'01_Formulario_A10'!$A:$A,0))="","— (a preencher em 01_Formulario_A10)",INDEX('01_Formulario_A10'!$D:$D,MATCH("D22-DOC-DRL-001.SCHEMA.STATUS",'01_Formulario_A10'!$A:$A,0))),"— (a preencher em 01_Formulario_A10)")</f>
        <v/>
      </c>
    </row>
    <row r="1117">
      <c r="A1117" s="13" t="inlineStr">
        <is>
          <t>D22-DOC-DRL-001.SCHEMA.DEPENDENCIES</t>
        </is>
      </c>
      <c r="B1117" s="2" t="inlineStr">
        <is>
          <t>dependencies</t>
        </is>
      </c>
      <c r="C1117" s="14">
        <f>IFERROR(IF(INDEX('01_Formulario_A10'!$D:$D,MATCH("D22-DOC-DRL-001.SCHEMA.DEPENDENCIES",'01_Formulario_A10'!$A:$A,0))="","— (a preencher em 01_Formulario_A10)",INDEX('01_Formulario_A10'!$D:$D,MATCH("D22-DOC-DRL-001.SCHEMA.DEPENDENCIES",'01_Formulario_A10'!$A:$A,0))),"— (a preencher em 01_Formulario_A10)")</f>
        <v/>
      </c>
    </row>
    <row r="1118">
      <c r="A1118" s="13" t="inlineStr">
        <is>
          <t>D22-DOC-DRL-001.SCHEMA.BLOCKS</t>
        </is>
      </c>
      <c r="B1118" s="2" t="inlineStr">
        <is>
          <t>blocks</t>
        </is>
      </c>
      <c r="C1118" s="14">
        <f>IFERROR(IF(INDEX('01_Formulario_A10'!$D:$D,MATCH("D22-DOC-DRL-001.SCHEMA.BLOCKS",'01_Formulario_A10'!$A:$A,0))="","— (a preencher em 01_Formulario_A10)",INDEX('01_Formulario_A10'!$D:$D,MATCH("D22-DOC-DRL-001.SCHEMA.BLOCKS",'01_Formulario_A10'!$A:$A,0))),"— (a preencher em 01_Formulario_A10)")</f>
        <v/>
      </c>
    </row>
    <row r="1119">
      <c r="A1119" s="13" t="inlineStr">
        <is>
          <t>D22-DOC-DRL-001.SCHEMA.CONSEQUENCES</t>
        </is>
      </c>
      <c r="B1119" s="2" t="inlineStr">
        <is>
          <t>consequences</t>
        </is>
      </c>
      <c r="C1119" s="14">
        <f>IFERROR(IF(INDEX('01_Formulario_A10'!$D:$D,MATCH("D22-DOC-DRL-001.SCHEMA.CONSEQUENCES",'01_Formulario_A10'!$A:$A,0))="","— (a preencher em 01_Formulario_A10)",INDEX('01_Formulario_A10'!$D:$D,MATCH("D22-DOC-DRL-001.SCHEMA.CONSEQUENCES",'01_Formulario_A10'!$A:$A,0))),"— (a preencher em 01_Formulario_A10)")</f>
        <v/>
      </c>
    </row>
    <row r="1120">
      <c r="A1120" s="13" t="inlineStr">
        <is>
          <t>D22-DOC-DRL-001.SCHEMA.RISKS</t>
        </is>
      </c>
      <c r="B1120" s="2" t="inlineStr">
        <is>
          <t>risks</t>
        </is>
      </c>
      <c r="C1120" s="14">
        <f>IFERROR(IF(INDEX('01_Formulario_A10'!$D:$D,MATCH("D22-DOC-DRL-001.SCHEMA.RISKS",'01_Formulario_A10'!$A:$A,0))="","— (a preencher em 01_Formulario_A10)",INDEX('01_Formulario_A10'!$D:$D,MATCH("D22-DOC-DRL-001.SCHEMA.RISKS",'01_Formulario_A10'!$A:$A,0))),"— (a preencher em 01_Formulario_A10)")</f>
        <v/>
      </c>
    </row>
    <row r="1121">
      <c r="A1121" s="13" t="inlineStr">
        <is>
          <t>D22-DOC-DRL-001.SCHEMA.REVERSIBILITY</t>
        </is>
      </c>
      <c r="B1121" s="2" t="inlineStr">
        <is>
          <t>reversibility</t>
        </is>
      </c>
      <c r="C1121" s="14">
        <f>IFERROR(IF(INDEX('01_Formulario_A10'!$D:$D,MATCH("D22-DOC-DRL-001.SCHEMA.REVERSIBILITY",'01_Formulario_A10'!$A:$A,0))="","— (a preencher em 01_Formulario_A10)",INDEX('01_Formulario_A10'!$D:$D,MATCH("D22-DOC-DRL-001.SCHEMA.REVERSIBILITY",'01_Formulario_A10'!$A:$A,0))),"— (a preencher em 01_Formulario_A10)")</f>
        <v/>
      </c>
    </row>
    <row r="1122">
      <c r="A1122" s="13" t="inlineStr">
        <is>
          <t>D22-DOC-DRL-001.SCHEMA.REVIEW_DATE</t>
        </is>
      </c>
      <c r="B1122" s="2" t="inlineStr">
        <is>
          <t>review_date</t>
        </is>
      </c>
      <c r="C1122" s="14">
        <f>IFERROR(IF(INDEX('01_Formulario_A10'!$D:$D,MATCH("D22-DOC-DRL-001.SCHEMA.REVIEW_DATE",'01_Formulario_A10'!$A:$A,0))="","— (a preencher em 01_Formulario_A10)",INDEX('01_Formulario_A10'!$D:$D,MATCH("D22-DOC-DRL-001.SCHEMA.REVIEW_DATE",'01_Formulario_A10'!$A:$A,0))),"— (a preencher em 01_Formulario_A10)")</f>
        <v/>
      </c>
    </row>
    <row r="1123">
      <c r="A1123" s="13" t="inlineStr">
        <is>
          <t>D22-DOC-DRL-001.SCHEMA.SUPERSEDES</t>
        </is>
      </c>
      <c r="B1123" s="2" t="inlineStr">
        <is>
          <t>supersedes</t>
        </is>
      </c>
      <c r="C1123" s="14">
        <f>IFERROR(IF(INDEX('01_Formulario_A10'!$D:$D,MATCH("D22-DOC-DRL-001.SCHEMA.SUPERSEDES",'01_Formulario_A10'!$A:$A,0))="","— (a preencher em 01_Formulario_A10)",INDEX('01_Formulario_A10'!$D:$D,MATCH("D22-DOC-DRL-001.SCHEMA.SUPERSEDES",'01_Formulario_A10'!$A:$A,0))),"— (a preencher em 01_Formulario_A10)")</f>
        <v/>
      </c>
    </row>
    <row r="1124">
      <c r="A1124" s="13" t="inlineStr">
        <is>
          <t>D22-DOC-DRL-001.SCHEMA.SUPERSEDED_BY</t>
        </is>
      </c>
      <c r="B1124" s="2" t="inlineStr">
        <is>
          <t>superseded_by</t>
        </is>
      </c>
      <c r="C1124" s="14">
        <f>IFERROR(IF(INDEX('01_Formulario_A10'!$D:$D,MATCH("D22-DOC-DRL-001.SCHEMA.SUPERSEDED_BY",'01_Formulario_A10'!$A:$A,0))="","— (a preencher em 01_Formulario_A10)",INDEX('01_Formulario_A10'!$D:$D,MATCH("D22-DOC-DRL-001.SCHEMA.SUPERSEDED_BY",'01_Formulario_A10'!$A:$A,0))),"— (a preencher em 01_Formulario_A10)")</f>
        <v/>
      </c>
    </row>
    <row r="1125">
      <c r="A1125" s="5" t="inlineStr">
        <is>
          <t>D23-DOC-PBL-001 — Plano de Blueprints [PRE_PREENCHIDO/PENDENTE]</t>
        </is>
      </c>
      <c r="B1125" s="6" t="n"/>
      <c r="C1125" s="7" t="n"/>
    </row>
    <row r="1126">
      <c r="A1126" s="13" t="inlineStr">
        <is>
          <t>D23-DOC-PBL-001.BLUEPRINT_CATALOG.BLUEPRINT_ID</t>
        </is>
      </c>
      <c r="B1126" s="2" t="inlineStr">
        <is>
          <t>blueprint_id</t>
        </is>
      </c>
      <c r="C1126" s="14">
        <f>IFERROR(IF(INDEX('01_Formulario_A10'!$D:$D,MATCH("D23-DOC-PBL-001.BLUEPRINT_CATALOG.BLUEPRINT_ID",'01_Formulario_A10'!$A:$A,0))="","— (a preencher em 01_Formulario_A10)",INDEX('01_Formulario_A10'!$D:$D,MATCH("D23-DOC-PBL-001.BLUEPRINT_CATALOG.BLUEPRINT_ID",'01_Formulario_A10'!$A:$A,0))),"— (a preencher em 01_Formulario_A10)")</f>
        <v/>
      </c>
    </row>
    <row r="1127">
      <c r="A1127" s="13" t="inlineStr">
        <is>
          <t>D23-DOC-PBL-001.BLUEPRINT_CATALOG.NOME</t>
        </is>
      </c>
      <c r="B1127" s="2" t="inlineStr">
        <is>
          <t>nome</t>
        </is>
      </c>
      <c r="C1127" s="14">
        <f>IFERROR(IF(INDEX('01_Formulario_A10'!$D:$D,MATCH("D23-DOC-PBL-001.BLUEPRINT_CATALOG.NOME",'01_Formulario_A10'!$A:$A,0))="","— (a preencher em 01_Formulario_A10)",INDEX('01_Formulario_A10'!$D:$D,MATCH("D23-DOC-PBL-001.BLUEPRINT_CATALOG.NOME",'01_Formulario_A10'!$A:$A,0))),"— (a preencher em 01_Formulario_A10)")</f>
        <v/>
      </c>
    </row>
    <row r="1128">
      <c r="A1128" s="13" t="inlineStr">
        <is>
          <t>D23-DOC-PBL-001.BLUEPRINT_CATALOG.DOMINIO</t>
        </is>
      </c>
      <c r="B1128" s="2" t="inlineStr">
        <is>
          <t>dominio</t>
        </is>
      </c>
      <c r="C1128" s="14">
        <f>IFERROR(IF(INDEX('01_Formulario_A10'!$D:$D,MATCH("D23-DOC-PBL-001.BLUEPRINT_CATALOG.DOMINIO",'01_Formulario_A10'!$A:$A,0))="","— (a preencher em 01_Formulario_A10)",INDEX('01_Formulario_A10'!$D:$D,MATCH("D23-DOC-PBL-001.BLUEPRINT_CATALOG.DOMINIO",'01_Formulario_A10'!$A:$A,0))),"— (a preencher em 01_Formulario_A10)")</f>
        <v/>
      </c>
    </row>
    <row r="1129">
      <c r="A1129" s="13" t="inlineStr">
        <is>
          <t>D23-DOC-PBL-001.PROBLEM.PROBLEMA</t>
        </is>
      </c>
      <c r="B1129" s="2" t="inlineStr">
        <is>
          <t>problema</t>
        </is>
      </c>
      <c r="C1129" s="14">
        <f>IFERROR(IF(INDEX('01_Formulario_A10'!$D:$D,MATCH("D23-DOC-PBL-001.PROBLEM.PROBLEMA",'01_Formulario_A10'!$A:$A,0))="","— (a preencher em 01_Formulario_A10)",INDEX('01_Formulario_A10'!$D:$D,MATCH("D23-DOC-PBL-001.PROBLEM.PROBLEMA",'01_Formulario_A10'!$A:$A,0))),"— (a preencher em 01_Formulario_A10)")</f>
        <v/>
      </c>
    </row>
    <row r="1130">
      <c r="A1130" s="13" t="inlineStr">
        <is>
          <t>D23-DOC-PBL-001.PROBLEM.EVIDENCIA</t>
        </is>
      </c>
      <c r="B1130" s="2" t="inlineStr">
        <is>
          <t>evidencia</t>
        </is>
      </c>
      <c r="C1130" s="14">
        <f>IFERROR(IF(INDEX('01_Formulario_A10'!$D:$D,MATCH("D23-DOC-PBL-001.PROBLEM.EVIDENCIA",'01_Formulario_A10'!$A:$A,0))="","— (a preencher em 01_Formulario_A10)",INDEX('01_Formulario_A10'!$D:$D,MATCH("D23-DOC-PBL-001.PROBLEM.EVIDENCIA",'01_Formulario_A10'!$A:$A,0))),"— (a preencher em 01_Formulario_A10)")</f>
        <v/>
      </c>
    </row>
    <row r="1131">
      <c r="A1131" s="13" t="inlineStr">
        <is>
          <t>D23-DOC-PBL-001.OBJECTIVE.RESULTADO_ESPERADO</t>
        </is>
      </c>
      <c r="B1131" s="2" t="inlineStr">
        <is>
          <t>resultado_esperado</t>
        </is>
      </c>
      <c r="C1131" s="14">
        <f>IFERROR(IF(INDEX('01_Formulario_A10'!$D:$D,MATCH("D23-DOC-PBL-001.OBJECTIVE.RESULTADO_ESPERADO",'01_Formulario_A10'!$A:$A,0))="","— (a preencher em 01_Formulario_A10)",INDEX('01_Formulario_A10'!$D:$D,MATCH("D23-DOC-PBL-001.OBJECTIVE.RESULTADO_ESPERADO",'01_Formulario_A10'!$A:$A,0))),"— (a preencher em 01_Formulario_A10)")</f>
        <v/>
      </c>
    </row>
    <row r="1132">
      <c r="A1132" s="13" t="inlineStr">
        <is>
          <t>D23-DOC-PBL-001.SCOPE.INCLUIDO</t>
        </is>
      </c>
      <c r="B1132" s="2" t="inlineStr">
        <is>
          <t>incluido</t>
        </is>
      </c>
      <c r="C1132" s="14">
        <f>IFERROR(IF(INDEX('01_Formulario_A10'!$D:$D,MATCH("D23-DOC-PBL-001.SCOPE.INCLUIDO",'01_Formulario_A10'!$A:$A,0))="","— (a preencher em 01_Formulario_A10)",INDEX('01_Formulario_A10'!$D:$D,MATCH("D23-DOC-PBL-001.SCOPE.INCLUIDO",'01_Formulario_A10'!$A:$A,0))),"— (a preencher em 01_Formulario_A10)")</f>
        <v/>
      </c>
    </row>
    <row r="1133">
      <c r="A1133" s="13" t="inlineStr">
        <is>
          <t>D23-DOC-PBL-001.SCOPE.EXCLUIDO</t>
        </is>
      </c>
      <c r="B1133" s="2" t="inlineStr">
        <is>
          <t>excluido</t>
        </is>
      </c>
      <c r="C1133" s="14">
        <f>IFERROR(IF(INDEX('01_Formulario_A10'!$D:$D,MATCH("D23-DOC-PBL-001.SCOPE.EXCLUIDO",'01_Formulario_A10'!$A:$A,0))="","— (a preencher em 01_Formulario_A10)",INDEX('01_Formulario_A10'!$D:$D,MATCH("D23-DOC-PBL-001.SCOPE.EXCLUIDO",'01_Formulario_A10'!$A:$A,0))),"— (a preencher em 01_Formulario_A10)")</f>
        <v/>
      </c>
    </row>
    <row r="1134">
      <c r="A1134" s="13" t="inlineStr">
        <is>
          <t>D23-DOC-PBL-001.ARCHITECTURE.COMPONENTES</t>
        </is>
      </c>
      <c r="B1134" s="2" t="inlineStr">
        <is>
          <t>componentes</t>
        </is>
      </c>
      <c r="C1134" s="14">
        <f>IFERROR(IF(INDEX('01_Formulario_A10'!$D:$D,MATCH("D23-DOC-PBL-001.ARCHITECTURE.COMPONENTES",'01_Formulario_A10'!$A:$A,0))="","— (a preencher em 01_Formulario_A10)",INDEX('01_Formulario_A10'!$D:$D,MATCH("D23-DOC-PBL-001.ARCHITECTURE.COMPONENTES",'01_Formulario_A10'!$A:$A,0))),"— (a preencher em 01_Formulario_A10)")</f>
        <v/>
      </c>
    </row>
    <row r="1135">
      <c r="A1135" s="13" t="inlineStr">
        <is>
          <t>D23-DOC-PBL-001.ARCHITECTURE.RELACOES</t>
        </is>
      </c>
      <c r="B1135" s="2" t="inlineStr">
        <is>
          <t>relacoes</t>
        </is>
      </c>
      <c r="C1135" s="14">
        <f>IFERROR(IF(INDEX('01_Formulario_A10'!$D:$D,MATCH("D23-DOC-PBL-001.ARCHITECTURE.RELACOES",'01_Formulario_A10'!$A:$A,0))="","— (a preencher em 01_Formulario_A10)",INDEX('01_Formulario_A10'!$D:$D,MATCH("D23-DOC-PBL-001.ARCHITECTURE.RELACOES",'01_Formulario_A10'!$A:$A,0))),"— (a preencher em 01_Formulario_A10)")</f>
        <v/>
      </c>
    </row>
    <row r="1136">
      <c r="A1136" s="13" t="inlineStr">
        <is>
          <t>D23-DOC-PBL-001.WORKFLOW.ENTRADA</t>
        </is>
      </c>
      <c r="B1136" s="2" t="inlineStr">
        <is>
          <t>entrada</t>
        </is>
      </c>
      <c r="C1136" s="14">
        <f>IFERROR(IF(INDEX('01_Formulario_A10'!$D:$D,MATCH("D23-DOC-PBL-001.WORKFLOW.ENTRADA",'01_Formulario_A10'!$A:$A,0))="","— (a preencher em 01_Formulario_A10)",INDEX('01_Formulario_A10'!$D:$D,MATCH("D23-DOC-PBL-001.WORKFLOW.ENTRADA",'01_Formulario_A10'!$A:$A,0))),"— (a preencher em 01_Formulario_A10)")</f>
        <v/>
      </c>
    </row>
    <row r="1137">
      <c r="A1137" s="13" t="inlineStr">
        <is>
          <t>D23-DOC-PBL-001.WORKFLOW.ETAPAS</t>
        </is>
      </c>
      <c r="B1137" s="2" t="inlineStr">
        <is>
          <t>etapas</t>
        </is>
      </c>
      <c r="C1137" s="14">
        <f>IFERROR(IF(INDEX('01_Formulario_A10'!$D:$D,MATCH("D23-DOC-PBL-001.WORKFLOW.ETAPAS",'01_Formulario_A10'!$A:$A,0))="","— (a preencher em 01_Formulario_A10)",INDEX('01_Formulario_A10'!$D:$D,MATCH("D23-DOC-PBL-001.WORKFLOW.ETAPAS",'01_Formulario_A10'!$A:$A,0))),"— (a preencher em 01_Formulario_A10)")</f>
        <v/>
      </c>
    </row>
    <row r="1138">
      <c r="A1138" s="13" t="inlineStr">
        <is>
          <t>D23-DOC-PBL-001.WORKFLOW.SAIDA</t>
        </is>
      </c>
      <c r="B1138" s="2" t="inlineStr">
        <is>
          <t>saida</t>
        </is>
      </c>
      <c r="C1138" s="14">
        <f>IFERROR(IF(INDEX('01_Formulario_A10'!$D:$D,MATCH("D23-DOC-PBL-001.WORKFLOW.SAIDA",'01_Formulario_A10'!$A:$A,0))="","— (a preencher em 01_Formulario_A10)",INDEX('01_Formulario_A10'!$D:$D,MATCH("D23-DOC-PBL-001.WORKFLOW.SAIDA",'01_Formulario_A10'!$A:$A,0))),"— (a preencher em 01_Formulario_A10)")</f>
        <v/>
      </c>
    </row>
    <row r="1139">
      <c r="A1139" s="13" t="inlineStr">
        <is>
          <t>D23-DOC-PBL-001.USER_FLOW.ATOR</t>
        </is>
      </c>
      <c r="B1139" s="2" t="inlineStr">
        <is>
          <t>ator</t>
        </is>
      </c>
      <c r="C1139" s="14">
        <f>IFERROR(IF(INDEX('01_Formulario_A10'!$D:$D,MATCH("D23-DOC-PBL-001.USER_FLOW.ATOR",'01_Formulario_A10'!$A:$A,0))="","— (a preencher em 01_Formulario_A10)",INDEX('01_Formulario_A10'!$D:$D,MATCH("D23-DOC-PBL-001.USER_FLOW.ATOR",'01_Formulario_A10'!$A:$A,0))),"— (a preencher em 01_Formulario_A10)")</f>
        <v/>
      </c>
    </row>
    <row r="1140">
      <c r="A1140" s="13" t="inlineStr">
        <is>
          <t>D23-DOC-PBL-001.USER_FLOW.ACAO</t>
        </is>
      </c>
      <c r="B1140" s="2" t="inlineStr">
        <is>
          <t>acao</t>
        </is>
      </c>
      <c r="C1140" s="14">
        <f>IFERROR(IF(INDEX('01_Formulario_A10'!$D:$D,MATCH("D23-DOC-PBL-001.USER_FLOW.ACAO",'01_Formulario_A10'!$A:$A,0))="","— (a preencher em 01_Formulario_A10)",INDEX('01_Formulario_A10'!$D:$D,MATCH("D23-DOC-PBL-001.USER_FLOW.ACAO",'01_Formulario_A10'!$A:$A,0))),"— (a preencher em 01_Formulario_A10)")</f>
        <v/>
      </c>
    </row>
    <row r="1141">
      <c r="A1141" s="13" t="inlineStr">
        <is>
          <t>D23-DOC-PBL-001.USER_FLOW.ESTADO</t>
        </is>
      </c>
      <c r="B1141" s="2" t="inlineStr">
        <is>
          <t>estado</t>
        </is>
      </c>
      <c r="C1141" s="14">
        <f>IFERROR(IF(INDEX('01_Formulario_A10'!$D:$D,MATCH("D23-DOC-PBL-001.USER_FLOW.ESTADO",'01_Formulario_A10'!$A:$A,0))="","— (a preencher em 01_Formulario_A10)",INDEX('01_Formulario_A10'!$D:$D,MATCH("D23-DOC-PBL-001.USER_FLOW.ESTADO",'01_Formulario_A10'!$A:$A,0))),"— (a preencher em 01_Formulario_A10)")</f>
        <v/>
      </c>
    </row>
    <row r="1142">
      <c r="A1142" s="13" t="inlineStr">
        <is>
          <t>D23-DOC-PBL-001.DATA.ENTIDADES</t>
        </is>
      </c>
      <c r="B1142" s="2" t="inlineStr">
        <is>
          <t>entidades</t>
        </is>
      </c>
      <c r="C1142" s="14">
        <f>IFERROR(IF(INDEX('01_Formulario_A10'!$D:$D,MATCH("D23-DOC-PBL-001.DATA.ENTIDADES",'01_Formulario_A10'!$A:$A,0))="","— (a preencher em 01_Formulario_A10)",INDEX('01_Formulario_A10'!$D:$D,MATCH("D23-DOC-PBL-001.DATA.ENTIDADES",'01_Formulario_A10'!$A:$A,0))),"— (a preencher em 01_Formulario_A10)")</f>
        <v/>
      </c>
    </row>
    <row r="1143">
      <c r="A1143" s="13" t="inlineStr">
        <is>
          <t>D23-DOC-PBL-001.DATA.EVENTOS</t>
        </is>
      </c>
      <c r="B1143" s="2" t="inlineStr">
        <is>
          <t>eventos</t>
        </is>
      </c>
      <c r="C1143" s="14">
        <f>IFERROR(IF(INDEX('01_Formulario_A10'!$D:$D,MATCH("D23-DOC-PBL-001.DATA.EVENTOS",'01_Formulario_A10'!$A:$A,0))="","— (a preencher em 01_Formulario_A10)",INDEX('01_Formulario_A10'!$D:$D,MATCH("D23-DOC-PBL-001.DATA.EVENTOS",'01_Formulario_A10'!$A:$A,0))),"— (a preencher em 01_Formulario_A10)")</f>
        <v/>
      </c>
    </row>
    <row r="1144">
      <c r="A1144" s="13" t="inlineStr">
        <is>
          <t>D23-DOC-PBL-001.INTERFACES.API</t>
        </is>
      </c>
      <c r="B1144" s="2" t="inlineStr">
        <is>
          <t>api</t>
        </is>
      </c>
      <c r="C1144" s="14">
        <f>IFERROR(IF(INDEX('01_Formulario_A10'!$D:$D,MATCH("D23-DOC-PBL-001.INTERFACES.API",'01_Formulario_A10'!$A:$A,0))="","— (a preencher em 01_Formulario_A10)",INDEX('01_Formulario_A10'!$D:$D,MATCH("D23-DOC-PBL-001.INTERFACES.API",'01_Formulario_A10'!$A:$A,0))),"— (a preencher em 01_Formulario_A10)")</f>
        <v/>
      </c>
    </row>
    <row r="1145">
      <c r="A1145" s="13" t="inlineStr">
        <is>
          <t>D23-DOC-PBL-001.INTERFACES.UI</t>
        </is>
      </c>
      <c r="B1145" s="2" t="inlineStr">
        <is>
          <t>ui</t>
        </is>
      </c>
      <c r="C1145" s="14">
        <f>IFERROR(IF(INDEX('01_Formulario_A10'!$D:$D,MATCH("D23-DOC-PBL-001.INTERFACES.UI",'01_Formulario_A10'!$A:$A,0))="","— (a preencher em 01_Formulario_A10)",INDEX('01_Formulario_A10'!$D:$D,MATCH("D23-DOC-PBL-001.INTERFACES.UI",'01_Formulario_A10'!$A:$A,0))),"— (a preencher em 01_Formulario_A10)")</f>
        <v/>
      </c>
    </row>
    <row r="1146">
      <c r="A1146" s="13" t="inlineStr">
        <is>
          <t>D23-DOC-PBL-001.INTERFACES.INTEGRACAO</t>
        </is>
      </c>
      <c r="B1146" s="2" t="inlineStr">
        <is>
          <t>integracao</t>
        </is>
      </c>
      <c r="C1146" s="14">
        <f>IFERROR(IF(INDEX('01_Formulario_A10'!$D:$D,MATCH("D23-DOC-PBL-001.INTERFACES.INTEGRACAO",'01_Formulario_A10'!$A:$A,0))="","— (a preencher em 01_Formulario_A10)",INDEX('01_Formulario_A10'!$D:$D,MATCH("D23-DOC-PBL-001.INTERFACES.INTEGRACAO",'01_Formulario_A10'!$A:$A,0))),"— (a preencher em 01_Formulario_A10)")</f>
        <v/>
      </c>
    </row>
    <row r="1147">
      <c r="A1147" s="13" t="inlineStr">
        <is>
          <t>D23-DOC-PBL-001.DEPENDENCIES.TECNICAS</t>
        </is>
      </c>
      <c r="B1147" s="2" t="inlineStr">
        <is>
          <t>tecnicas</t>
        </is>
      </c>
      <c r="C1147" s="14">
        <f>IFERROR(IF(INDEX('01_Formulario_A10'!$D:$D,MATCH("D23-DOC-PBL-001.DEPENDENCIES.TECNICAS",'01_Formulario_A10'!$A:$A,0))="","— (a preencher em 01_Formulario_A10)",INDEX('01_Formulario_A10'!$D:$D,MATCH("D23-DOC-PBL-001.DEPENDENCIES.TECNICAS",'01_Formulario_A10'!$A:$A,0))),"— (a preencher em 01_Formulario_A10)")</f>
        <v/>
      </c>
    </row>
    <row r="1148">
      <c r="A1148" s="13" t="inlineStr">
        <is>
          <t>D23-DOC-PBL-001.DEPENDENCIES.OPERACIONAIS</t>
        </is>
      </c>
      <c r="B1148" s="2" t="inlineStr">
        <is>
          <t>operacionais</t>
        </is>
      </c>
      <c r="C1148" s="14">
        <f>IFERROR(IF(INDEX('01_Formulario_A10'!$D:$D,MATCH("D23-DOC-PBL-001.DEPENDENCIES.OPERACIONAIS",'01_Formulario_A10'!$A:$A,0))="","— (a preencher em 01_Formulario_A10)",INDEX('01_Formulario_A10'!$D:$D,MATCH("D23-DOC-PBL-001.DEPENDENCIES.OPERACIONAIS",'01_Formulario_A10'!$A:$A,0))),"— (a preencher em 01_Formulario_A10)")</f>
        <v/>
      </c>
    </row>
    <row r="1149">
      <c r="A1149" s="13" t="inlineStr">
        <is>
          <t>D23-DOC-PBL-001.CONSTRAINTS.TECNICAS</t>
        </is>
      </c>
      <c r="B1149" s="2" t="inlineStr">
        <is>
          <t>tecnicas</t>
        </is>
      </c>
      <c r="C1149" s="14">
        <f>IFERROR(IF(INDEX('01_Formulario_A10'!$D:$D,MATCH("D23-DOC-PBL-001.CONSTRAINTS.TECNICAS",'01_Formulario_A10'!$A:$A,0))="","— (a preencher em 01_Formulario_A10)",INDEX('01_Formulario_A10'!$D:$D,MATCH("D23-DOC-PBL-001.CONSTRAINTS.TECNICAS",'01_Formulario_A10'!$A:$A,0))),"— (a preencher em 01_Formulario_A10)")</f>
        <v/>
      </c>
    </row>
    <row r="1150">
      <c r="A1150" s="13" t="inlineStr">
        <is>
          <t>D23-DOC-PBL-001.CONSTRAINTS.LEGAIS</t>
        </is>
      </c>
      <c r="B1150" s="2" t="inlineStr">
        <is>
          <t>legais</t>
        </is>
      </c>
      <c r="C1150" s="14">
        <f>IFERROR(IF(INDEX('01_Formulario_A10'!$D:$D,MATCH("D23-DOC-PBL-001.CONSTRAINTS.LEGAIS",'01_Formulario_A10'!$A:$A,0))="","— (a preencher em 01_Formulario_A10)",INDEX('01_Formulario_A10'!$D:$D,MATCH("D23-DOC-PBL-001.CONSTRAINTS.LEGAIS",'01_Formulario_A10'!$A:$A,0))),"— (a preencher em 01_Formulario_A10)")</f>
        <v/>
      </c>
    </row>
    <row r="1151">
      <c r="A1151" s="13" t="inlineStr">
        <is>
          <t>D23-DOC-PBL-001.CONSTRAINTS.UX</t>
        </is>
      </c>
      <c r="B1151" s="2" t="inlineStr">
        <is>
          <t>ux</t>
        </is>
      </c>
      <c r="C1151" s="14">
        <f>IFERROR(IF(INDEX('01_Formulario_A10'!$D:$D,MATCH("D23-DOC-PBL-001.CONSTRAINTS.UX",'01_Formulario_A10'!$A:$A,0))="","— (a preencher em 01_Formulario_A10)",INDEX('01_Formulario_A10'!$D:$D,MATCH("D23-DOC-PBL-001.CONSTRAINTS.UX",'01_Formulario_A10'!$A:$A,0))),"— (a preencher em 01_Formulario_A10)")</f>
        <v/>
      </c>
    </row>
    <row r="1152">
      <c r="A1152" s="13" t="inlineStr">
        <is>
          <t>D23-DOC-PBL-001.CONTRACTS.SCHEMAS</t>
        </is>
      </c>
      <c r="B1152" s="2" t="inlineStr">
        <is>
          <t>schemas</t>
        </is>
      </c>
      <c r="C1152" s="14">
        <f>IFERROR(IF(INDEX('01_Formulario_A10'!$D:$D,MATCH("D23-DOC-PBL-001.CONTRACTS.SCHEMAS",'01_Formulario_A10'!$A:$A,0))="","— (a preencher em 01_Formulario_A10)",INDEX('01_Formulario_A10'!$D:$D,MATCH("D23-DOC-PBL-001.CONTRACTS.SCHEMAS",'01_Formulario_A10'!$A:$A,0))),"— (a preencher em 01_Formulario_A10)")</f>
        <v/>
      </c>
    </row>
    <row r="1153">
      <c r="A1153" s="13" t="inlineStr">
        <is>
          <t>D23-DOC-PBL-001.CONTRACTS.INTERFACES</t>
        </is>
      </c>
      <c r="B1153" s="2" t="inlineStr">
        <is>
          <t>interfaces</t>
        </is>
      </c>
      <c r="C1153" s="14">
        <f>IFERROR(IF(INDEX('01_Formulario_A10'!$D:$D,MATCH("D23-DOC-PBL-001.CONTRACTS.INTERFACES",'01_Formulario_A10'!$A:$A,0))="","— (a preencher em 01_Formulario_A10)",INDEX('01_Formulario_A10'!$D:$D,MATCH("D23-DOC-PBL-001.CONTRACTS.INTERFACES",'01_Formulario_A10'!$A:$A,0))),"— (a preencher em 01_Formulario_A10)")</f>
        <v/>
      </c>
    </row>
    <row r="1154">
      <c r="A1154" s="13" t="inlineStr">
        <is>
          <t>D23-DOC-PBL-001.ACCEPTANCE.CRITERIOS</t>
        </is>
      </c>
      <c r="B1154" s="2" t="inlineStr">
        <is>
          <t>criterios</t>
        </is>
      </c>
      <c r="C1154" s="14">
        <f>IFERROR(IF(INDEX('01_Formulario_A10'!$D:$D,MATCH("D23-DOC-PBL-001.ACCEPTANCE.CRITERIOS",'01_Formulario_A10'!$A:$A,0))="","— (a preencher em 01_Formulario_A10)",INDEX('01_Formulario_A10'!$D:$D,MATCH("D23-DOC-PBL-001.ACCEPTANCE.CRITERIOS",'01_Formulario_A10'!$A:$A,0))),"— (a preencher em 01_Formulario_A10)")</f>
        <v/>
      </c>
    </row>
    <row r="1155">
      <c r="A1155" s="13" t="inlineStr">
        <is>
          <t>D23-DOC-PBL-001.PROTOTYPE.ARTEFATO</t>
        </is>
      </c>
      <c r="B1155" s="2" t="inlineStr">
        <is>
          <t>artefato</t>
        </is>
      </c>
      <c r="C1155" s="14">
        <f>IFERROR(IF(INDEX('01_Formulario_A10'!$D:$D,MATCH("D23-DOC-PBL-001.PROTOTYPE.ARTEFATO",'01_Formulario_A10'!$A:$A,0))="","— (a preencher em 01_Formulario_A10)",INDEX('01_Formulario_A10'!$D:$D,MATCH("D23-DOC-PBL-001.PROTOTYPE.ARTEFATO",'01_Formulario_A10'!$A:$A,0))),"— (a preencher em 01_Formulario_A10)")</f>
        <v/>
      </c>
    </row>
    <row r="1156">
      <c r="A1156" s="13" t="inlineStr">
        <is>
          <t>D23-DOC-PBL-001.PROTOTYPE.LOCALIZACAO</t>
        </is>
      </c>
      <c r="B1156" s="2" t="inlineStr">
        <is>
          <t>localizacao</t>
        </is>
      </c>
      <c r="C1156" s="14">
        <f>IFERROR(IF(INDEX('01_Formulario_A10'!$D:$D,MATCH("D23-DOC-PBL-001.PROTOTYPE.LOCALIZACAO",'01_Formulario_A10'!$A:$A,0))="","— (a preencher em 01_Formulario_A10)",INDEX('01_Formulario_A10'!$D:$D,MATCH("D23-DOC-PBL-001.PROTOTYPE.LOCALIZACAO",'01_Formulario_A10'!$A:$A,0))),"— (a preencher em 01_Formulario_A10)")</f>
        <v/>
      </c>
    </row>
    <row r="1157">
      <c r="A1157" s="13" t="inlineStr">
        <is>
          <t>D23-DOC-PBL-001.IMPLEMENTATION.REPOSITORIO</t>
        </is>
      </c>
      <c r="B1157" s="2" t="inlineStr">
        <is>
          <t>repositorio</t>
        </is>
      </c>
      <c r="C1157" s="14">
        <f>IFERROR(IF(INDEX('01_Formulario_A10'!$D:$D,MATCH("D23-DOC-PBL-001.IMPLEMENTATION.REPOSITORIO",'01_Formulario_A10'!$A:$A,0))="","— (a preencher em 01_Formulario_A10)",INDEX('01_Formulario_A10'!$D:$D,MATCH("D23-DOC-PBL-001.IMPLEMENTATION.REPOSITORIO",'01_Formulario_A10'!$A:$A,0))),"— (a preencher em 01_Formulario_A10)")</f>
        <v/>
      </c>
    </row>
    <row r="1158">
      <c r="A1158" s="13" t="inlineStr">
        <is>
          <t>D23-DOC-PBL-001.IMPLEMENTATION.PACOTE</t>
        </is>
      </c>
      <c r="B1158" s="2" t="inlineStr">
        <is>
          <t>pacote</t>
        </is>
      </c>
      <c r="C1158" s="14">
        <f>IFERROR(IF(INDEX('01_Formulario_A10'!$D:$D,MATCH("D23-DOC-PBL-001.IMPLEMENTATION.PACOTE",'01_Formulario_A10'!$A:$A,0))="","— (a preencher em 01_Formulario_A10)",INDEX('01_Formulario_A10'!$D:$D,MATCH("D23-DOC-PBL-001.IMPLEMENTATION.PACOTE",'01_Formulario_A10'!$A:$A,0))),"— (a preencher em 01_Formulario_A10)")</f>
        <v/>
      </c>
    </row>
    <row r="1159">
      <c r="A1159" s="13" t="inlineStr">
        <is>
          <t>D23-DOC-PBL-001.IMPLEMENTATION.ROTA</t>
        </is>
      </c>
      <c r="B1159" s="2" t="inlineStr">
        <is>
          <t>rota</t>
        </is>
      </c>
      <c r="C1159" s="14">
        <f>IFERROR(IF(INDEX('01_Formulario_A10'!$D:$D,MATCH("D23-DOC-PBL-001.IMPLEMENTATION.ROTA",'01_Formulario_A10'!$A:$A,0))="","— (a preencher em 01_Formulario_A10)",INDEX('01_Formulario_A10'!$D:$D,MATCH("D23-DOC-PBL-001.IMPLEMENTATION.ROTA",'01_Formulario_A10'!$A:$A,0))),"— (a preencher em 01_Formulario_A10)")</f>
        <v/>
      </c>
    </row>
    <row r="1160">
      <c r="A1160" s="13" t="inlineStr">
        <is>
          <t>D23-DOC-PBL-001.TESTS.TESTE</t>
        </is>
      </c>
      <c r="B1160" s="2" t="inlineStr">
        <is>
          <t>teste</t>
        </is>
      </c>
      <c r="C1160" s="14">
        <f>IFERROR(IF(INDEX('01_Formulario_A10'!$D:$D,MATCH("D23-DOC-PBL-001.TESTS.TESTE",'01_Formulario_A10'!$A:$A,0))="","— (a preencher em 01_Formulario_A10)",INDEX('01_Formulario_A10'!$D:$D,MATCH("D23-DOC-PBL-001.TESTS.TESTE",'01_Formulario_A10'!$A:$A,0))),"— (a preencher em 01_Formulario_A10)")</f>
        <v/>
      </c>
    </row>
    <row r="1161">
      <c r="A1161" s="13" t="inlineStr">
        <is>
          <t>D23-DOC-PBL-001.TESTS.RESULTADO</t>
        </is>
      </c>
      <c r="B1161" s="2" t="inlineStr">
        <is>
          <t>resultado</t>
        </is>
      </c>
      <c r="C1161" s="14">
        <f>IFERROR(IF(INDEX('01_Formulario_A10'!$D:$D,MATCH("D23-DOC-PBL-001.TESTS.RESULTADO",'01_Formulario_A10'!$A:$A,0))="","— (a preencher em 01_Formulario_A10)",INDEX('01_Formulario_A10'!$D:$D,MATCH("D23-DOC-PBL-001.TESTS.RESULTADO",'01_Formulario_A10'!$A:$A,0))),"— (a preencher em 01_Formulario_A10)")</f>
        <v/>
      </c>
    </row>
    <row r="1162">
      <c r="A1162" s="13" t="inlineStr">
        <is>
          <t>D23-DOC-PBL-001.RELEASE_MAPPING.RELEASE</t>
        </is>
      </c>
      <c r="B1162" s="2" t="inlineStr">
        <is>
          <t>release</t>
        </is>
      </c>
      <c r="C1162" s="14">
        <f>IFERROR(IF(INDEX('01_Formulario_A10'!$D:$D,MATCH("D23-DOC-PBL-001.RELEASE_MAPPING.RELEASE",'01_Formulario_A10'!$A:$A,0))="","— (a preencher em 01_Formulario_A10)",INDEX('01_Formulario_A10'!$D:$D,MATCH("D23-DOC-PBL-001.RELEASE_MAPPING.RELEASE",'01_Formulario_A10'!$A:$A,0))),"— (a preencher em 01_Formulario_A10)")</f>
        <v/>
      </c>
    </row>
    <row r="1163">
      <c r="A1163" s="13" t="inlineStr">
        <is>
          <t>D23-DOC-PBL-001.RELEASE_MAPPING.GATE</t>
        </is>
      </c>
      <c r="B1163" s="2" t="inlineStr">
        <is>
          <t>gate</t>
        </is>
      </c>
      <c r="C1163" s="14">
        <f>IFERROR(IF(INDEX('01_Formulario_A10'!$D:$D,MATCH("D23-DOC-PBL-001.RELEASE_MAPPING.GATE",'01_Formulario_A10'!$A:$A,0))="","— (a preencher em 01_Formulario_A10)",INDEX('01_Formulario_A10'!$D:$D,MATCH("D23-DOC-PBL-001.RELEASE_MAPPING.GATE",'01_Formulario_A10'!$A:$A,0))),"— (a preencher em 01_Formulario_A10)")</f>
        <v/>
      </c>
    </row>
    <row r="1164">
      <c r="A1164" s="13" t="inlineStr">
        <is>
          <t>D23-DOC-PBL-001.EVIDENCE.FONTES</t>
        </is>
      </c>
      <c r="B1164" s="2" t="inlineStr">
        <is>
          <t>fontes</t>
        </is>
      </c>
      <c r="C1164" s="14">
        <f>IFERROR(IF(INDEX('01_Formulario_A10'!$D:$D,MATCH("D23-DOC-PBL-001.EVIDENCE.FONTES",'01_Formulario_A10'!$A:$A,0))="","— (a preencher em 01_Formulario_A10)",INDEX('01_Formulario_A10'!$D:$D,MATCH("D23-DOC-PBL-001.EVIDENCE.FONTES",'01_Formulario_A10'!$A:$A,0))),"— (a preencher em 01_Formulario_A10)")</f>
        <v/>
      </c>
    </row>
    <row r="1165">
      <c r="A1165" s="13" t="inlineStr">
        <is>
          <t>D23-DOC-PBL-001.EVIDENCE.REGISTROS</t>
        </is>
      </c>
      <c r="B1165" s="2" t="inlineStr">
        <is>
          <t>registros</t>
        </is>
      </c>
      <c r="C1165" s="14">
        <f>IFERROR(IF(INDEX('01_Formulario_A10'!$D:$D,MATCH("D23-DOC-PBL-001.EVIDENCE.REGISTROS",'01_Formulario_A10'!$A:$A,0))="","— (a preencher em 01_Formulario_A10)",INDEX('01_Formulario_A10'!$D:$D,MATCH("D23-DOC-PBL-001.EVIDENCE.REGISTROS",'01_Formulario_A10'!$A:$A,0))),"— (a preencher em 01_Formulario_A10)")</f>
        <v/>
      </c>
    </row>
  </sheetData>
  <mergeCells count="37">
    <mergeCell ref="A221:C221"/>
    <mergeCell ref="A193:C193"/>
    <mergeCell ref="A699:C699"/>
    <mergeCell ref="A365:C365"/>
    <mergeCell ref="A611:C611"/>
    <mergeCell ref="A667:C667"/>
    <mergeCell ref="A776:C776"/>
    <mergeCell ref="A434:C434"/>
    <mergeCell ref="A959:C959"/>
    <mergeCell ref="A748:C748"/>
    <mergeCell ref="A384:C384"/>
    <mergeCell ref="A116:C116"/>
    <mergeCell ref="A414:C414"/>
    <mergeCell ref="A140:C140"/>
    <mergeCell ref="A495:C495"/>
    <mergeCell ref="A4:C4"/>
    <mergeCell ref="A849:C849"/>
    <mergeCell ref="A288:C288"/>
    <mergeCell ref="A1125:C1125"/>
    <mergeCell ref="A882:C882"/>
    <mergeCell ref="A919:C919"/>
    <mergeCell ref="A565:C565"/>
    <mergeCell ref="A328:C328"/>
    <mergeCell ref="A1030:C1030"/>
    <mergeCell ref="A260:C260"/>
    <mergeCell ref="A540:C540"/>
    <mergeCell ref="A1101:C1101"/>
    <mergeCell ref="A49:C49"/>
    <mergeCell ref="A467:C467"/>
    <mergeCell ref="A809:C809"/>
    <mergeCell ref="A79:C79"/>
    <mergeCell ref="A1070:C1070"/>
    <mergeCell ref="A523:C523"/>
    <mergeCell ref="A992:C992"/>
    <mergeCell ref="A635:C635"/>
    <mergeCell ref="A582:C582"/>
    <mergeCell ref="A174:C17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B4"/>
  <sheetViews>
    <sheetView workbookViewId="0">
      <selection activeCell="A1" sqref="A1"/>
    </sheetView>
  </sheetViews>
  <sheetFormatPr baseColWidth="8" defaultRowHeight="15"/>
  <cols>
    <col width="100" customWidth="1" min="2" max="2"/>
  </cols>
  <sheetData>
    <row r="2">
      <c r="B2" s="1" t="inlineStr">
        <is>
          <t>Visão Dependências</t>
        </is>
      </c>
    </row>
    <row r="4">
      <c r="B4" s="3" t="inlineStr">
        <is>
          <t>Nenhuma dependência registrada — ver GAP-DEP-01 em 21_REG_Gaps (PF-24 não executado na fonte).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6" customWidth="1" min="1" max="1"/>
    <col width="26" customWidth="1" min="2" max="2"/>
    <col width="26" customWidth="1" min="3" max="3"/>
  </cols>
  <sheetData>
    <row r="1">
      <c r="A1" s="15" t="inlineStr">
        <is>
          <t>gate_id</t>
        </is>
      </c>
      <c r="B1" s="15" t="inlineStr">
        <is>
          <t>name</t>
        </is>
      </c>
      <c r="C1" s="15" t="inlineStr">
        <is>
          <t>decision</t>
        </is>
      </c>
    </row>
    <row r="2">
      <c r="A2" s="13" t="inlineStr">
        <is>
          <t>G00</t>
        </is>
      </c>
      <c r="B2" s="2" t="inlineStr">
        <is>
          <t>INITIATIVE_READY</t>
        </is>
      </c>
      <c r="C2" s="2" t="inlineStr">
        <is>
          <t>PENDING</t>
        </is>
      </c>
    </row>
    <row r="3">
      <c r="A3" s="13" t="inlineStr">
        <is>
          <t>G01</t>
        </is>
      </c>
      <c r="B3" s="2" t="inlineStr">
        <is>
          <t>BUSINESS_READY</t>
        </is>
      </c>
      <c r="C3" s="2" t="inlineStr">
        <is>
          <t>PENDING</t>
        </is>
      </c>
    </row>
    <row r="4">
      <c r="A4" s="13" t="inlineStr">
        <is>
          <t>G02</t>
        </is>
      </c>
      <c r="B4" s="2" t="inlineStr">
        <is>
          <t>PRODUCT_READY</t>
        </is>
      </c>
      <c r="C4" s="2" t="inlineStr">
        <is>
          <t>PENDING</t>
        </is>
      </c>
    </row>
    <row r="5">
      <c r="A5" s="13" t="inlineStr">
        <is>
          <t>G03</t>
        </is>
      </c>
      <c r="B5" s="2" t="inlineStr">
        <is>
          <t>DEVELOPMENT_READY</t>
        </is>
      </c>
      <c r="C5" s="2" t="inlineStr">
        <is>
          <t>PENDING</t>
        </is>
      </c>
    </row>
    <row r="6">
      <c r="A6" s="13" t="inlineStr">
        <is>
          <t>G04</t>
        </is>
      </c>
      <c r="B6" s="2" t="inlineStr">
        <is>
          <t>ENGINEERING_READY</t>
        </is>
      </c>
      <c r="C6" s="2" t="inlineStr">
        <is>
          <t>PENDING</t>
        </is>
      </c>
    </row>
    <row r="7">
      <c r="A7" s="13" t="inlineStr">
        <is>
          <t>G05</t>
        </is>
      </c>
      <c r="B7" s="2" t="inlineStr">
        <is>
          <t>RELEASE_READY</t>
        </is>
      </c>
      <c r="C7" s="2" t="inlineStr">
        <is>
          <t>PENDING</t>
        </is>
      </c>
    </row>
    <row r="8">
      <c r="A8" s="13" t="inlineStr">
        <is>
          <t>G06</t>
        </is>
      </c>
      <c r="B8" s="2" t="inlineStr">
        <is>
          <t>GO_LIVE</t>
        </is>
      </c>
      <c r="C8" s="2" t="inlineStr">
        <is>
          <t>PENDING</t>
        </is>
      </c>
    </row>
    <row r="9">
      <c r="A9" s="13" t="inlineStr">
        <is>
          <t>G07</t>
        </is>
      </c>
      <c r="B9" s="2" t="inlineStr">
        <is>
          <t>OPERATIONAL_READY</t>
        </is>
      </c>
      <c r="C9" s="2" t="inlineStr">
        <is>
          <t>PENDING</t>
        </is>
      </c>
    </row>
    <row r="10">
      <c r="A10" s="13" t="inlineStr">
        <is>
          <t>G08</t>
        </is>
      </c>
      <c r="B10" s="2" t="inlineStr">
        <is>
          <t>GTM_READY</t>
        </is>
      </c>
      <c r="C10" s="2" t="inlineStr">
        <is>
          <t>PENDING</t>
        </is>
      </c>
    </row>
    <row r="11">
      <c r="A11" s="13" t="inlineStr">
        <is>
          <t>G09</t>
        </is>
      </c>
      <c r="B11" s="2" t="inlineStr">
        <is>
          <t>MEASURED</t>
        </is>
      </c>
      <c r="C11" s="2" t="inlineStr">
        <is>
          <t>PENDING</t>
        </is>
      </c>
    </row>
    <row r="12">
      <c r="A12" s="13" t="inlineStr">
        <is>
          <t>G10</t>
        </is>
      </c>
      <c r="B12" s="2" t="inlineStr">
        <is>
          <t>LEARNING_CAPTURED</t>
        </is>
      </c>
      <c r="C12" s="2" t="inlineStr">
        <is>
          <t>PENDING</t>
        </is>
      </c>
    </row>
    <row r="13">
      <c r="A13" s="13" t="inlineStr">
        <is>
          <t>G11</t>
        </is>
      </c>
      <c r="B13" s="2" t="inlineStr">
        <is>
          <t>DOCUMENTED</t>
        </is>
      </c>
      <c r="C13" s="2" t="inlineStr">
        <is>
          <t>PENDING</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s>
  <sheetData>
    <row r="1">
      <c r="A1" s="15" t="inlineStr">
        <is>
          <t>document_id</t>
        </is>
      </c>
      <c r="B1" s="15" t="inlineStr">
        <is>
          <t>level</t>
        </is>
      </c>
      <c r="C1" s="15" t="inlineStr">
        <is>
          <t>scope_id</t>
        </is>
      </c>
      <c r="D1" s="15" t="inlineStr">
        <is>
          <t>status</t>
        </is>
      </c>
    </row>
    <row r="2">
      <c r="A2" s="13" t="inlineStr">
        <is>
          <t>A00-FINAL-001</t>
        </is>
      </c>
      <c r="B2" s="2" t="inlineStr">
        <is>
          <t>MACROAREA</t>
        </is>
      </c>
      <c r="C2" s="2" t="inlineStr">
        <is>
          <t>A00</t>
        </is>
      </c>
      <c r="D2" s="2" t="inlineStr">
        <is>
          <t>NOT_CREATED</t>
        </is>
      </c>
    </row>
    <row r="3">
      <c r="A3" s="13" t="inlineStr">
        <is>
          <t>A01-FINAL-001</t>
        </is>
      </c>
      <c r="B3" s="2" t="inlineStr">
        <is>
          <t>MACROAREA</t>
        </is>
      </c>
      <c r="C3" s="2" t="inlineStr">
        <is>
          <t>A01</t>
        </is>
      </c>
      <c r="D3" s="2" t="inlineStr">
        <is>
          <t>NOT_CREATED</t>
        </is>
      </c>
    </row>
    <row r="4">
      <c r="A4" s="13" t="inlineStr">
        <is>
          <t>A02-FINAL-001</t>
        </is>
      </c>
      <c r="B4" s="2" t="inlineStr">
        <is>
          <t>MACROAREA</t>
        </is>
      </c>
      <c r="C4" s="2" t="inlineStr">
        <is>
          <t>A02</t>
        </is>
      </c>
      <c r="D4" s="2" t="inlineStr">
        <is>
          <t>NOT_CREATED</t>
        </is>
      </c>
    </row>
    <row r="5">
      <c r="A5" s="13" t="inlineStr">
        <is>
          <t>A03-FINAL-001</t>
        </is>
      </c>
      <c r="B5" s="2" t="inlineStr">
        <is>
          <t>MACROAREA</t>
        </is>
      </c>
      <c r="C5" s="2" t="inlineStr">
        <is>
          <t>A03</t>
        </is>
      </c>
      <c r="D5" s="2" t="inlineStr">
        <is>
          <t>NOT_CREATED</t>
        </is>
      </c>
    </row>
    <row r="6">
      <c r="A6" s="13" t="inlineStr">
        <is>
          <t>A04-FINAL-001</t>
        </is>
      </c>
      <c r="B6" s="2" t="inlineStr">
        <is>
          <t>MACROAREA</t>
        </is>
      </c>
      <c r="C6" s="2" t="inlineStr">
        <is>
          <t>A04</t>
        </is>
      </c>
      <c r="D6" s="2" t="inlineStr">
        <is>
          <t>NOT_CREATED</t>
        </is>
      </c>
    </row>
    <row r="7">
      <c r="A7" s="13" t="inlineStr">
        <is>
          <t>A05-FINAL-001</t>
        </is>
      </c>
      <c r="B7" s="2" t="inlineStr">
        <is>
          <t>MACROAREA</t>
        </is>
      </c>
      <c r="C7" s="2" t="inlineStr">
        <is>
          <t>A05</t>
        </is>
      </c>
      <c r="D7" s="2" t="inlineStr">
        <is>
          <t>NOT_CREATED</t>
        </is>
      </c>
    </row>
    <row r="8">
      <c r="A8" s="13" t="inlineStr">
        <is>
          <t>A06-FINAL-001</t>
        </is>
      </c>
      <c r="B8" s="2" t="inlineStr">
        <is>
          <t>MACROAREA</t>
        </is>
      </c>
      <c r="C8" s="2" t="inlineStr">
        <is>
          <t>A06</t>
        </is>
      </c>
      <c r="D8" s="2" t="inlineStr">
        <is>
          <t>NOT_CREATED</t>
        </is>
      </c>
    </row>
    <row r="9">
      <c r="A9" s="13" t="inlineStr">
        <is>
          <t>A07-FINAL-001</t>
        </is>
      </c>
      <c r="B9" s="2" t="inlineStr">
        <is>
          <t>MACROAREA</t>
        </is>
      </c>
      <c r="C9" s="2" t="inlineStr">
        <is>
          <t>A07</t>
        </is>
      </c>
      <c r="D9" s="2" t="inlineStr">
        <is>
          <t>NOT_CREATED</t>
        </is>
      </c>
    </row>
    <row r="10">
      <c r="A10" s="13" t="inlineStr">
        <is>
          <t>A08-FINAL-001</t>
        </is>
      </c>
      <c r="B10" s="2" t="inlineStr">
        <is>
          <t>MACROAREA</t>
        </is>
      </c>
      <c r="C10" s="2" t="inlineStr">
        <is>
          <t>A08</t>
        </is>
      </c>
      <c r="D10" s="2" t="inlineStr">
        <is>
          <t>NOT_CREATED</t>
        </is>
      </c>
    </row>
    <row r="11">
      <c r="A11" s="13" t="inlineStr">
        <is>
          <t>A09-FINAL-001</t>
        </is>
      </c>
      <c r="B11" s="2" t="inlineStr">
        <is>
          <t>MACROAREA</t>
        </is>
      </c>
      <c r="C11" s="2" t="inlineStr">
        <is>
          <t>A09</t>
        </is>
      </c>
      <c r="D11" s="2" t="inlineStr">
        <is>
          <t>NOT_CREATED</t>
        </is>
      </c>
    </row>
    <row r="12">
      <c r="A12" s="13" t="inlineStr">
        <is>
          <t>A10-FINAL-001</t>
        </is>
      </c>
      <c r="B12" s="2" t="inlineStr">
        <is>
          <t>MACROAREA</t>
        </is>
      </c>
      <c r="C12" s="2" t="inlineStr">
        <is>
          <t>A10</t>
        </is>
      </c>
      <c r="D12" s="2" t="inlineStr">
        <is>
          <t>NOT_CREATED</t>
        </is>
      </c>
    </row>
    <row r="13">
      <c r="A13" s="13" t="inlineStr">
        <is>
          <t>A11-FINAL-001</t>
        </is>
      </c>
      <c r="B13" s="2" t="inlineStr">
        <is>
          <t>MACROAREA</t>
        </is>
      </c>
      <c r="C13" s="2" t="inlineStr">
        <is>
          <t>A11</t>
        </is>
      </c>
      <c r="D13" s="2" t="inlineStr">
        <is>
          <t>NOT_CREATED</t>
        </is>
      </c>
    </row>
    <row r="14">
      <c r="A14" s="13" t="inlineStr">
        <is>
          <t>A12-FINAL-001</t>
        </is>
      </c>
      <c r="B14" s="2" t="inlineStr">
        <is>
          <t>MACROAREA</t>
        </is>
      </c>
      <c r="C14" s="2" t="inlineStr">
        <is>
          <t>A12</t>
        </is>
      </c>
      <c r="D14" s="2" t="inlineStr">
        <is>
          <t>NOT_CREATED</t>
        </is>
      </c>
    </row>
    <row r="15">
      <c r="A15" s="13" t="inlineStr">
        <is>
          <t>S0-FINAL-001</t>
        </is>
      </c>
      <c r="B15" s="2" t="inlineStr">
        <is>
          <t>PORTFOLIO</t>
        </is>
      </c>
      <c r="C15" s="2" t="inlineStr">
        <is>
          <t>S0</t>
        </is>
      </c>
      <c r="D15" s="2" t="inlineStr">
        <is>
          <t>NOT_CREATED</t>
        </is>
      </c>
    </row>
    <row r="16">
      <c r="A16" s="13" t="inlineStr">
        <is>
          <t>M0-FINAL-001</t>
        </is>
      </c>
      <c r="B16" s="2" t="inlineStr">
        <is>
          <t>PORTFOLIO</t>
        </is>
      </c>
      <c r="C16" s="2" t="inlineStr">
        <is>
          <t>M0</t>
        </is>
      </c>
      <c r="D16" s="2" t="inlineStr">
        <is>
          <t>NOT_CREATED</t>
        </is>
      </c>
    </row>
    <row r="17">
      <c r="A17" s="13" t="inlineStr">
        <is>
          <t>M1-FINAL-001</t>
        </is>
      </c>
      <c r="B17" s="2" t="inlineStr">
        <is>
          <t>PORTFOLIO</t>
        </is>
      </c>
      <c r="C17" s="2" t="inlineStr">
        <is>
          <t>M1</t>
        </is>
      </c>
      <c r="D17" s="2" t="inlineStr">
        <is>
          <t>NOT_CREATED</t>
        </is>
      </c>
    </row>
    <row r="18">
      <c r="A18" s="13" t="inlineStr">
        <is>
          <t>M2-FINAL-001</t>
        </is>
      </c>
      <c r="B18" s="2" t="inlineStr">
        <is>
          <t>PORTFOLIO</t>
        </is>
      </c>
      <c r="C18" s="2" t="inlineStr">
        <is>
          <t>M2</t>
        </is>
      </c>
      <c r="D18" s="2" t="inlineStr">
        <is>
          <t>NOT_CREATED</t>
        </is>
      </c>
    </row>
    <row r="19">
      <c r="A19" s="13" t="inlineStr">
        <is>
          <t>M2.1-FINAL-001</t>
        </is>
      </c>
      <c r="B19" s="2" t="inlineStr">
        <is>
          <t>PORTFOLIO</t>
        </is>
      </c>
      <c r="C19" s="2" t="inlineStr">
        <is>
          <t>M2.1</t>
        </is>
      </c>
      <c r="D19" s="2" t="inlineStr">
        <is>
          <t>NOT_CREATED</t>
        </is>
      </c>
    </row>
    <row r="20">
      <c r="A20" s="13" t="inlineStr">
        <is>
          <t>M3-FINAL-001</t>
        </is>
      </c>
      <c r="B20" s="2" t="inlineStr">
        <is>
          <t>PORTFOLIO</t>
        </is>
      </c>
      <c r="C20" s="2" t="inlineStr">
        <is>
          <t>M3</t>
        </is>
      </c>
      <c r="D20" s="2" t="inlineStr">
        <is>
          <t>NOT_CREATED</t>
        </is>
      </c>
    </row>
    <row r="21">
      <c r="A21" s="13" t="inlineStr">
        <is>
          <t>M4-FINAL-001</t>
        </is>
      </c>
      <c r="B21" s="2" t="inlineStr">
        <is>
          <t>PORTFOLIO</t>
        </is>
      </c>
      <c r="C21" s="2" t="inlineStr">
        <is>
          <t>M4</t>
        </is>
      </c>
      <c r="D21" s="2" t="inlineStr">
        <is>
          <t>NOT_CREATED</t>
        </is>
      </c>
    </row>
    <row r="22">
      <c r="A22" s="13" t="inlineStr">
        <is>
          <t>M5-FINAL-001</t>
        </is>
      </c>
      <c r="B22" s="2" t="inlineStr">
        <is>
          <t>PORTFOLIO</t>
        </is>
      </c>
      <c r="C22" s="2" t="inlineStr">
        <is>
          <t>M5</t>
        </is>
      </c>
      <c r="D22" s="2" t="inlineStr">
        <is>
          <t>NOT_CREATED</t>
        </is>
      </c>
    </row>
    <row r="23">
      <c r="A23" s="13" t="inlineStr">
        <is>
          <t>M6-FINAL-001</t>
        </is>
      </c>
      <c r="B23" s="2" t="inlineStr">
        <is>
          <t>PORTFOLIO</t>
        </is>
      </c>
      <c r="C23" s="2" t="inlineStr">
        <is>
          <t>M6</t>
        </is>
      </c>
      <c r="D23" s="2" t="inlineStr">
        <is>
          <t>NOT_CREATED</t>
        </is>
      </c>
    </row>
    <row r="24">
      <c r="A24" s="13" t="inlineStr">
        <is>
          <t>M7-FINAL-001</t>
        </is>
      </c>
      <c r="B24" s="2" t="inlineStr">
        <is>
          <t>PORTFOLIO</t>
        </is>
      </c>
      <c r="C24" s="2" t="inlineStr">
        <is>
          <t>M7</t>
        </is>
      </c>
      <c r="D24" s="2" t="inlineStr">
        <is>
          <t>NOT_CREATED</t>
        </is>
      </c>
    </row>
    <row r="25">
      <c r="A25" s="13" t="inlineStr">
        <is>
          <t>M7.1-FINAL-001</t>
        </is>
      </c>
      <c r="B25" s="2" t="inlineStr">
        <is>
          <t>PORTFOLIO</t>
        </is>
      </c>
      <c r="C25" s="2" t="inlineStr">
        <is>
          <t>M7.1</t>
        </is>
      </c>
      <c r="D25" s="2" t="inlineStr">
        <is>
          <t>NOT_CREATED</t>
        </is>
      </c>
    </row>
    <row r="26">
      <c r="A26" s="13" t="inlineStr">
        <is>
          <t>M8-FINAL-001</t>
        </is>
      </c>
      <c r="B26" s="2" t="inlineStr">
        <is>
          <t>PORTFOLIO</t>
        </is>
      </c>
      <c r="C26" s="2" t="inlineStr">
        <is>
          <t>M8</t>
        </is>
      </c>
      <c r="D26" s="2" t="inlineStr">
        <is>
          <t>NOT_CREATED</t>
        </is>
      </c>
    </row>
    <row r="27">
      <c r="A27" s="13" t="inlineStr">
        <is>
          <t>M9-FINAL-001</t>
        </is>
      </c>
      <c r="B27" s="2" t="inlineStr">
        <is>
          <t>PORTFOLIO</t>
        </is>
      </c>
      <c r="C27" s="2" t="inlineStr">
        <is>
          <t>M9</t>
        </is>
      </c>
      <c r="D27" s="2" t="inlineStr">
        <is>
          <t>NOT_CREATED</t>
        </is>
      </c>
    </row>
    <row r="28">
      <c r="A28" s="13" t="inlineStr">
        <is>
          <t>M10-FINAL-001</t>
        </is>
      </c>
      <c r="B28" s="2" t="inlineStr">
        <is>
          <t>PORTFOLIO</t>
        </is>
      </c>
      <c r="C28" s="2" t="inlineStr">
        <is>
          <t>M10</t>
        </is>
      </c>
      <c r="D28" s="2" t="inlineStr">
        <is>
          <t>NOT_CREATED</t>
        </is>
      </c>
    </row>
    <row r="29">
      <c r="A29" s="13" t="inlineStr">
        <is>
          <t>M11-FINAL-001</t>
        </is>
      </c>
      <c r="B29" s="2" t="inlineStr">
        <is>
          <t>PORTFOLIO</t>
        </is>
      </c>
      <c r="C29" s="2" t="inlineStr">
        <is>
          <t>M11</t>
        </is>
      </c>
      <c r="D29" s="2" t="inlineStr">
        <is>
          <t>NOT_CREATED</t>
        </is>
      </c>
    </row>
    <row r="30">
      <c r="A30" s="13" t="inlineStr">
        <is>
          <t>M12-FINAL-001</t>
        </is>
      </c>
      <c r="B30" s="2" t="inlineStr">
        <is>
          <t>PORTFOLIO</t>
        </is>
      </c>
      <c r="C30" s="2" t="inlineStr">
        <is>
          <t>M12</t>
        </is>
      </c>
      <c r="D30" s="2" t="inlineStr">
        <is>
          <t>NOT_CREATED</t>
        </is>
      </c>
    </row>
    <row r="31">
      <c r="A31" s="13" t="inlineStr">
        <is>
          <t>M13-FINAL-001</t>
        </is>
      </c>
      <c r="B31" s="2" t="inlineStr">
        <is>
          <t>PORTFOLIO</t>
        </is>
      </c>
      <c r="C31" s="2" t="inlineStr">
        <is>
          <t>M13</t>
        </is>
      </c>
      <c r="D31" s="2" t="inlineStr">
        <is>
          <t>NOT_CREATED</t>
        </is>
      </c>
    </row>
    <row r="32">
      <c r="A32" s="13" t="inlineStr">
        <is>
          <t>M14-FINAL-001</t>
        </is>
      </c>
      <c r="B32" s="2" t="inlineStr">
        <is>
          <t>PORTFOLIO</t>
        </is>
      </c>
      <c r="C32" s="2" t="inlineStr">
        <is>
          <t>M14</t>
        </is>
      </c>
      <c r="D32" s="2" t="inlineStr">
        <is>
          <t>NOT_CREATED</t>
        </is>
      </c>
    </row>
    <row r="33">
      <c r="A33" s="13" t="inlineStr">
        <is>
          <t>M15-FINAL-001</t>
        </is>
      </c>
      <c r="B33" s="2" t="inlineStr">
        <is>
          <t>PORTFOLIO</t>
        </is>
      </c>
      <c r="C33" s="2" t="inlineStr">
        <is>
          <t>M15</t>
        </is>
      </c>
      <c r="D33" s="2" t="inlineStr">
        <is>
          <t>NOT_CREATED</t>
        </is>
      </c>
    </row>
    <row r="34">
      <c r="A34" s="13" t="inlineStr">
        <is>
          <t>M16-FINAL-001</t>
        </is>
      </c>
      <c r="B34" s="2" t="inlineStr">
        <is>
          <t>PORTFOLIO</t>
        </is>
      </c>
      <c r="C34" s="2" t="inlineStr">
        <is>
          <t>M16</t>
        </is>
      </c>
      <c r="D34" s="2" t="inlineStr">
        <is>
          <t>NOT_CREATED</t>
        </is>
      </c>
    </row>
    <row r="35">
      <c r="A35" s="13" t="inlineStr">
        <is>
          <t>EXECUTAR-FINAL-001</t>
        </is>
      </c>
      <c r="B35" s="2" t="inlineStr">
        <is>
          <t>PROGRAM</t>
        </is>
      </c>
      <c r="C35" s="2" t="inlineStr">
        <is>
          <t>EXECUTAR</t>
        </is>
      </c>
      <c r="D35" s="2" t="inlineStr">
        <is>
          <t>NOT_CREATED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c r="A1" s="15" t="inlineStr">
        <is>
          <t>legacy_id</t>
        </is>
      </c>
      <c r="B1" s="15" t="inlineStr">
        <is>
          <t>canonical_id</t>
        </is>
      </c>
      <c r="C1" s="15" t="inlineStr">
        <is>
          <t>sheet</t>
        </is>
      </c>
      <c r="D1" s="15" t="inlineStr">
        <is>
          <t>row_in_sheet</t>
        </is>
      </c>
      <c r="E1" s="15" t="inlineStr">
        <is>
          <t>object_type</t>
        </is>
      </c>
    </row>
    <row r="2">
      <c r="A2" s="13" t="inlineStr">
        <is>
          <t>D01-DOC-DDE-001</t>
        </is>
      </c>
      <c r="B2" s="13" t="inlineStr">
        <is>
          <t>D01-DOC-DDE-001</t>
        </is>
      </c>
      <c r="C2" s="2" t="inlineStr">
        <is>
          <t>14_REG_Artefatos</t>
        </is>
      </c>
      <c r="D2" s="14">
        <f>MATCH(B2,'14_REG_Artefatos'!A:A,0)</f>
        <v/>
      </c>
      <c r="E2" s="2" t="inlineStr">
        <is>
          <t>artifact</t>
        </is>
      </c>
    </row>
    <row r="3">
      <c r="A3" s="13" t="inlineStr">
        <is>
          <t>D01-DOC-TAP-001</t>
        </is>
      </c>
      <c r="B3" s="13" t="inlineStr">
        <is>
          <t>D01-DOC-TAP-001</t>
        </is>
      </c>
      <c r="C3" s="2" t="inlineStr">
        <is>
          <t>14_REG_Artefatos</t>
        </is>
      </c>
      <c r="D3" s="14">
        <f>MATCH(B3,'14_REG_Artefatos'!A:A,0)</f>
        <v/>
      </c>
      <c r="E3" s="2" t="inlineStr">
        <is>
          <t>artifact</t>
        </is>
      </c>
    </row>
    <row r="4">
      <c r="A4" s="13" t="inlineStr">
        <is>
          <t>D01-DOC-MNE-001</t>
        </is>
      </c>
      <c r="B4" s="13" t="inlineStr">
        <is>
          <t>D01-DOC-MNE-001</t>
        </is>
      </c>
      <c r="C4" s="2" t="inlineStr">
        <is>
          <t>14_REG_Artefatos</t>
        </is>
      </c>
      <c r="D4" s="14">
        <f>MATCH(B4,'14_REG_Artefatos'!A:A,0)</f>
        <v/>
      </c>
      <c r="E4" s="2" t="inlineStr">
        <is>
          <t>artifact</t>
        </is>
      </c>
    </row>
    <row r="5">
      <c r="A5" s="13" t="inlineStr">
        <is>
          <t>D01-DOC-MRE-001</t>
        </is>
      </c>
      <c r="B5" s="13" t="inlineStr">
        <is>
          <t>D01-DOC-MRE-001</t>
        </is>
      </c>
      <c r="C5" s="2" t="inlineStr">
        <is>
          <t>14_REG_Artefatos</t>
        </is>
      </c>
      <c r="D5" s="14">
        <f>MATCH(B5,'14_REG_Artefatos'!A:A,0)</f>
        <v/>
      </c>
      <c r="E5" s="2" t="inlineStr">
        <is>
          <t>artifact</t>
        </is>
      </c>
    </row>
    <row r="6">
      <c r="A6" s="13" t="inlineStr">
        <is>
          <t>D02-DOC-DGRC-001</t>
        </is>
      </c>
      <c r="B6" s="13" t="inlineStr">
        <is>
          <t>D02-DOC-DGRC-001</t>
        </is>
      </c>
      <c r="C6" s="2" t="inlineStr">
        <is>
          <t>14_REG_Artefatos</t>
        </is>
      </c>
      <c r="D6" s="14">
        <f>MATCH(B6,'14_REG_Artefatos'!A:A,0)</f>
        <v/>
      </c>
      <c r="E6" s="2" t="inlineStr">
        <is>
          <t>artifact</t>
        </is>
      </c>
    </row>
    <row r="7">
      <c r="A7" s="13" t="inlineStr">
        <is>
          <t>D02-DOC-MRC-001</t>
        </is>
      </c>
      <c r="B7" s="13" t="inlineStr">
        <is>
          <t>D02-DOC-MRC-001</t>
        </is>
      </c>
      <c r="C7" s="2" t="inlineStr">
        <is>
          <t>14_REG_Artefatos</t>
        </is>
      </c>
      <c r="D7" s="14">
        <f>MATCH(B7,'14_REG_Artefatos'!A:A,0)</f>
        <v/>
      </c>
      <c r="E7" s="2" t="inlineStr">
        <is>
          <t>artifact</t>
        </is>
      </c>
    </row>
    <row r="8">
      <c r="A8" s="13" t="inlineStr">
        <is>
          <t>D02-DOC-PPT-001</t>
        </is>
      </c>
      <c r="B8" s="13" t="inlineStr">
        <is>
          <t>D02-DOC-PPT-001</t>
        </is>
      </c>
      <c r="C8" s="2" t="inlineStr">
        <is>
          <t>14_REG_Artefatos</t>
        </is>
      </c>
      <c r="D8" s="14">
        <f>MATCH(B8,'14_REG_Artefatos'!A:A,0)</f>
        <v/>
      </c>
      <c r="E8" s="2" t="inlineStr">
        <is>
          <t>artifact</t>
        </is>
      </c>
    </row>
    <row r="9">
      <c r="A9" s="13" t="inlineStr">
        <is>
          <t>D03-DOC-PFO-001</t>
        </is>
      </c>
      <c r="B9" s="13" t="inlineStr">
        <is>
          <t>D03-DOC-PFO-001</t>
        </is>
      </c>
      <c r="C9" s="2" t="inlineStr">
        <is>
          <t>14_REG_Artefatos</t>
        </is>
      </c>
      <c r="D9" s="14">
        <f>MATCH(B9,'14_REG_Artefatos'!A:A,0)</f>
        <v/>
      </c>
      <c r="E9" s="2" t="inlineStr">
        <is>
          <t>artifact</t>
        </is>
      </c>
    </row>
    <row r="10">
      <c r="A10" s="13" t="inlineStr">
        <is>
          <t>D03-DOC-MFO-001</t>
        </is>
      </c>
      <c r="B10" s="13" t="inlineStr">
        <is>
          <t>D03-DOC-MFO-001</t>
        </is>
      </c>
      <c r="C10" s="2" t="inlineStr">
        <is>
          <t>14_REG_Artefatos</t>
        </is>
      </c>
      <c r="D10" s="14">
        <f>MATCH(B10,'14_REG_Artefatos'!A:A,0)</f>
        <v/>
      </c>
      <c r="E10" s="2" t="inlineStr">
        <is>
          <t>artifact</t>
        </is>
      </c>
    </row>
    <row r="11">
      <c r="A11" s="13" t="inlineStr">
        <is>
          <t>D04-DOC-PPC-001</t>
        </is>
      </c>
      <c r="B11" s="13" t="inlineStr">
        <is>
          <t>D04-DOC-PPC-001</t>
        </is>
      </c>
      <c r="C11" s="2" t="inlineStr">
        <is>
          <t>14_REG_Artefatos</t>
        </is>
      </c>
      <c r="D11" s="14">
        <f>MATCH(B11,'14_REG_Artefatos'!A:A,0)</f>
        <v/>
      </c>
      <c r="E11" s="2" t="inlineStr">
        <is>
          <t>artifact</t>
        </is>
      </c>
    </row>
    <row r="12">
      <c r="A12" s="13" t="inlineStr">
        <is>
          <t>D05-DOC-EPGD-001</t>
        </is>
      </c>
      <c r="B12" s="13" t="inlineStr">
        <is>
          <t>D05-DOC-EPGD-001</t>
        </is>
      </c>
      <c r="C12" s="2" t="inlineStr">
        <is>
          <t>14_REG_Artefatos</t>
        </is>
      </c>
      <c r="D12" s="14">
        <f>MATCH(B12,'14_REG_Artefatos'!A:A,0)</f>
        <v/>
      </c>
      <c r="E12" s="2" t="inlineStr">
        <is>
          <t>artifact</t>
        </is>
      </c>
    </row>
    <row r="13">
      <c r="A13" s="13" t="inlineStr">
        <is>
          <t>D05-DOC-DCM-001</t>
        </is>
      </c>
      <c r="B13" s="13" t="inlineStr">
        <is>
          <t>D05-DOC-DCM-001</t>
        </is>
      </c>
      <c r="C13" s="2" t="inlineStr">
        <is>
          <t>14_REG_Artefatos</t>
        </is>
      </c>
      <c r="D13" s="14">
        <f>MATCH(B13,'14_REG_Artefatos'!A:A,0)</f>
        <v/>
      </c>
      <c r="E13" s="2" t="inlineStr">
        <is>
          <t>artifact</t>
        </is>
      </c>
    </row>
    <row r="14">
      <c r="A14" s="13" t="inlineStr">
        <is>
          <t>D06-DOC-EGC-001</t>
        </is>
      </c>
      <c r="B14" s="13" t="inlineStr">
        <is>
          <t>D06-DOC-EGC-001</t>
        </is>
      </c>
      <c r="C14" s="2" t="inlineStr">
        <is>
          <t>14_REG_Artefatos</t>
        </is>
      </c>
      <c r="D14" s="14">
        <f>MATCH(B14,'14_REG_Artefatos'!A:A,0)</f>
        <v/>
      </c>
      <c r="E14" s="2" t="inlineStr">
        <is>
          <t>artifact</t>
        </is>
      </c>
    </row>
    <row r="15">
      <c r="A15" s="13" t="inlineStr">
        <is>
          <t>D06-DOC-RMI-001</t>
        </is>
      </c>
      <c r="B15" s="13" t="inlineStr">
        <is>
          <t>D06-DOC-RMI-001</t>
        </is>
      </c>
      <c r="C15" s="2" t="inlineStr">
        <is>
          <t>14_REG_Artefatos</t>
        </is>
      </c>
      <c r="D15" s="14">
        <f>MATCH(B15,'14_REG_Artefatos'!A:A,0)</f>
        <v/>
      </c>
      <c r="E15" s="2" t="inlineStr">
        <is>
          <t>artifact</t>
        </is>
      </c>
    </row>
    <row r="16">
      <c r="A16" s="13" t="inlineStr">
        <is>
          <t>D07-DOC-PEX-001</t>
        </is>
      </c>
      <c r="B16" s="13" t="inlineStr">
        <is>
          <t>D07-DOC-PEX-001</t>
        </is>
      </c>
      <c r="C16" s="2" t="inlineStr">
        <is>
          <t>14_REG_Artefatos</t>
        </is>
      </c>
      <c r="D16" s="14">
        <f>MATCH(B16,'14_REG_Artefatos'!A:A,0)</f>
        <v/>
      </c>
      <c r="E16" s="2" t="inlineStr">
        <is>
          <t>artifact</t>
        </is>
      </c>
    </row>
    <row r="17">
      <c r="A17" s="13" t="inlineStr">
        <is>
          <t>D07-DOC-PIM-001</t>
        </is>
      </c>
      <c r="B17" s="13" t="inlineStr">
        <is>
          <t>D07-DOC-PIM-001</t>
        </is>
      </c>
      <c r="C17" s="2" t="inlineStr">
        <is>
          <t>14_REG_Artefatos</t>
        </is>
      </c>
      <c r="D17" s="14">
        <f>MATCH(B17,'14_REG_Artefatos'!A:A,0)</f>
        <v/>
      </c>
      <c r="E17" s="2" t="inlineStr">
        <is>
          <t>artifact</t>
        </is>
      </c>
    </row>
    <row r="18">
      <c r="A18" s="13" t="inlineStr">
        <is>
          <t>D08-DOC-MOP-001</t>
        </is>
      </c>
      <c r="B18" s="13" t="inlineStr">
        <is>
          <t>D08-DOC-MOP-001</t>
        </is>
      </c>
      <c r="C18" s="2" t="inlineStr">
        <is>
          <t>14_REG_Artefatos</t>
        </is>
      </c>
      <c r="D18" s="14">
        <f>MATCH(B18,'14_REG_Artefatos'!A:A,0)</f>
        <v/>
      </c>
      <c r="E18" s="2" t="inlineStr">
        <is>
          <t>artifact</t>
        </is>
      </c>
    </row>
    <row r="19">
      <c r="A19" s="13" t="inlineStr">
        <is>
          <t>D08-DOC-RUN-001</t>
        </is>
      </c>
      <c r="B19" s="13" t="inlineStr">
        <is>
          <t>D08-DOC-RUN-001</t>
        </is>
      </c>
      <c r="C19" s="2" t="inlineStr">
        <is>
          <t>14_REG_Artefatos</t>
        </is>
      </c>
      <c r="D19" s="14">
        <f>MATCH(B19,'14_REG_Artefatos'!A:A,0)</f>
        <v/>
      </c>
      <c r="E19" s="2" t="inlineStr">
        <is>
          <t>artifact</t>
        </is>
      </c>
    </row>
    <row r="20">
      <c r="A20" s="13" t="inlineStr">
        <is>
          <t>D09-DOC-PPE-001</t>
        </is>
      </c>
      <c r="B20" s="13" t="inlineStr">
        <is>
          <t>D09-DOC-PPE-001</t>
        </is>
      </c>
      <c r="C20" s="2" t="inlineStr">
        <is>
          <t>14_REG_Artefatos</t>
        </is>
      </c>
      <c r="D20" s="14">
        <f>MATCH(B20,'14_REG_Artefatos'!A:A,0)</f>
        <v/>
      </c>
      <c r="E20" s="2" t="inlineStr">
        <is>
          <t>artifact</t>
        </is>
      </c>
    </row>
    <row r="21">
      <c r="A21" s="13" t="inlineStr">
        <is>
          <t>D09-DOC-DEB-001</t>
        </is>
      </c>
      <c r="B21" s="13" t="inlineStr">
        <is>
          <t>D09-DOC-DEB-001</t>
        </is>
      </c>
      <c r="C21" s="2" t="inlineStr">
        <is>
          <t>14_REG_Artefatos</t>
        </is>
      </c>
      <c r="D21" s="14">
        <f>MATCH(B21,'14_REG_Artefatos'!A:A,0)</f>
        <v/>
      </c>
      <c r="E21" s="2" t="inlineStr">
        <is>
          <t>artifact</t>
        </is>
      </c>
    </row>
    <row r="22">
      <c r="A22" s="13" t="inlineStr">
        <is>
          <t>D10-DOC-DRP-001</t>
        </is>
      </c>
      <c r="B22" s="13" t="inlineStr">
        <is>
          <t>D10-DOC-DRP-001</t>
        </is>
      </c>
      <c r="C22" s="2" t="inlineStr">
        <is>
          <t>14_REG_Artefatos</t>
        </is>
      </c>
      <c r="D22" s="14">
        <f>MATCH(B22,'14_REG_Artefatos'!A:A,0)</f>
        <v/>
      </c>
      <c r="E22" s="2" t="inlineStr">
        <is>
          <t>artifact</t>
        </is>
      </c>
    </row>
    <row r="23">
      <c r="A23" s="13" t="inlineStr">
        <is>
          <t>D10-DOC-PRD-001</t>
        </is>
      </c>
      <c r="B23" s="13" t="inlineStr">
        <is>
          <t>D10-DOC-PRD-001</t>
        </is>
      </c>
      <c r="C23" s="2" t="inlineStr">
        <is>
          <t>14_REG_Artefatos</t>
        </is>
      </c>
      <c r="D23" s="14">
        <f>MATCH(B23,'14_REG_Artefatos'!A:A,0)</f>
        <v/>
      </c>
      <c r="E23" s="2" t="inlineStr">
        <is>
          <t>artifact</t>
        </is>
      </c>
    </row>
    <row r="24">
      <c r="A24" s="13" t="inlineStr">
        <is>
          <t>D11-DOC-EEP-001</t>
        </is>
      </c>
      <c r="B24" s="13" t="inlineStr">
        <is>
          <t>D11-DOC-EEP-001</t>
        </is>
      </c>
      <c r="C24" s="2" t="inlineStr">
        <is>
          <t>14_REG_Artefatos</t>
        </is>
      </c>
      <c r="D24" s="14">
        <f>MATCH(B24,'14_REG_Artefatos'!A:A,0)</f>
        <v/>
      </c>
      <c r="E24" s="2" t="inlineStr">
        <is>
          <t>artifact</t>
        </is>
      </c>
    </row>
    <row r="25">
      <c r="A25" s="13" t="inlineStr">
        <is>
          <t>D11-DOC-DSI-001</t>
        </is>
      </c>
      <c r="B25" s="13" t="inlineStr">
        <is>
          <t>D11-DOC-DSI-001</t>
        </is>
      </c>
      <c r="C25" s="2" t="inlineStr">
        <is>
          <t>14_REG_Artefatos</t>
        </is>
      </c>
      <c r="D25" s="14">
        <f>MATCH(B25,'14_REG_Artefatos'!A:A,0)</f>
        <v/>
      </c>
      <c r="E25" s="2" t="inlineStr">
        <is>
          <t>artifact</t>
        </is>
      </c>
    </row>
    <row r="26">
      <c r="A26" s="13" t="inlineStr">
        <is>
          <t>D12-DOC-ETE-001</t>
        </is>
      </c>
      <c r="B26" s="13" t="inlineStr">
        <is>
          <t>D12-DOC-ETE-001</t>
        </is>
      </c>
      <c r="C26" s="2" t="inlineStr">
        <is>
          <t>14_REG_Artefatos</t>
        </is>
      </c>
      <c r="D26" s="14">
        <f>MATCH(B26,'14_REG_Artefatos'!A:A,0)</f>
        <v/>
      </c>
      <c r="E26" s="2" t="inlineStr">
        <is>
          <t>artifact</t>
        </is>
      </c>
    </row>
    <row r="27">
      <c r="A27" s="13" t="inlineStr">
        <is>
          <t>D13-DOC-DRM-001</t>
        </is>
      </c>
      <c r="B27" s="13" t="inlineStr">
        <is>
          <t>D13-DOC-DRM-001</t>
        </is>
      </c>
      <c r="C27" s="2" t="inlineStr">
        <is>
          <t>14_REG_Artefatos</t>
        </is>
      </c>
      <c r="D27" s="14">
        <f>MATCH(B27,'14_REG_Artefatos'!A:A,0)</f>
        <v/>
      </c>
      <c r="E27" s="2" t="inlineStr">
        <is>
          <t>artifact</t>
        </is>
      </c>
    </row>
    <row r="28">
      <c r="A28" s="13" t="inlineStr">
        <is>
          <t>D13-DOC-GTM-001</t>
        </is>
      </c>
      <c r="B28" s="13" t="inlineStr">
        <is>
          <t>D13-DOC-GTM-001</t>
        </is>
      </c>
      <c r="C28" s="2" t="inlineStr">
        <is>
          <t>14_REG_Artefatos</t>
        </is>
      </c>
      <c r="D28" s="14">
        <f>MATCH(B28,'14_REG_Artefatos'!A:A,0)</f>
        <v/>
      </c>
      <c r="E28" s="2" t="inlineStr">
        <is>
          <t>artifact</t>
        </is>
      </c>
    </row>
    <row r="29">
      <c r="A29" s="13" t="inlineStr">
        <is>
          <t>D14-DOC-PCV-001</t>
        </is>
      </c>
      <c r="B29" s="13" t="inlineStr">
        <is>
          <t>D14-DOC-PCV-001</t>
        </is>
      </c>
      <c r="C29" s="2" t="inlineStr">
        <is>
          <t>14_REG_Artefatos</t>
        </is>
      </c>
      <c r="D29" s="14">
        <f>MATCH(B29,'14_REG_Artefatos'!A:A,0)</f>
        <v/>
      </c>
      <c r="E29" s="2" t="inlineStr">
        <is>
          <t>artifact</t>
        </is>
      </c>
    </row>
    <row r="30">
      <c r="A30" s="13" t="inlineStr">
        <is>
          <t>D15-DOC-PASC-001</t>
        </is>
      </c>
      <c r="B30" s="13" t="inlineStr">
        <is>
          <t>D15-DOC-PASC-001</t>
        </is>
      </c>
      <c r="C30" s="2" t="inlineStr">
        <is>
          <t>14_REG_Artefatos</t>
        </is>
      </c>
      <c r="D30" s="14">
        <f>MATCH(B30,'14_REG_Artefatos'!A:A,0)</f>
        <v/>
      </c>
      <c r="E30" s="2" t="inlineStr">
        <is>
          <t>artifact</t>
        </is>
      </c>
    </row>
    <row r="31">
      <c r="A31" s="13" t="inlineStr">
        <is>
          <t>D16-DOC-PEM-001</t>
        </is>
      </c>
      <c r="B31" s="13" t="inlineStr">
        <is>
          <t>D16-DOC-PEM-001</t>
        </is>
      </c>
      <c r="C31" s="2" t="inlineStr">
        <is>
          <t>14_REG_Artefatos</t>
        </is>
      </c>
      <c r="D31" s="14">
        <f>MATCH(B31,'14_REG_Artefatos'!A:A,0)</f>
        <v/>
      </c>
      <c r="E31" s="2" t="inlineStr">
        <is>
          <t>artifact</t>
        </is>
      </c>
    </row>
    <row r="32">
      <c r="A32" s="13" t="inlineStr">
        <is>
          <t>D17-DOC-PEP-001</t>
        </is>
      </c>
      <c r="B32" s="13" t="inlineStr">
        <is>
          <t>D17-DOC-PEP-001</t>
        </is>
      </c>
      <c r="C32" s="2" t="inlineStr">
        <is>
          <t>14_REG_Artefatos</t>
        </is>
      </c>
      <c r="D32" s="14">
        <f>MATCH(B32,'14_REG_Artefatos'!A:A,0)</f>
        <v/>
      </c>
      <c r="E32" s="2" t="inlineStr">
        <is>
          <t>artifact</t>
        </is>
      </c>
    </row>
    <row r="33">
      <c r="A33" s="13" t="inlineStr">
        <is>
          <t>D18-DOC-PCE-001</t>
        </is>
      </c>
      <c r="B33" s="13" t="inlineStr">
        <is>
          <t>D18-DOC-PCE-001</t>
        </is>
      </c>
      <c r="C33" s="2" t="inlineStr">
        <is>
          <t>14_REG_Artefatos</t>
        </is>
      </c>
      <c r="D33" s="14">
        <f>MATCH(B33,'14_REG_Artefatos'!A:A,0)</f>
        <v/>
      </c>
      <c r="E33" s="2" t="inlineStr">
        <is>
          <t>artifact</t>
        </is>
      </c>
    </row>
    <row r="34">
      <c r="A34" s="13" t="inlineStr">
        <is>
          <t>D19-DOC-PAC-001</t>
        </is>
      </c>
      <c r="B34" s="13" t="inlineStr">
        <is>
          <t>D19-DOC-PAC-001</t>
        </is>
      </c>
      <c r="C34" s="2" t="inlineStr">
        <is>
          <t>14_REG_Artefatos</t>
        </is>
      </c>
      <c r="D34" s="14">
        <f>MATCH(B34,'14_REG_Artefatos'!A:A,0)</f>
        <v/>
      </c>
      <c r="E34" s="2" t="inlineStr">
        <is>
          <t>artifact</t>
        </is>
      </c>
    </row>
    <row r="35">
      <c r="A35" s="13" t="inlineStr">
        <is>
          <t>D20-DOC-PPR-001</t>
        </is>
      </c>
      <c r="B35" s="13" t="inlineStr">
        <is>
          <t>D20-DOC-PPR-001</t>
        </is>
      </c>
      <c r="C35" s="2" t="inlineStr">
        <is>
          <t>14_REG_Artefatos</t>
        </is>
      </c>
      <c r="D35" s="14">
        <f>MATCH(B35,'14_REG_Artefatos'!A:A,0)</f>
        <v/>
      </c>
      <c r="E35" s="2" t="inlineStr">
        <is>
          <t>artifact</t>
        </is>
      </c>
    </row>
    <row r="36">
      <c r="A36" s="13" t="inlineStr">
        <is>
          <t>D21-DOC-PWB-001</t>
        </is>
      </c>
      <c r="B36" s="13" t="inlineStr">
        <is>
          <t>D21-DOC-PWB-001</t>
        </is>
      </c>
      <c r="C36" s="2" t="inlineStr">
        <is>
          <t>14_REG_Artefatos</t>
        </is>
      </c>
      <c r="D36" s="14">
        <f>MATCH(B36,'14_REG_Artefatos'!A:A,0)</f>
        <v/>
      </c>
      <c r="E36" s="2" t="inlineStr">
        <is>
          <t>artifact</t>
        </is>
      </c>
    </row>
    <row r="37">
      <c r="A37" s="13" t="inlineStr">
        <is>
          <t>D22-DOC-DRL-001</t>
        </is>
      </c>
      <c r="B37" s="13" t="inlineStr">
        <is>
          <t>D22-DOC-DRL-001</t>
        </is>
      </c>
      <c r="C37" s="2" t="inlineStr">
        <is>
          <t>14_REG_Artefatos</t>
        </is>
      </c>
      <c r="D37" s="14">
        <f>MATCH(B37,'14_REG_Artefatos'!A:A,0)</f>
        <v/>
      </c>
      <c r="E37" s="2" t="inlineStr">
        <is>
          <t>artifact</t>
        </is>
      </c>
    </row>
    <row r="38">
      <c r="A38" s="13" t="inlineStr">
        <is>
          <t>D23-DOC-PBL-001</t>
        </is>
      </c>
      <c r="B38" s="13" t="inlineStr">
        <is>
          <t>D23-DOC-PBL-001</t>
        </is>
      </c>
      <c r="C38" s="2" t="inlineStr">
        <is>
          <t>14_REG_Artefatos</t>
        </is>
      </c>
      <c r="D38" s="14">
        <f>MATCH(B38,'14_REG_Artefatos'!A:A,0)</f>
        <v/>
      </c>
      <c r="E38" s="2" t="inlineStr">
        <is>
          <t>artifact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4" customWidth="1" min="1" max="1"/>
    <col width="43" customWidth="1" min="2" max="2"/>
    <col width="12" customWidth="1" min="3" max="3"/>
    <col width="26" customWidth="1" min="4" max="4"/>
  </cols>
  <sheetData>
    <row r="1">
      <c r="A1" s="5" t="inlineStr">
        <is>
          <t>macroarea_id</t>
        </is>
      </c>
      <c r="B1" s="5" t="inlineStr">
        <is>
          <t>name</t>
        </is>
      </c>
      <c r="C1" s="5" t="inlineStr">
        <is>
          <t>status</t>
        </is>
      </c>
      <c r="D1" s="5" t="inlineStr">
        <is>
          <t>source_refs</t>
        </is>
      </c>
    </row>
    <row r="2">
      <c r="A2" s="10" t="inlineStr">
        <is>
          <t>A00</t>
        </is>
      </c>
      <c r="B2" s="10" t="inlineStr">
        <is>
          <t>Governança, Estratégia e Gestão</t>
        </is>
      </c>
      <c r="C2" s="10" t="inlineStr">
        <is>
          <t>ACTIVE</t>
        </is>
      </c>
      <c r="D2" s="10" t="inlineStr">
        <is>
          <t>["ADR-EXECUTAR-HUB-001"]</t>
        </is>
      </c>
    </row>
    <row r="3">
      <c r="A3" s="10" t="inlineStr">
        <is>
          <t>A01</t>
        </is>
      </c>
      <c r="B3" s="10" t="inlineStr">
        <is>
          <t>Negócio e Go-to-Market</t>
        </is>
      </c>
      <c r="C3" s="10" t="inlineStr">
        <is>
          <t>ACTIVE</t>
        </is>
      </c>
      <c r="D3" s="10" t="inlineStr">
        <is>
          <t>["ADR-EXECUTAR-HUB-001"]</t>
        </is>
      </c>
    </row>
    <row r="4">
      <c r="A4" s="10" t="inlineStr">
        <is>
          <t>A02</t>
        </is>
      </c>
      <c r="B4" s="10" t="inlineStr">
        <is>
          <t>Produto e Experiência</t>
        </is>
      </c>
      <c r="C4" s="10" t="inlineStr">
        <is>
          <t>ACTIVE</t>
        </is>
      </c>
      <c r="D4" s="10" t="inlineStr">
        <is>
          <t>["ADR-EXECUTAR-HUB-001"]</t>
        </is>
      </c>
    </row>
    <row r="5">
      <c r="A5" s="10" t="inlineStr">
        <is>
          <t>A03</t>
        </is>
      </c>
      <c r="B5" s="10" t="inlineStr">
        <is>
          <t>Handoff Produto → Engenharia</t>
        </is>
      </c>
      <c r="C5" s="10" t="inlineStr">
        <is>
          <t>ACTIVE</t>
        </is>
      </c>
      <c r="D5" s="10" t="inlineStr">
        <is>
          <t>["ADR-EXECUTAR-HUB-001"]</t>
        </is>
      </c>
    </row>
    <row r="6">
      <c r="A6" s="10" t="inlineStr">
        <is>
          <t>A04</t>
        </is>
      </c>
      <c r="B6" s="10" t="inlineStr">
        <is>
          <t>Arquitetura, Engenharia e Implementação</t>
        </is>
      </c>
      <c r="C6" s="10" t="inlineStr">
        <is>
          <t>ACTIVE</t>
        </is>
      </c>
      <c r="D6" s="10" t="inlineStr">
        <is>
          <t>["ADR-EXECUTAR-HUB-001"]</t>
        </is>
      </c>
    </row>
    <row r="7">
      <c r="A7" s="10" t="inlineStr">
        <is>
          <t>A05</t>
        </is>
      </c>
      <c r="B7" s="10" t="inlineStr">
        <is>
          <t>Operações, Plataforma, Deploy e Segurança</t>
        </is>
      </c>
      <c r="C7" s="10" t="inlineStr">
        <is>
          <t>ACTIVE</t>
        </is>
      </c>
      <c r="D7" s="10" t="inlineStr">
        <is>
          <t>["ADR-EXECUTAR-HUB-001"]</t>
        </is>
      </c>
    </row>
    <row r="8">
      <c r="A8" s="10" t="inlineStr">
        <is>
          <t>A06</t>
        </is>
      </c>
      <c r="B8" s="10" t="inlineStr">
        <is>
          <t>Dados, Pesquisa e Conhecimento</t>
        </is>
      </c>
      <c r="C8" s="10" t="inlineStr">
        <is>
          <t>ACTIVE</t>
        </is>
      </c>
      <c r="D8" s="10" t="inlineStr">
        <is>
          <t>["ADR-EXECUTAR-HUB-001"]</t>
        </is>
      </c>
    </row>
    <row r="9">
      <c r="A9" s="10" t="inlineStr">
        <is>
          <t>A07</t>
        </is>
      </c>
      <c r="B9" s="10" t="inlineStr">
        <is>
          <t>Corporativo e Suporte</t>
        </is>
      </c>
      <c r="C9" s="10" t="inlineStr">
        <is>
          <t>ACTIVE</t>
        </is>
      </c>
      <c r="D9" s="10" t="inlineStr">
        <is>
          <t>["ADR-EXECUTAR-HUB-001"]</t>
        </is>
      </c>
    </row>
    <row r="10">
      <c r="A10" s="10" t="inlineStr">
        <is>
          <t>A08</t>
        </is>
      </c>
      <c r="B10" s="10" t="inlineStr">
        <is>
          <t>Conteúdo, Comunicação e Growth</t>
        </is>
      </c>
      <c r="C10" s="10" t="inlineStr">
        <is>
          <t>ACTIVE</t>
        </is>
      </c>
      <c r="D10" s="10" t="inlineStr">
        <is>
          <t>["ADR-EXECUTAR-HUB-001"]</t>
        </is>
      </c>
    </row>
    <row r="11">
      <c r="A11" s="10" t="inlineStr">
        <is>
          <t>A09</t>
        </is>
      </c>
      <c r="B11" s="10" t="inlineStr">
        <is>
          <t>Execução e Planejamento do Trabalho</t>
        </is>
      </c>
      <c r="C11" s="10" t="inlineStr">
        <is>
          <t>ACTIVE</t>
        </is>
      </c>
      <c r="D11" s="10" t="inlineStr">
        <is>
          <t>["ADR-EXECUTAR-HUB-001"]</t>
        </is>
      </c>
    </row>
    <row r="12">
      <c r="A12" s="10" t="inlineStr">
        <is>
          <t>A10</t>
        </is>
      </c>
      <c r="B12" s="10" t="inlineStr">
        <is>
          <t>Documentação e Governança do Conhecimento</t>
        </is>
      </c>
      <c r="C12" s="10" t="inlineStr">
        <is>
          <t>ACTIVE</t>
        </is>
      </c>
      <c r="D12" s="10" t="inlineStr">
        <is>
          <t>["ADR-EXECUTAR-HUB-001"]</t>
        </is>
      </c>
    </row>
    <row r="13">
      <c r="A13" s="10" t="inlineStr">
        <is>
          <t>A11</t>
        </is>
      </c>
      <c r="B13" s="10" t="inlineStr">
        <is>
          <t>Ferramentas, IA e Ativos Reutilizáveis</t>
        </is>
      </c>
      <c r="C13" s="10" t="inlineStr">
        <is>
          <t>ACTIVE</t>
        </is>
      </c>
      <c r="D13" s="10" t="inlineStr">
        <is>
          <t>["ADR-EXECUTAR-HUB-001"]</t>
        </is>
      </c>
    </row>
    <row r="14">
      <c r="A14" s="10" t="inlineStr">
        <is>
          <t>A12</t>
        </is>
      </c>
      <c r="B14" s="10" t="inlineStr">
        <is>
          <t>Stakeholders e Ecossistema</t>
        </is>
      </c>
      <c r="C14" s="10" t="inlineStr">
        <is>
          <t>ACTIVE</t>
        </is>
      </c>
      <c r="D14" s="10" t="inlineStr">
        <is>
          <t>["ADR-EXECUTAR-HUB-001"]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0" customWidth="1" min="3" max="3"/>
    <col width="60" customWidth="1" min="4" max="4"/>
    <col width="12" customWidth="1" min="5" max="5"/>
    <col width="34" customWidth="1" min="6" max="6"/>
    <col width="60" customWidth="1" min="7" max="7"/>
  </cols>
  <sheetData>
    <row r="1">
      <c r="A1" s="5" t="inlineStr">
        <is>
          <t>domain_id</t>
        </is>
      </c>
      <c r="B1" s="5" t="inlineStr">
        <is>
          <t>macroarea_id</t>
        </is>
      </c>
      <c r="C1" s="5" t="inlineStr">
        <is>
          <t>name</t>
        </is>
      </c>
      <c r="D1" s="5" t="inlineStr">
        <is>
          <t>description</t>
        </is>
      </c>
      <c r="E1" s="5" t="inlineStr">
        <is>
          <t>status</t>
        </is>
      </c>
      <c r="F1" s="5" t="inlineStr">
        <is>
          <t>legacy_ids</t>
        </is>
      </c>
      <c r="G1" s="5" t="inlineStr">
        <is>
          <t>source_refs</t>
        </is>
      </c>
    </row>
    <row r="2">
      <c r="A2" s="10" t="inlineStr">
        <is>
          <t>D0</t>
        </is>
      </c>
      <c r="B2" s="10" t="inlineStr">
        <is>
          <t>A00</t>
        </is>
      </c>
      <c r="C2" s="10" t="inlineStr">
        <is>
          <t>Pmbook Governança e Operação</t>
        </is>
      </c>
      <c r="D2" s="10" t="inlineStr">
        <is>
          <t>Charter integrado / PMBOK do programa EXECUTAR (D0.01 ficha de iniciativa).</t>
        </is>
      </c>
      <c r="E2" s="10" t="inlineStr">
        <is>
          <t>ACTIVE</t>
        </is>
      </c>
      <c r="F2" s="10" t="inlineStr">
        <is>
          <t>["D0_Pmbook-Governanca-Operaco"]</t>
        </is>
      </c>
      <c r="G2" s="10" t="inlineStr">
        <is>
          <t>["Progama_Master_index.docx", "ecossistema_operacional.yaml"]</t>
        </is>
      </c>
    </row>
    <row r="3">
      <c r="A3" s="10" t="inlineStr">
        <is>
          <t>D01</t>
        </is>
      </c>
      <c r="B3" s="10" t="inlineStr">
        <is>
          <t>A00</t>
        </is>
      </c>
      <c r="C3" s="10" t="inlineStr">
        <is>
          <t>Gestão Empresarial</t>
        </is>
      </c>
      <c r="D3" s="10" t="inlineStr">
        <is>
          <t>Gestão Empresarial</t>
        </is>
      </c>
      <c r="E3" s="10" t="inlineStr">
        <is>
          <t>ACTIVE</t>
        </is>
      </c>
      <c r="F3" s="10" t="inlineStr">
        <is>
          <t>["D01"]</t>
        </is>
      </c>
      <c r="G3" s="10" t="inlineStr">
        <is>
          <t>["EXECUTAR_CHECKLIST_D01-D23_GRANULAR.yaml"]</t>
        </is>
      </c>
    </row>
    <row r="4">
      <c r="A4" s="10" t="inlineStr">
        <is>
          <t>D02</t>
        </is>
      </c>
      <c r="B4" s="10" t="inlineStr">
        <is>
          <t>A00</t>
        </is>
      </c>
      <c r="C4" s="10" t="inlineStr">
        <is>
          <t>Jurídico, Riscos e Conformidade</t>
        </is>
      </c>
      <c r="D4" s="10" t="inlineStr">
        <is>
          <t>Jurídico, Riscos e Conformidade</t>
        </is>
      </c>
      <c r="E4" s="10" t="inlineStr">
        <is>
          <t>ACTIVE</t>
        </is>
      </c>
      <c r="F4" s="10" t="inlineStr">
        <is>
          <t>["D02"]</t>
        </is>
      </c>
      <c r="G4" s="10" t="inlineStr">
        <is>
          <t>["EXECUTAR_CHECKLIST_D01-D23_GRANULAR.yaml"]</t>
        </is>
      </c>
    </row>
    <row r="5">
      <c r="A5" s="10" t="inlineStr">
        <is>
          <t>D03</t>
        </is>
      </c>
      <c r="B5" s="10" t="inlineStr">
        <is>
          <t>A00</t>
        </is>
      </c>
      <c r="C5" s="10" t="inlineStr">
        <is>
          <t>Finanças</t>
        </is>
      </c>
      <c r="D5" s="10" t="inlineStr">
        <is>
          <t>Finanças</t>
        </is>
      </c>
      <c r="E5" s="10" t="inlineStr">
        <is>
          <t>ACTIVE</t>
        </is>
      </c>
      <c r="F5" s="10" t="inlineStr">
        <is>
          <t>["D03"]</t>
        </is>
      </c>
      <c r="G5" s="10" t="inlineStr">
        <is>
          <t>["EXECUTAR_CHECKLIST_D01-D23_GRANULAR.yaml"]</t>
        </is>
      </c>
    </row>
    <row r="6">
      <c r="A6" s="10" t="inlineStr">
        <is>
          <t>D04</t>
        </is>
      </c>
      <c r="B6" s="10" t="inlineStr">
        <is>
          <t>A07</t>
        </is>
      </c>
      <c r="C6" s="10" t="inlineStr">
        <is>
          <t>Pessoas e Recursos Humanos</t>
        </is>
      </c>
      <c r="D6" s="10" t="inlineStr">
        <is>
          <t>Pessoas e Recursos Humanos</t>
        </is>
      </c>
      <c r="E6" s="10" t="inlineStr">
        <is>
          <t>ACTIVE</t>
        </is>
      </c>
      <c r="F6" s="10" t="inlineStr">
        <is>
          <t>["D04"]</t>
        </is>
      </c>
      <c r="G6" s="10" t="inlineStr">
        <is>
          <t>["EXECUTAR_CHECKLIST_D01-D23_GRANULAR.yaml"]</t>
        </is>
      </c>
    </row>
    <row r="7">
      <c r="A7" s="10" t="inlineStr">
        <is>
          <t>D05</t>
        </is>
      </c>
      <c r="B7" s="10" t="inlineStr">
        <is>
          <t>A06</t>
        </is>
      </c>
      <c r="C7" s="10" t="inlineStr">
        <is>
          <t>Dados</t>
        </is>
      </c>
      <c r="D7" s="10" t="inlineStr">
        <is>
          <t>Dados</t>
        </is>
      </c>
      <c r="E7" s="10" t="inlineStr">
        <is>
          <t>ACTIVE</t>
        </is>
      </c>
      <c r="F7" s="10" t="inlineStr">
        <is>
          <t>["D05"]</t>
        </is>
      </c>
      <c r="G7" s="10" t="inlineStr">
        <is>
          <t>["EXECUTAR_CHECKLIST_D01-D23_GRANULAR.yaml"]</t>
        </is>
      </c>
    </row>
    <row r="8">
      <c r="A8" s="10" t="inlineStr">
        <is>
          <t>D06</t>
        </is>
      </c>
      <c r="B8" s="10" t="inlineStr">
        <is>
          <t>A06</t>
        </is>
      </c>
      <c r="C8" s="10" t="inlineStr">
        <is>
          <t>Conhecimento e Busca Corporativa</t>
        </is>
      </c>
      <c r="D8" s="10" t="inlineStr">
        <is>
          <t>Conhecimento e Busca Corporativa</t>
        </is>
      </c>
      <c r="E8" s="10" t="inlineStr">
        <is>
          <t>ACTIVE</t>
        </is>
      </c>
      <c r="F8" s="10" t="inlineStr">
        <is>
          <t>["D06"]</t>
        </is>
      </c>
      <c r="G8" s="10" t="inlineStr">
        <is>
          <t>["EXECUTAR_CHECKLIST_D01-D23_GRANULAR.yaml"]</t>
        </is>
      </c>
    </row>
    <row r="9">
      <c r="A9" s="10" t="inlineStr">
        <is>
          <t>D07</t>
        </is>
      </c>
      <c r="B9" s="10" t="inlineStr">
        <is>
          <t>A09</t>
        </is>
      </c>
      <c r="C9" s="10" t="inlineStr">
        <is>
          <t>Produtividade e Execução</t>
        </is>
      </c>
      <c r="D9" s="10" t="inlineStr">
        <is>
          <t>Produtividade e Execução</t>
        </is>
      </c>
      <c r="E9" s="10" t="inlineStr">
        <is>
          <t>ACTIVE</t>
        </is>
      </c>
      <c r="F9" s="10" t="inlineStr">
        <is>
          <t>["D07"]</t>
        </is>
      </c>
      <c r="G9" s="10" t="inlineStr">
        <is>
          <t>["EXECUTAR_CHECKLIST_D01-D23_GRANULAR.yaml"]</t>
        </is>
      </c>
    </row>
    <row r="10">
      <c r="A10" s="10" t="inlineStr">
        <is>
          <t>D08</t>
        </is>
      </c>
      <c r="B10" s="10" t="inlineStr">
        <is>
          <t>A05</t>
        </is>
      </c>
      <c r="C10" s="10" t="inlineStr">
        <is>
          <t>Operações</t>
        </is>
      </c>
      <c r="D10" s="10" t="inlineStr">
        <is>
          <t>Operações</t>
        </is>
      </c>
      <c r="E10" s="10" t="inlineStr">
        <is>
          <t>ACTIVE</t>
        </is>
      </c>
      <c r="F10" s="10" t="inlineStr">
        <is>
          <t>["D08"]</t>
        </is>
      </c>
      <c r="G10" s="10" t="inlineStr">
        <is>
          <t>["EXECUTAR_CHECKLIST_D01-D23_GRANULAR.yaml"]</t>
        </is>
      </c>
    </row>
    <row r="11">
      <c r="A11" s="10" t="inlineStr">
        <is>
          <t>D09</t>
        </is>
      </c>
      <c r="B11" s="10" t="inlineStr">
        <is>
          <t>A06</t>
        </is>
      </c>
      <c r="C11" s="10" t="inlineStr">
        <is>
          <t>Pesquisa e Inovação</t>
        </is>
      </c>
      <c r="D11" s="10" t="inlineStr">
        <is>
          <t>Pesquisa e Inovação</t>
        </is>
      </c>
      <c r="E11" s="10" t="inlineStr">
        <is>
          <t>ACTIVE</t>
        </is>
      </c>
      <c r="F11" s="10" t="inlineStr">
        <is>
          <t>["D09"]</t>
        </is>
      </c>
      <c r="G11" s="10" t="inlineStr">
        <is>
          <t>["EXECUTAR_CHECKLIST_D01-D23_GRANULAR.yaml"]</t>
        </is>
      </c>
    </row>
    <row r="12">
      <c r="A12" s="10" t="inlineStr">
        <is>
          <t>D10</t>
        </is>
      </c>
      <c r="B12" s="10" t="inlineStr">
        <is>
          <t>A02</t>
        </is>
      </c>
      <c r="C12" s="10" t="inlineStr">
        <is>
          <t>Gestão de Produto</t>
        </is>
      </c>
      <c r="D12" s="10" t="inlineStr">
        <is>
          <t>Gestão de Produto</t>
        </is>
      </c>
      <c r="E12" s="10" t="inlineStr">
        <is>
          <t>ACTIVE</t>
        </is>
      </c>
      <c r="F12" s="10" t="inlineStr">
        <is>
          <t>["D10"]</t>
        </is>
      </c>
      <c r="G12" s="10" t="inlineStr">
        <is>
          <t>["EXECUTAR_CHECKLIST_D01-D23_GRANULAR.yaml"]</t>
        </is>
      </c>
    </row>
    <row r="13">
      <c r="A13" s="10" t="inlineStr">
        <is>
          <t>D11</t>
        </is>
      </c>
      <c r="B13" s="10" t="inlineStr">
        <is>
          <t>A02</t>
        </is>
      </c>
      <c r="C13" s="10" t="inlineStr">
        <is>
          <t>Experiência e Projeto</t>
        </is>
      </c>
      <c r="D13" s="10" t="inlineStr">
        <is>
          <t>Experiência e Projeto</t>
        </is>
      </c>
      <c r="E13" s="10" t="inlineStr">
        <is>
          <t>ACTIVE</t>
        </is>
      </c>
      <c r="F13" s="10" t="inlineStr">
        <is>
          <t>["D11"]</t>
        </is>
      </c>
      <c r="G13" s="10" t="inlineStr">
        <is>
          <t>["EXECUTAR_CHECKLIST_D01-D23_GRANULAR.yaml"]</t>
        </is>
      </c>
    </row>
    <row r="14">
      <c r="A14" s="10" t="inlineStr">
        <is>
          <t>D12</t>
        </is>
      </c>
      <c r="B14" s="10" t="inlineStr">
        <is>
          <t>A04</t>
        </is>
      </c>
      <c r="C14" s="10" t="inlineStr">
        <is>
          <t>Engenharia</t>
        </is>
      </c>
      <c r="D14" s="10" t="inlineStr">
        <is>
          <t>Engenharia</t>
        </is>
      </c>
      <c r="E14" s="10" t="inlineStr">
        <is>
          <t>ACTIVE</t>
        </is>
      </c>
      <c r="F14" s="10" t="inlineStr">
        <is>
          <t>["D12"]</t>
        </is>
      </c>
      <c r="G14" s="10" t="inlineStr">
        <is>
          <t>["EXECUTAR_CHECKLIST_D01-D23_GRANULAR.yaml"]</t>
        </is>
      </c>
    </row>
    <row r="15">
      <c r="A15" s="10" t="inlineStr">
        <is>
          <t>D13</t>
        </is>
      </c>
      <c r="B15" s="10" t="inlineStr">
        <is>
          <t>A01</t>
        </is>
      </c>
      <c r="C15" s="10" t="inlineStr">
        <is>
          <t>Mercado e Geração de Demanda</t>
        </is>
      </c>
      <c r="D15" s="10" t="inlineStr">
        <is>
          <t>Mercado e Geração de Demanda</t>
        </is>
      </c>
      <c r="E15" s="10" t="inlineStr">
        <is>
          <t>ACTIVE</t>
        </is>
      </c>
      <c r="F15" s="10" t="inlineStr">
        <is>
          <t>["D13"]</t>
        </is>
      </c>
      <c r="G15" s="10" t="inlineStr">
        <is>
          <t>["EXECUTAR_CHECKLIST_D01-D23_GRANULAR.yaml"]</t>
        </is>
      </c>
    </row>
    <row r="16">
      <c r="A16" s="10" t="inlineStr">
        <is>
          <t>D14</t>
        </is>
      </c>
      <c r="B16" s="10" t="inlineStr">
        <is>
          <t>A01</t>
        </is>
      </c>
      <c r="C16" s="10" t="inlineStr">
        <is>
          <t>Vendas</t>
        </is>
      </c>
      <c r="D16" s="10" t="inlineStr">
        <is>
          <t>Vendas</t>
        </is>
      </c>
      <c r="E16" s="10" t="inlineStr">
        <is>
          <t>ACTIVE</t>
        </is>
      </c>
      <c r="F16" s="10" t="inlineStr">
        <is>
          <t>["D14"]</t>
        </is>
      </c>
      <c r="G16" s="10" t="inlineStr">
        <is>
          <t>["EXECUTAR_CHECKLIST_D01-D23_GRANULAR.yaml"]</t>
        </is>
      </c>
    </row>
    <row r="17">
      <c r="A17" s="10" t="inlineStr">
        <is>
          <t>D15</t>
        </is>
      </c>
      <c r="B17" s="10" t="inlineStr">
        <is>
          <t>A01</t>
        </is>
      </c>
      <c r="C17" s="10" t="inlineStr">
        <is>
          <t>Atendimento e Sucesso do Cliente</t>
        </is>
      </c>
      <c r="D17" s="10" t="inlineStr">
        <is>
          <t>Atendimento e Sucesso do Cliente</t>
        </is>
      </c>
      <c r="E17" s="10" t="inlineStr">
        <is>
          <t>ACTIVE</t>
        </is>
      </c>
      <c r="F17" s="10" t="inlineStr">
        <is>
          <t>["D15"]</t>
        </is>
      </c>
      <c r="G17" s="10" t="inlineStr">
        <is>
          <t>["EXECUTAR_CHECKLIST_D01-D23_GRANULAR.yaml"]</t>
        </is>
      </c>
    </row>
    <row r="18">
      <c r="A18" s="10" t="inlineStr">
        <is>
          <t>D16</t>
        </is>
      </c>
      <c r="B18" s="10" t="inlineStr">
        <is>
          <t>A08</t>
        </is>
      </c>
      <c r="C18" s="10" t="inlineStr">
        <is>
          <t>Mídias Sociais e Distribuição Digital (alias: Mídias Sociais e Estratégias)</t>
        </is>
      </c>
      <c r="D18" s="10" t="inlineStr">
        <is>
          <t>Mídias Sociais e Distribuição Digital (alias: Mídias Sociais e Estratégias)</t>
        </is>
      </c>
      <c r="E18" s="10" t="inlineStr">
        <is>
          <t>ACTIVE</t>
        </is>
      </c>
      <c r="F18" s="10" t="inlineStr">
        <is>
          <t>["D16"]</t>
        </is>
      </c>
      <c r="G18" s="10" t="inlineStr">
        <is>
          <t>["EXECUTAR_CHECKLIST_D01-D23_GRANULAR.yaml"]</t>
        </is>
      </c>
    </row>
    <row r="19">
      <c r="A19" s="10" t="inlineStr">
        <is>
          <t>D17</t>
        </is>
      </c>
      <c r="B19" s="10" t="inlineStr">
        <is>
          <t>A12</t>
        </is>
      </c>
      <c r="C19" s="10" t="inlineStr">
        <is>
          <t>Emprego e Portfólio</t>
        </is>
      </c>
      <c r="D19" s="10" t="inlineStr">
        <is>
          <t>Emprego e Portfólio</t>
        </is>
      </c>
      <c r="E19" s="10" t="inlineStr">
        <is>
          <t>ACTIVE</t>
        </is>
      </c>
      <c r="F19" s="10" t="inlineStr">
        <is>
          <t>["D17"]</t>
        </is>
      </c>
      <c r="G19" s="10" t="inlineStr">
        <is>
          <t>["EXECUTAR_CHECKLIST_D01-D23_GRANULAR.yaml"]</t>
        </is>
      </c>
    </row>
    <row r="20">
      <c r="A20" s="10" t="inlineStr">
        <is>
          <t>D18</t>
        </is>
      </c>
      <c r="B20" s="10" t="inlineStr">
        <is>
          <t>A00</t>
        </is>
      </c>
      <c r="C20" s="10" t="inlineStr">
        <is>
          <t>Contratos e Esquemas (alias: Contratos e Schemas)</t>
        </is>
      </c>
      <c r="D20" s="10" t="inlineStr">
        <is>
          <t>Contratos e Esquemas (alias: Contratos e Schemas)</t>
        </is>
      </c>
      <c r="E20" s="10" t="inlineStr">
        <is>
          <t>ACTIVE</t>
        </is>
      </c>
      <c r="F20" s="10" t="inlineStr">
        <is>
          <t>["D18"]</t>
        </is>
      </c>
      <c r="G20" s="10" t="inlineStr">
        <is>
          <t>["EXECUTAR_CHECKLIST_D01-D23_GRANULAR.yaml"]</t>
        </is>
      </c>
    </row>
    <row r="21">
      <c r="A21" s="10" t="inlineStr">
        <is>
          <t>D19</t>
        </is>
      </c>
      <c r="B21" s="10" t="inlineStr">
        <is>
          <t>A11</t>
        </is>
      </c>
      <c r="C21" s="10" t="inlineStr">
        <is>
          <t>Assets e CTAs</t>
        </is>
      </c>
      <c r="D21" s="10" t="inlineStr">
        <is>
          <t>Assets e CTAs</t>
        </is>
      </c>
      <c r="E21" s="10" t="inlineStr">
        <is>
          <t>ACTIVE</t>
        </is>
      </c>
      <c r="F21" s="10" t="inlineStr">
        <is>
          <t>["D19"]</t>
        </is>
      </c>
      <c r="G21" s="10" t="inlineStr">
        <is>
          <t>["EXECUTAR_CHECKLIST_D01-D23_GRANULAR.yaml"]</t>
        </is>
      </c>
    </row>
    <row r="22">
      <c r="A22" s="10" t="inlineStr">
        <is>
          <t>D20</t>
        </is>
      </c>
      <c r="B22" s="10" t="inlineStr">
        <is>
          <t>A11</t>
        </is>
      </c>
      <c r="C22" s="10" t="inlineStr">
        <is>
          <t>Plataformas e Repositórios</t>
        </is>
      </c>
      <c r="D22" s="10" t="inlineStr">
        <is>
          <t>Plataformas e Repositórios</t>
        </is>
      </c>
      <c r="E22" s="10" t="inlineStr">
        <is>
          <t>ACTIVE</t>
        </is>
      </c>
      <c r="F22" s="10" t="inlineStr">
        <is>
          <t>["D20"]</t>
        </is>
      </c>
      <c r="G22" s="10" t="inlineStr">
        <is>
          <t>["EXECUTAR_CHECKLIST_D01-D23_GRANULAR.yaml"]</t>
        </is>
      </c>
    </row>
    <row r="23">
      <c r="A23" s="10" t="inlineStr">
        <is>
          <t>D21</t>
        </is>
      </c>
      <c r="B23" s="10" t="inlineStr">
        <is>
          <t>A10</t>
        </is>
      </c>
      <c r="C23" s="10" t="inlineStr">
        <is>
          <t>Workbook</t>
        </is>
      </c>
      <c r="D23" s="10" t="inlineStr">
        <is>
          <t>Workbook</t>
        </is>
      </c>
      <c r="E23" s="10" t="inlineStr">
        <is>
          <t>ACTIVE</t>
        </is>
      </c>
      <c r="F23" s="10" t="inlineStr">
        <is>
          <t>["D21"]</t>
        </is>
      </c>
      <c r="G23" s="10" t="inlineStr">
        <is>
          <t>["EXECUTAR_CHECKLIST_D01-D23_GRANULAR.yaml"]</t>
        </is>
      </c>
    </row>
    <row r="24">
      <c r="A24" s="10" t="inlineStr">
        <is>
          <t>D22</t>
        </is>
      </c>
      <c r="B24" s="10" t="inlineStr">
        <is>
          <t>A10</t>
        </is>
      </c>
      <c r="C24" s="10" t="inlineStr">
        <is>
          <t>Decision and Register Log</t>
        </is>
      </c>
      <c r="D24" s="10" t="inlineStr">
        <is>
          <t>Decision and Register Log</t>
        </is>
      </c>
      <c r="E24" s="10" t="inlineStr">
        <is>
          <t>ACTIVE</t>
        </is>
      </c>
      <c r="F24" s="10" t="inlineStr">
        <is>
          <t>["D22"]</t>
        </is>
      </c>
      <c r="G24" s="10" t="inlineStr">
        <is>
          <t>["EXECUTAR_CHECKLIST_D01-D23_GRANULAR.yaml"]</t>
        </is>
      </c>
    </row>
    <row r="25">
      <c r="A25" s="10" t="inlineStr">
        <is>
          <t>D23</t>
        </is>
      </c>
      <c r="B25" s="10" t="inlineStr">
        <is>
          <t>A10</t>
        </is>
      </c>
      <c r="C25" s="10" t="inlineStr">
        <is>
          <t>Blueprints</t>
        </is>
      </c>
      <c r="D25" s="10" t="inlineStr">
        <is>
          <t>Blueprints</t>
        </is>
      </c>
      <c r="E25" s="10" t="inlineStr">
        <is>
          <t>ACTIVE</t>
        </is>
      </c>
      <c r="F25" s="10" t="inlineStr">
        <is>
          <t>["D23"]</t>
        </is>
      </c>
      <c r="G25" s="10" t="inlineStr">
        <is>
          <t>["EXECUTAR_CHECKLIST_D01-D23_GRANULAR.yaml"]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48" customWidth="1" min="3" max="3"/>
    <col width="20" customWidth="1" min="4" max="4"/>
    <col width="12" customWidth="1" min="5" max="5"/>
    <col width="12" customWidth="1" min="6" max="6"/>
    <col width="12" customWidth="1" min="7" max="7"/>
  </cols>
  <sheetData>
    <row r="1">
      <c r="A1" s="5" t="inlineStr">
        <is>
          <t>portfolio_id</t>
        </is>
      </c>
      <c r="B1" s="5" t="inlineStr">
        <is>
          <t>parent_portfolio_id</t>
        </is>
      </c>
      <c r="C1" s="5" t="inlineStr">
        <is>
          <t>name</t>
        </is>
      </c>
      <c r="D1" s="5" t="inlineStr">
        <is>
          <t>type</t>
        </is>
      </c>
      <c r="E1" s="5" t="inlineStr">
        <is>
          <t>status</t>
        </is>
      </c>
      <c r="F1" s="5" t="inlineStr">
        <is>
          <t>owner</t>
        </is>
      </c>
      <c r="G1" s="5" t="inlineStr">
        <is>
          <t>legacy_ids</t>
        </is>
      </c>
    </row>
    <row r="2">
      <c r="A2" s="10" t="inlineStr">
        <is>
          <t>S0</t>
        </is>
      </c>
      <c r="B2" s="10" t="n"/>
      <c r="C2" s="10" t="inlineStr">
        <is>
          <t>Executar programa governança e operações.</t>
        </is>
      </c>
      <c r="D2" s="10" t="inlineStr">
        <is>
          <t>PROGRAM_OPS</t>
        </is>
      </c>
      <c r="E2" s="10" t="inlineStr">
        <is>
          <t>ACTIVE</t>
        </is>
      </c>
      <c r="F2" s="10" t="inlineStr">
        <is>
          <t>A_DEFINIR</t>
        </is>
      </c>
      <c r="G2" s="10" t="inlineStr">
        <is>
          <t>["S0"]</t>
        </is>
      </c>
    </row>
    <row r="3">
      <c r="A3" s="10" t="inlineStr">
        <is>
          <t>M0</t>
        </is>
      </c>
      <c r="B3" s="10" t="n"/>
      <c r="C3" s="10" t="inlineStr">
        <is>
          <t>Executar Institucional</t>
        </is>
      </c>
      <c r="D3" s="10" t="inlineStr">
        <is>
          <t>PRODUCT_INITIATIVE</t>
        </is>
      </c>
      <c r="E3" s="10" t="inlineStr">
        <is>
          <t>ACTIVE</t>
        </is>
      </c>
      <c r="F3" s="10" t="inlineStr">
        <is>
          <t>A_DEFINIR</t>
        </is>
      </c>
      <c r="G3" s="10" t="inlineStr">
        <is>
          <t>["M0"]</t>
        </is>
      </c>
    </row>
    <row r="4">
      <c r="A4" s="10" t="inlineStr">
        <is>
          <t>M1</t>
        </is>
      </c>
      <c r="B4" s="10" t="n"/>
      <c r="C4" s="10" t="inlineStr">
        <is>
          <t>Executar App</t>
        </is>
      </c>
      <c r="D4" s="10" t="inlineStr">
        <is>
          <t>PRODUCT_INITIATIVE</t>
        </is>
      </c>
      <c r="E4" s="10" t="inlineStr">
        <is>
          <t>ACTIVE</t>
        </is>
      </c>
      <c r="F4" s="10" t="inlineStr">
        <is>
          <t>A_DEFINIR</t>
        </is>
      </c>
      <c r="G4" s="10" t="inlineStr">
        <is>
          <t>["M1"]</t>
        </is>
      </c>
    </row>
    <row r="5">
      <c r="A5" s="10" t="inlineStr">
        <is>
          <t>M2</t>
        </is>
      </c>
      <c r="B5" s="10" t="n"/>
      <c r="C5" s="10" t="inlineStr">
        <is>
          <t>Executar Blog</t>
        </is>
      </c>
      <c r="D5" s="10" t="inlineStr">
        <is>
          <t>PRODUCT_INITIATIVE</t>
        </is>
      </c>
      <c r="E5" s="10" t="inlineStr">
        <is>
          <t>ACTIVE</t>
        </is>
      </c>
      <c r="F5" s="10" t="inlineStr">
        <is>
          <t>A_DEFINIR</t>
        </is>
      </c>
      <c r="G5" s="10" t="inlineStr">
        <is>
          <t>["M2"]</t>
        </is>
      </c>
    </row>
    <row r="6">
      <c r="A6" s="10" t="inlineStr">
        <is>
          <t>M2.1</t>
        </is>
      </c>
      <c r="B6" s="10" t="n"/>
      <c r="C6" s="10" t="inlineStr">
        <is>
          <t>Risco cognitivo Blog</t>
        </is>
      </c>
      <c r="D6" s="10" t="inlineStr">
        <is>
          <t>PRODUCT_INITIATIVE</t>
        </is>
      </c>
      <c r="E6" s="10" t="inlineStr">
        <is>
          <t>ACTIVE</t>
        </is>
      </c>
      <c r="F6" s="10" t="inlineStr">
        <is>
          <t>A_DEFINIR</t>
        </is>
      </c>
      <c r="G6" s="10" t="inlineStr">
        <is>
          <t>["M2.1"]</t>
        </is>
      </c>
    </row>
    <row r="7">
      <c r="A7" s="10" t="inlineStr">
        <is>
          <t>M3</t>
        </is>
      </c>
      <c r="B7" s="10" t="n"/>
      <c r="C7" s="10" t="inlineStr">
        <is>
          <t>Executar Oficina</t>
        </is>
      </c>
      <c r="D7" s="10" t="inlineStr">
        <is>
          <t>PRODUCT_INITIATIVE</t>
        </is>
      </c>
      <c r="E7" s="10" t="inlineStr">
        <is>
          <t>ACTIVE</t>
        </is>
      </c>
      <c r="F7" s="10" t="inlineStr">
        <is>
          <t>A_DEFINIR</t>
        </is>
      </c>
      <c r="G7" s="10" t="inlineStr">
        <is>
          <t>["M3"]</t>
        </is>
      </c>
    </row>
    <row r="8">
      <c r="A8" s="10" t="inlineStr">
        <is>
          <t>M4</t>
        </is>
      </c>
      <c r="B8" s="10" t="n"/>
      <c r="C8" s="10" t="inlineStr">
        <is>
          <t>Executar Mapa Cognitivo</t>
        </is>
      </c>
      <c r="D8" s="10" t="inlineStr">
        <is>
          <t>PRODUCT_INITIATIVE</t>
        </is>
      </c>
      <c r="E8" s="10" t="inlineStr">
        <is>
          <t>ACTIVE</t>
        </is>
      </c>
      <c r="F8" s="10" t="inlineStr">
        <is>
          <t>A_DEFINIR</t>
        </is>
      </c>
      <c r="G8" s="10" t="inlineStr">
        <is>
          <t>["M4"]</t>
        </is>
      </c>
    </row>
    <row r="9">
      <c r="A9" s="10" t="inlineStr">
        <is>
          <t>M5</t>
        </is>
      </c>
      <c r="B9" s="10" t="n"/>
      <c r="C9" s="10" t="inlineStr">
        <is>
          <t>Executar Agente Copiloto</t>
        </is>
      </c>
      <c r="D9" s="10" t="inlineStr">
        <is>
          <t>PRODUCT_INITIATIVE</t>
        </is>
      </c>
      <c r="E9" s="10" t="inlineStr">
        <is>
          <t>ACTIVE</t>
        </is>
      </c>
      <c r="F9" s="10" t="inlineStr">
        <is>
          <t>A_DEFINIR</t>
        </is>
      </c>
      <c r="G9" s="10" t="inlineStr">
        <is>
          <t>["M5"]</t>
        </is>
      </c>
    </row>
    <row r="10">
      <c r="A10" s="10" t="inlineStr">
        <is>
          <t>M6</t>
        </is>
      </c>
      <c r="B10" s="10" t="n"/>
      <c r="C10" s="10" t="inlineStr">
        <is>
          <t>Executar Agente Maestro</t>
        </is>
      </c>
      <c r="D10" s="10" t="inlineStr">
        <is>
          <t>PRODUCT_INITIATIVE</t>
        </is>
      </c>
      <c r="E10" s="10" t="inlineStr">
        <is>
          <t>ACTIVE</t>
        </is>
      </c>
      <c r="F10" s="10" t="inlineStr">
        <is>
          <t>A_DEFINIR</t>
        </is>
      </c>
      <c r="G10" s="10" t="inlineStr">
        <is>
          <t>["M6"]</t>
        </is>
      </c>
    </row>
    <row r="11">
      <c r="A11" s="10" t="inlineStr">
        <is>
          <t>M7</t>
        </is>
      </c>
      <c r="B11" s="10" t="n"/>
      <c r="C11" s="10" t="inlineStr">
        <is>
          <t>Executar Agente Vera</t>
        </is>
      </c>
      <c r="D11" s="10" t="inlineStr">
        <is>
          <t>PRODUCT_INITIATIVE</t>
        </is>
      </c>
      <c r="E11" s="10" t="inlineStr">
        <is>
          <t>ACTIVE</t>
        </is>
      </c>
      <c r="F11" s="10" t="inlineStr">
        <is>
          <t>A_DEFINIR</t>
        </is>
      </c>
      <c r="G11" s="10" t="inlineStr">
        <is>
          <t>["M7"]</t>
        </is>
      </c>
    </row>
    <row r="12">
      <c r="A12" s="10" t="inlineStr">
        <is>
          <t>M7.1</t>
        </is>
      </c>
      <c r="B12" s="10" t="n"/>
      <c r="C12" s="10" t="inlineStr">
        <is>
          <t>Executar emprego e portfólio</t>
        </is>
      </c>
      <c r="D12" s="10" t="inlineStr">
        <is>
          <t>PRODUCT_INITIATIVE</t>
        </is>
      </c>
      <c r="E12" s="10" t="inlineStr">
        <is>
          <t>ACTIVE</t>
        </is>
      </c>
      <c r="F12" s="10" t="inlineStr">
        <is>
          <t>A_DEFINIR</t>
        </is>
      </c>
      <c r="G12" s="10" t="inlineStr">
        <is>
          <t>["M7.1"]</t>
        </is>
      </c>
    </row>
    <row r="13">
      <c r="A13" s="10" t="inlineStr">
        <is>
          <t>M8</t>
        </is>
      </c>
      <c r="B13" s="10" t="n"/>
      <c r="C13" s="10" t="inlineStr">
        <is>
          <t>Executar Consultoria / Studio</t>
        </is>
      </c>
      <c r="D13" s="10" t="inlineStr">
        <is>
          <t>PRODUCT_INITIATIVE</t>
        </is>
      </c>
      <c r="E13" s="10" t="inlineStr">
        <is>
          <t>ACTIVE</t>
        </is>
      </c>
      <c r="F13" s="10" t="inlineStr">
        <is>
          <t>A_DEFINIR</t>
        </is>
      </c>
      <c r="G13" s="10" t="inlineStr">
        <is>
          <t>["M8"]</t>
        </is>
      </c>
    </row>
    <row r="14">
      <c r="A14" s="10" t="inlineStr">
        <is>
          <t>M9</t>
        </is>
      </c>
      <c r="B14" s="10" t="n"/>
      <c r="C14" s="10" t="inlineStr">
        <is>
          <t>Executar Marketplace digital</t>
        </is>
      </c>
      <c r="D14" s="10" t="inlineStr">
        <is>
          <t>PRODUCT_INITIATIVE</t>
        </is>
      </c>
      <c r="E14" s="10" t="inlineStr">
        <is>
          <t>ACTIVE</t>
        </is>
      </c>
      <c r="F14" s="10" t="inlineStr">
        <is>
          <t>A_DEFINIR</t>
        </is>
      </c>
      <c r="G14" s="10" t="inlineStr">
        <is>
          <t>["M9"]</t>
        </is>
      </c>
    </row>
    <row r="15">
      <c r="A15" s="10" t="inlineStr">
        <is>
          <t>M10</t>
        </is>
      </c>
      <c r="B15" s="10" t="n"/>
      <c r="C15" s="10" t="inlineStr">
        <is>
          <t>Executar Marketplace produtos físicos</t>
        </is>
      </c>
      <c r="D15" s="10" t="inlineStr">
        <is>
          <t>PRODUCT_INITIATIVE</t>
        </is>
      </c>
      <c r="E15" s="10" t="inlineStr">
        <is>
          <t>ACTIVE</t>
        </is>
      </c>
      <c r="F15" s="10" t="inlineStr">
        <is>
          <t>A_DEFINIR</t>
        </is>
      </c>
      <c r="G15" s="10" t="inlineStr">
        <is>
          <t>["M10"]</t>
        </is>
      </c>
    </row>
    <row r="16">
      <c r="A16" s="10" t="inlineStr">
        <is>
          <t>M11</t>
        </is>
      </c>
      <c r="B16" s="10" t="n"/>
      <c r="C16" s="10" t="inlineStr">
        <is>
          <t>Executar Comunidade</t>
        </is>
      </c>
      <c r="D16" s="10" t="inlineStr">
        <is>
          <t>PRODUCT_INITIATIVE</t>
        </is>
      </c>
      <c r="E16" s="10" t="inlineStr">
        <is>
          <t>ACTIVE</t>
        </is>
      </c>
      <c r="F16" s="10" t="inlineStr">
        <is>
          <t>A_DEFINIR</t>
        </is>
      </c>
      <c r="G16" s="10" t="inlineStr">
        <is>
          <t>["M11"]</t>
        </is>
      </c>
    </row>
    <row r="17">
      <c r="A17" s="10" t="inlineStr">
        <is>
          <t>M12</t>
        </is>
      </c>
      <c r="B17" s="10" t="n"/>
      <c r="C17" s="10" t="inlineStr">
        <is>
          <t>Executar ONG</t>
        </is>
      </c>
      <c r="D17" s="10" t="inlineStr">
        <is>
          <t>PRODUCT_INITIATIVE</t>
        </is>
      </c>
      <c r="E17" s="10" t="inlineStr">
        <is>
          <t>ACTIVE</t>
        </is>
      </c>
      <c r="F17" s="10" t="inlineStr">
        <is>
          <t>A_DEFINIR</t>
        </is>
      </c>
      <c r="G17" s="10" t="inlineStr">
        <is>
          <t>["M12"]</t>
        </is>
      </c>
    </row>
    <row r="18">
      <c r="A18" s="10" t="inlineStr">
        <is>
          <t>M13</t>
        </is>
      </c>
      <c r="B18" s="10" t="n"/>
      <c r="C18" s="10" t="inlineStr">
        <is>
          <t>Executar Afiliados</t>
        </is>
      </c>
      <c r="D18" s="10" t="inlineStr">
        <is>
          <t>PRODUCT_INITIATIVE</t>
        </is>
      </c>
      <c r="E18" s="10" t="inlineStr">
        <is>
          <t>ACTIVE</t>
        </is>
      </c>
      <c r="F18" s="10" t="inlineStr">
        <is>
          <t>A_DEFINIR</t>
        </is>
      </c>
      <c r="G18" s="10" t="inlineStr">
        <is>
          <t>["M13"]</t>
        </is>
      </c>
    </row>
    <row r="19">
      <c r="A19" s="10" t="inlineStr">
        <is>
          <t>M14</t>
        </is>
      </c>
      <c r="B19" s="10" t="n"/>
      <c r="C19" s="10" t="inlineStr">
        <is>
          <t>Executar Parcerias</t>
        </is>
      </c>
      <c r="D19" s="10" t="inlineStr">
        <is>
          <t>PRODUCT_INITIATIVE</t>
        </is>
      </c>
      <c r="E19" s="10" t="inlineStr">
        <is>
          <t>ACTIVE</t>
        </is>
      </c>
      <c r="F19" s="10" t="inlineStr">
        <is>
          <t>A_DEFINIR</t>
        </is>
      </c>
      <c r="G19" s="10" t="inlineStr">
        <is>
          <t>["M14"]</t>
        </is>
      </c>
    </row>
    <row r="20">
      <c r="A20" s="10" t="inlineStr">
        <is>
          <t>M15</t>
        </is>
      </c>
      <c r="B20" s="10" t="n"/>
      <c r="C20" s="10" t="inlineStr">
        <is>
          <t>Schola AI Blog e consultoria</t>
        </is>
      </c>
      <c r="D20" s="10" t="inlineStr">
        <is>
          <t>PRODUCT_INITIATIVE</t>
        </is>
      </c>
      <c r="E20" s="10" t="inlineStr">
        <is>
          <t>ACTIVE</t>
        </is>
      </c>
      <c r="F20" s="10" t="inlineStr">
        <is>
          <t>A_DEFINIR</t>
        </is>
      </c>
      <c r="G20" s="10" t="inlineStr">
        <is>
          <t>["M15"]</t>
        </is>
      </c>
    </row>
    <row r="21">
      <c r="A21" s="10" t="inlineStr">
        <is>
          <t>M16</t>
        </is>
      </c>
      <c r="B21" s="10" t="n"/>
      <c r="C21" s="10" t="inlineStr">
        <is>
          <t>Executar lead business creator strategy launch</t>
        </is>
      </c>
      <c r="D21" s="10" t="inlineStr">
        <is>
          <t>PRODUCT_INITIATIVE</t>
        </is>
      </c>
      <c r="E21" s="10" t="inlineStr">
        <is>
          <t>ACTIVE</t>
        </is>
      </c>
      <c r="F21" s="10" t="inlineStr">
        <is>
          <t>A_DEFINIR</t>
        </is>
      </c>
      <c r="G21" s="10" t="inlineStr">
        <is>
          <t>["M16"]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29" customWidth="1" min="1" max="1"/>
    <col width="31" customWidth="1" min="2" max="2"/>
    <col width="12" customWidth="1" min="3" max="3"/>
    <col width="17" customWidth="1" min="4" max="4"/>
    <col width="23" customWidth="1" min="5" max="5"/>
    <col width="20" customWidth="1" min="6" max="6"/>
    <col width="28" customWidth="1" min="7" max="7"/>
  </cols>
  <sheetData>
    <row r="1">
      <c r="A1" s="5" t="inlineStr">
        <is>
          <t>template_id</t>
        </is>
      </c>
      <c r="B1" s="5" t="inlineStr">
        <is>
          <t>artifact_type</t>
        </is>
      </c>
      <c r="C1" s="5" t="inlineStr">
        <is>
          <t>version</t>
        </is>
      </c>
      <c r="D1" s="5" t="inlineStr">
        <is>
          <t>required_fields</t>
        </is>
      </c>
      <c r="E1" s="5" t="inlineStr">
        <is>
          <t>applicable_macroareas</t>
        </is>
      </c>
      <c r="F1" s="5" t="inlineStr">
        <is>
          <t>applicable_domains</t>
        </is>
      </c>
      <c r="G1" s="5" t="inlineStr">
        <is>
          <t>applicable_portfolio_types</t>
        </is>
      </c>
    </row>
    <row r="2">
      <c r="A2" s="10" t="inlineStr">
        <is>
          <t>TPL-CHARTER-001</t>
        </is>
      </c>
      <c r="B2" s="10" t="inlineStr">
        <is>
          <t>CHARTER</t>
        </is>
      </c>
      <c r="C2" s="10" t="inlineStr">
        <is>
          <t>1.0.0</t>
        </is>
      </c>
      <c r="D2" s="10" t="inlineStr">
        <is>
          <t>[]</t>
        </is>
      </c>
      <c r="E2" s="10" t="inlineStr">
        <is>
          <t>["D0"]</t>
        </is>
      </c>
      <c r="F2" s="10" t="inlineStr">
        <is>
          <t>[]</t>
        </is>
      </c>
      <c r="G2" s="10" t="inlineStr">
        <is>
          <t>["PRODUCT_INITIATIVE"]</t>
        </is>
      </c>
    </row>
    <row r="3">
      <c r="A3" s="10" t="inlineStr">
        <is>
          <t>TPL-BUSINESS-001</t>
        </is>
      </c>
      <c r="B3" s="10" t="inlineStr">
        <is>
          <t>BUSINESS</t>
        </is>
      </c>
      <c r="C3" s="10" t="inlineStr">
        <is>
          <t>1.0.0</t>
        </is>
      </c>
      <c r="D3" s="10" t="inlineStr">
        <is>
          <t>[]</t>
        </is>
      </c>
      <c r="E3" s="10" t="inlineStr">
        <is>
          <t>["A00", "A01"]</t>
        </is>
      </c>
      <c r="F3" s="10" t="inlineStr">
        <is>
          <t>[]</t>
        </is>
      </c>
      <c r="G3" s="10" t="inlineStr">
        <is>
          <t>["PRODUCT_INITIATIVE"]</t>
        </is>
      </c>
    </row>
    <row r="4">
      <c r="A4" s="10" t="inlineStr">
        <is>
          <t>TPL-PRD-001</t>
        </is>
      </c>
      <c r="B4" s="10" t="inlineStr">
        <is>
          <t>PRD</t>
        </is>
      </c>
      <c r="C4" s="10" t="inlineStr">
        <is>
          <t>1.0.0</t>
        </is>
      </c>
      <c r="D4" s="10" t="inlineStr">
        <is>
          <t>[]</t>
        </is>
      </c>
      <c r="E4" s="10" t="inlineStr">
        <is>
          <t>["A02"]</t>
        </is>
      </c>
      <c r="F4" s="10" t="inlineStr">
        <is>
          <t>[]</t>
        </is>
      </c>
      <c r="G4" s="10" t="inlineStr">
        <is>
          <t>["PRODUCT_INITIATIVE"]</t>
        </is>
      </c>
    </row>
    <row r="5">
      <c r="A5" s="10" t="inlineStr">
        <is>
          <t>TPL-UX-001</t>
        </is>
      </c>
      <c r="B5" s="10" t="inlineStr">
        <is>
          <t>UX</t>
        </is>
      </c>
      <c r="C5" s="10" t="inlineStr">
        <is>
          <t>1.0.0</t>
        </is>
      </c>
      <c r="D5" s="10" t="inlineStr">
        <is>
          <t>[]</t>
        </is>
      </c>
      <c r="E5" s="10" t="inlineStr">
        <is>
          <t>["A02"]</t>
        </is>
      </c>
      <c r="F5" s="10" t="inlineStr">
        <is>
          <t>[]</t>
        </is>
      </c>
      <c r="G5" s="10" t="inlineStr">
        <is>
          <t>["PRODUCT_INITIATIVE"]</t>
        </is>
      </c>
    </row>
    <row r="6">
      <c r="A6" s="10" t="inlineStr">
        <is>
          <t>TPL-DRP-001</t>
        </is>
      </c>
      <c r="B6" s="10" t="inlineStr">
        <is>
          <t>DRP</t>
        </is>
      </c>
      <c r="C6" s="10" t="inlineStr">
        <is>
          <t>1.0.0</t>
        </is>
      </c>
      <c r="D6" s="10" t="inlineStr">
        <is>
          <t>[]</t>
        </is>
      </c>
      <c r="E6" s="10" t="inlineStr">
        <is>
          <t>["A03"]</t>
        </is>
      </c>
      <c r="F6" s="10" t="inlineStr">
        <is>
          <t>[]</t>
        </is>
      </c>
      <c r="G6" s="10" t="inlineStr">
        <is>
          <t>["PRODUCT_INITIATIVE"]</t>
        </is>
      </c>
    </row>
    <row r="7">
      <c r="A7" s="10" t="inlineStr">
        <is>
          <t>TPL-FUNCTIONAL_REQ-001</t>
        </is>
      </c>
      <c r="B7" s="10" t="inlineStr">
        <is>
          <t>FUNCTIONAL_REQUIREMENTS</t>
        </is>
      </c>
      <c r="C7" s="10" t="inlineStr">
        <is>
          <t>1.0.0</t>
        </is>
      </c>
      <c r="D7" s="10" t="inlineStr">
        <is>
          <t>[]</t>
        </is>
      </c>
      <c r="E7" s="10" t="inlineStr">
        <is>
          <t>["A03", "A04"]</t>
        </is>
      </c>
      <c r="F7" s="10" t="inlineStr">
        <is>
          <t>[]</t>
        </is>
      </c>
      <c r="G7" s="10" t="inlineStr">
        <is>
          <t>["PRODUCT_INITIATIVE"]</t>
        </is>
      </c>
    </row>
    <row r="8">
      <c r="A8" s="10" t="inlineStr">
        <is>
          <t>TPL-ACCEPTANCE_CRITERIA-001</t>
        </is>
      </c>
      <c r="B8" s="10" t="inlineStr">
        <is>
          <t>ACCEPTANCE_CRITERIA</t>
        </is>
      </c>
      <c r="C8" s="10" t="inlineStr">
        <is>
          <t>1.0.0</t>
        </is>
      </c>
      <c r="D8" s="10" t="inlineStr">
        <is>
          <t>[]</t>
        </is>
      </c>
      <c r="E8" s="10" t="inlineStr">
        <is>
          <t>["A03", "A04"]</t>
        </is>
      </c>
      <c r="F8" s="10" t="inlineStr">
        <is>
          <t>[]</t>
        </is>
      </c>
      <c r="G8" s="10" t="inlineStr">
        <is>
          <t>["PRODUCT_INITIATIVE"]</t>
        </is>
      </c>
    </row>
    <row r="9">
      <c r="A9" s="10" t="inlineStr">
        <is>
          <t>TPL-NFR-001</t>
        </is>
      </c>
      <c r="B9" s="10" t="inlineStr">
        <is>
          <t>NFR</t>
        </is>
      </c>
      <c r="C9" s="10" t="inlineStr">
        <is>
          <t>1.0.0</t>
        </is>
      </c>
      <c r="D9" s="10" t="inlineStr">
        <is>
          <t>[]</t>
        </is>
      </c>
      <c r="E9" s="10" t="inlineStr">
        <is>
          <t>["A04"]</t>
        </is>
      </c>
      <c r="F9" s="10" t="inlineStr">
        <is>
          <t>[]</t>
        </is>
      </c>
      <c r="G9" s="10" t="inlineStr">
        <is>
          <t>["PRODUCT_INITIATIVE"]</t>
        </is>
      </c>
    </row>
    <row r="10">
      <c r="A10" s="10" t="inlineStr">
        <is>
          <t>TPL-DATA_INTEGRATION-001</t>
        </is>
      </c>
      <c r="B10" s="10" t="inlineStr">
        <is>
          <t>DATA_INTEGRATION_REQUIREMENTS</t>
        </is>
      </c>
      <c r="C10" s="10" t="inlineStr">
        <is>
          <t>1.0.0</t>
        </is>
      </c>
      <c r="D10" s="10" t="inlineStr">
        <is>
          <t>[]</t>
        </is>
      </c>
      <c r="E10" s="10" t="inlineStr">
        <is>
          <t>["A04", "A06"]</t>
        </is>
      </c>
      <c r="F10" s="10" t="inlineStr">
        <is>
          <t>[]</t>
        </is>
      </c>
      <c r="G10" s="10" t="inlineStr">
        <is>
          <t>["PRODUCT_INITIATIVE"]</t>
        </is>
      </c>
    </row>
    <row r="11">
      <c r="A11" s="10" t="inlineStr">
        <is>
          <t>TPL-ANALYTICS-001</t>
        </is>
      </c>
      <c r="B11" s="10" t="inlineStr">
        <is>
          <t>ANALYTICS</t>
        </is>
      </c>
      <c r="C11" s="10" t="inlineStr">
        <is>
          <t>1.0.0</t>
        </is>
      </c>
      <c r="D11" s="10" t="inlineStr">
        <is>
          <t>[]</t>
        </is>
      </c>
      <c r="E11" s="10" t="inlineStr">
        <is>
          <t>["A06"]</t>
        </is>
      </c>
      <c r="F11" s="10" t="inlineStr">
        <is>
          <t>[]</t>
        </is>
      </c>
      <c r="G11" s="10" t="inlineStr">
        <is>
          <t>["PRODUCT_INITIATIVE"]</t>
        </is>
      </c>
    </row>
    <row r="12">
      <c r="A12" s="10" t="inlineStr">
        <is>
          <t>TPL-ADR-001</t>
        </is>
      </c>
      <c r="B12" s="10" t="inlineStr">
        <is>
          <t>ADR</t>
        </is>
      </c>
      <c r="C12" s="10" t="inlineStr">
        <is>
          <t>1.0.0</t>
        </is>
      </c>
      <c r="D12" s="10" t="inlineStr">
        <is>
          <t>[]</t>
        </is>
      </c>
      <c r="E12" s="10" t="inlineStr">
        <is>
          <t>["A04"]</t>
        </is>
      </c>
      <c r="F12" s="10" t="inlineStr">
        <is>
          <t>[]</t>
        </is>
      </c>
      <c r="G12" s="10" t="inlineStr">
        <is>
          <t>["PRODUCT_INITIATIVE"]</t>
        </is>
      </c>
    </row>
    <row r="13">
      <c r="A13" s="10" t="inlineStr">
        <is>
          <t>TPL-SPEC-001</t>
        </is>
      </c>
      <c r="B13" s="10" t="inlineStr">
        <is>
          <t>SPEC</t>
        </is>
      </c>
      <c r="C13" s="10" t="inlineStr">
        <is>
          <t>1.0.0</t>
        </is>
      </c>
      <c r="D13" s="10" t="inlineStr">
        <is>
          <t>[]</t>
        </is>
      </c>
      <c r="E13" s="10" t="inlineStr">
        <is>
          <t>["A04"]</t>
        </is>
      </c>
      <c r="F13" s="10" t="inlineStr">
        <is>
          <t>[]</t>
        </is>
      </c>
      <c r="G13" s="10" t="inlineStr">
        <is>
          <t>["PRODUCT_INITIATIVE"]</t>
        </is>
      </c>
    </row>
    <row r="14">
      <c r="A14" s="10" t="inlineStr">
        <is>
          <t>TPL-TEST-001</t>
        </is>
      </c>
      <c r="B14" s="10" t="inlineStr">
        <is>
          <t>TEST</t>
        </is>
      </c>
      <c r="C14" s="10" t="inlineStr">
        <is>
          <t>1.0.0</t>
        </is>
      </c>
      <c r="D14" s="10" t="inlineStr">
        <is>
          <t>[]</t>
        </is>
      </c>
      <c r="E14" s="10" t="inlineStr">
        <is>
          <t>["A04"]</t>
        </is>
      </c>
      <c r="F14" s="10" t="inlineStr">
        <is>
          <t>[]</t>
        </is>
      </c>
      <c r="G14" s="10" t="inlineStr">
        <is>
          <t>["PRODUCT_INITIATIVE"]</t>
        </is>
      </c>
    </row>
    <row r="15">
      <c r="A15" s="10" t="inlineStr">
        <is>
          <t>TPL-RELEASE-001</t>
        </is>
      </c>
      <c r="B15" s="10" t="inlineStr">
        <is>
          <t>RELEASE</t>
        </is>
      </c>
      <c r="C15" s="10" t="inlineStr">
        <is>
          <t>1.0.0</t>
        </is>
      </c>
      <c r="D15" s="10" t="inlineStr">
        <is>
          <t>[]</t>
        </is>
      </c>
      <c r="E15" s="10" t="inlineStr">
        <is>
          <t>["A05"]</t>
        </is>
      </c>
      <c r="F15" s="10" t="inlineStr">
        <is>
          <t>[]</t>
        </is>
      </c>
      <c r="G15" s="10" t="inlineStr">
        <is>
          <t>["PRODUCT_INITIATIVE"]</t>
        </is>
      </c>
    </row>
    <row r="16">
      <c r="A16" s="10" t="inlineStr">
        <is>
          <t>TPL-DEPLOY-001</t>
        </is>
      </c>
      <c r="B16" s="10" t="inlineStr">
        <is>
          <t>DEPLOY</t>
        </is>
      </c>
      <c r="C16" s="10" t="inlineStr">
        <is>
          <t>1.0.0</t>
        </is>
      </c>
      <c r="D16" s="10" t="inlineStr">
        <is>
          <t>[]</t>
        </is>
      </c>
      <c r="E16" s="10" t="inlineStr">
        <is>
          <t>["A05"]</t>
        </is>
      </c>
      <c r="F16" s="10" t="inlineStr">
        <is>
          <t>[]</t>
        </is>
      </c>
      <c r="G16" s="10" t="inlineStr">
        <is>
          <t>["PRODUCT_INITIATIVE"]</t>
        </is>
      </c>
    </row>
    <row r="17">
      <c r="A17" s="10" t="inlineStr">
        <is>
          <t>TPL-RUNBOOK-001</t>
        </is>
      </c>
      <c r="B17" s="10" t="inlineStr">
        <is>
          <t>RUNBOOK</t>
        </is>
      </c>
      <c r="C17" s="10" t="inlineStr">
        <is>
          <t>1.0.0</t>
        </is>
      </c>
      <c r="D17" s="10" t="inlineStr">
        <is>
          <t>[]</t>
        </is>
      </c>
      <c r="E17" s="10" t="inlineStr">
        <is>
          <t>["A05"]</t>
        </is>
      </c>
      <c r="F17" s="10" t="inlineStr">
        <is>
          <t>[]</t>
        </is>
      </c>
      <c r="G17" s="10" t="inlineStr">
        <is>
          <t>["PRODUCT_INITIATIVE"]</t>
        </is>
      </c>
    </row>
    <row r="18">
      <c r="A18" s="10" t="inlineStr">
        <is>
          <t>TPL-GTM-001</t>
        </is>
      </c>
      <c r="B18" s="10" t="inlineStr">
        <is>
          <t>GTM</t>
        </is>
      </c>
      <c r="C18" s="10" t="inlineStr">
        <is>
          <t>1.0.0</t>
        </is>
      </c>
      <c r="D18" s="10" t="inlineStr">
        <is>
          <t>[]</t>
        </is>
      </c>
      <c r="E18" s="10" t="inlineStr">
        <is>
          <t>["A01", "A08"]</t>
        </is>
      </c>
      <c r="F18" s="10" t="inlineStr">
        <is>
          <t>[]</t>
        </is>
      </c>
      <c r="G18" s="10" t="inlineStr">
        <is>
          <t>["PRODUCT_INITIATIVE"]</t>
        </is>
      </c>
    </row>
    <row r="19">
      <c r="A19" s="10" t="inlineStr">
        <is>
          <t>TPL-MEASUREMENT-001</t>
        </is>
      </c>
      <c r="B19" s="10" t="inlineStr">
        <is>
          <t>MEASUREMENT</t>
        </is>
      </c>
      <c r="C19" s="10" t="inlineStr">
        <is>
          <t>1.0.0</t>
        </is>
      </c>
      <c r="D19" s="10" t="inlineStr">
        <is>
          <t>[]</t>
        </is>
      </c>
      <c r="E19" s="10" t="inlineStr">
        <is>
          <t>["A06"]</t>
        </is>
      </c>
      <c r="F19" s="10" t="inlineStr">
        <is>
          <t>[]</t>
        </is>
      </c>
      <c r="G19" s="10" t="inlineStr">
        <is>
          <t>["PRODUCT_INITIATIVE"]</t>
        </is>
      </c>
    </row>
    <row r="20">
      <c r="A20" s="10" t="inlineStr">
        <is>
          <t>TPL-LEARNING-001</t>
        </is>
      </c>
      <c r="B20" s="10" t="inlineStr">
        <is>
          <t>LEARNING</t>
        </is>
      </c>
      <c r="C20" s="10" t="inlineStr">
        <is>
          <t>1.0.0</t>
        </is>
      </c>
      <c r="D20" s="10" t="inlineStr">
        <is>
          <t>[]</t>
        </is>
      </c>
      <c r="E20" s="10" t="inlineStr">
        <is>
          <t>["A06"]</t>
        </is>
      </c>
      <c r="F20" s="10" t="inlineStr">
        <is>
          <t>[]</t>
        </is>
      </c>
      <c r="G20" s="10" t="inlineStr">
        <is>
          <t>["PRODUCT_INITIATIVE"]</t>
        </is>
      </c>
    </row>
    <row r="21">
      <c r="A21" s="10" t="inlineStr">
        <is>
          <t>TPL-FINAL_DOSSIER-001</t>
        </is>
      </c>
      <c r="B21" s="10" t="inlineStr">
        <is>
          <t>FINAL_DOSSIER</t>
        </is>
      </c>
      <c r="C21" s="10" t="inlineStr">
        <is>
          <t>1.0.0</t>
        </is>
      </c>
      <c r="D21" s="10" t="inlineStr">
        <is>
          <t>[]</t>
        </is>
      </c>
      <c r="E21" s="10" t="inlineStr">
        <is>
          <t>["A00"]</t>
        </is>
      </c>
      <c r="F21" s="10" t="inlineStr">
        <is>
          <t>[]</t>
        </is>
      </c>
      <c r="G21" s="10" t="inlineStr">
        <is>
          <t>["PRODUCT_INITIATIVE"]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X38"/>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4" customWidth="1" min="3" max="3"/>
    <col width="14" customWidth="1" min="4" max="4"/>
    <col width="12" customWidth="1" min="5" max="5"/>
    <col width="14" customWidth="1" min="6" max="6"/>
    <col width="20" customWidth="1" min="7" max="7"/>
    <col width="12" customWidth="1" min="8" max="8"/>
    <col width="15" customWidth="1" min="9" max="9"/>
    <col width="13" customWidth="1" min="10" max="10"/>
    <col width="48" customWidth="1" min="11" max="11"/>
    <col width="12" customWidth="1" min="12" max="12"/>
    <col width="12" customWidth="1" min="13" max="13"/>
    <col width="16" customWidth="1" min="14" max="14"/>
    <col width="17" customWidth="1" min="15" max="15"/>
    <col width="12" customWidth="1" min="16" max="16"/>
    <col width="12" customWidth="1" min="17" max="17"/>
    <col width="12" customWidth="1" min="18" max="18"/>
    <col width="12" customWidth="1" min="19" max="19"/>
    <col width="26" customWidth="1" min="20" max="20"/>
    <col width="19" customWidth="1" min="21" max="21"/>
    <col width="60" customWidth="1" min="22" max="22"/>
    <col width="18" customWidth="1" min="23" max="23"/>
    <col width="22" customWidth="1" min="24" max="24"/>
  </cols>
  <sheetData>
    <row r="1">
      <c r="A1" s="5" t="inlineStr">
        <is>
          <t>artifact_id</t>
        </is>
      </c>
      <c r="B1" s="5" t="inlineStr">
        <is>
          <t>program_id</t>
        </is>
      </c>
      <c r="C1" s="5" t="inlineStr">
        <is>
          <t>portfolio_id</t>
        </is>
      </c>
      <c r="D1" s="5" t="inlineStr">
        <is>
          <t>macroarea_id</t>
        </is>
      </c>
      <c r="E1" s="5" t="inlineStr">
        <is>
          <t>domain_id</t>
        </is>
      </c>
      <c r="F1" s="5" t="inlineStr">
        <is>
          <t>subdomain_id</t>
        </is>
      </c>
      <c r="G1" s="5" t="inlineStr">
        <is>
          <t>lifecycle_stage_id</t>
        </is>
      </c>
      <c r="H1" s="5" t="inlineStr">
        <is>
          <t>gate_id</t>
        </is>
      </c>
      <c r="I1" s="5" t="inlineStr">
        <is>
          <t>artifact_type</t>
        </is>
      </c>
      <c r="J1" s="5" t="inlineStr">
        <is>
          <t>template_id</t>
        </is>
      </c>
      <c r="K1" s="5" t="inlineStr">
        <is>
          <t>title</t>
        </is>
      </c>
      <c r="L1" s="5" t="inlineStr">
        <is>
          <t>version</t>
        </is>
      </c>
      <c r="M1" s="5" t="inlineStr">
        <is>
          <t>required</t>
        </is>
      </c>
      <c r="N1" s="5" t="inlineStr">
        <is>
          <t>status</t>
        </is>
      </c>
      <c r="O1" s="5" t="inlineStr">
        <is>
          <t>approval_status</t>
        </is>
      </c>
      <c r="P1" s="5" t="inlineStr">
        <is>
          <t>owner</t>
        </is>
      </c>
      <c r="Q1" s="5" t="inlineStr">
        <is>
          <t>approver</t>
        </is>
      </c>
      <c r="R1" s="5" t="inlineStr">
        <is>
          <t>depends_on</t>
        </is>
      </c>
      <c r="S1" s="5" t="inlineStr">
        <is>
          <t>blocks</t>
        </is>
      </c>
      <c r="T1" s="5" t="inlineStr">
        <is>
          <t>evidence_ids</t>
        </is>
      </c>
      <c r="U1" s="5" t="inlineStr">
        <is>
          <t>source_links</t>
        </is>
      </c>
      <c r="V1" s="5" t="inlineStr">
        <is>
          <t>next_action</t>
        </is>
      </c>
      <c r="W1" s="5" t="inlineStr">
        <is>
          <t>automation_level</t>
        </is>
      </c>
      <c r="X1" s="5" t="inlineStr">
        <is>
          <t>legacy_ids</t>
        </is>
      </c>
    </row>
    <row r="2">
      <c r="A2" s="10" t="inlineStr">
        <is>
          <t>D01-DOC-DDE-001</t>
        </is>
      </c>
      <c r="B2" s="10" t="inlineStr">
        <is>
          <t>EXECUTAR</t>
        </is>
      </c>
      <c r="C2" s="10" t="n"/>
      <c r="D2" s="10" t="inlineStr">
        <is>
          <t>A00</t>
        </is>
      </c>
      <c r="E2" s="10" t="inlineStr">
        <is>
          <t>D01</t>
        </is>
      </c>
      <c r="F2" s="10" t="n"/>
      <c r="G2" s="10" t="n"/>
      <c r="H2" s="10" t="n"/>
      <c r="I2" s="10" t="inlineStr">
        <is>
          <t>MACRO</t>
        </is>
      </c>
      <c r="J2" s="10" t="n"/>
      <c r="K2" s="10" t="inlineStr">
        <is>
          <t>Documento de Direção Empresarial</t>
        </is>
      </c>
      <c r="L2" s="10" t="inlineStr">
        <is>
          <t>1.0.0</t>
        </is>
      </c>
      <c r="M2" s="10" t="b">
        <v>1</v>
      </c>
      <c r="N2" s="10" t="inlineStr">
        <is>
          <t>PRE_PREENCHIDO</t>
        </is>
      </c>
      <c r="O2" s="10" t="inlineStr">
        <is>
          <t>PENDENTE</t>
        </is>
      </c>
      <c r="P2" s="10" t="inlineStr">
        <is>
          <t>A_DEFINIR</t>
        </is>
      </c>
      <c r="Q2" s="10" t="inlineStr">
        <is>
          <t>A_DEFINIR</t>
        </is>
      </c>
      <c r="R2" s="10" t="inlineStr">
        <is>
          <t>[]</t>
        </is>
      </c>
      <c r="S2" s="10" t="inlineStr">
        <is>
          <t>[]</t>
        </is>
      </c>
      <c r="T2" s="10" t="inlineStr">
        <is>
          <t>["D01-DOC-DDE-001-EVD"]</t>
        </is>
      </c>
      <c r="U2" s="10" t="inlineStr">
        <is>
          <t>["Drive: D01__*"]</t>
        </is>
      </c>
      <c r="V2" s="10" t="inlineStr">
        <is>
          <t>Executar PF-24 (reconciliação cruzada depends_on/blocks) — NA-03.</t>
        </is>
      </c>
      <c r="W2" s="10" t="inlineStr">
        <is>
          <t>A4</t>
        </is>
      </c>
      <c r="X2" s="10" t="inlineStr">
        <is>
          <t>["D01-DOC-DDE-001"]</t>
        </is>
      </c>
    </row>
    <row r="3">
      <c r="A3" s="10" t="inlineStr">
        <is>
          <t>D01-DOC-TAP-001</t>
        </is>
      </c>
      <c r="B3" s="10" t="inlineStr">
        <is>
          <t>EXECUTAR</t>
        </is>
      </c>
      <c r="C3" s="10" t="n"/>
      <c r="D3" s="10" t="inlineStr">
        <is>
          <t>A00</t>
        </is>
      </c>
      <c r="E3" s="10" t="inlineStr">
        <is>
          <t>D01</t>
        </is>
      </c>
      <c r="F3" s="10" t="n"/>
      <c r="G3" s="10" t="n"/>
      <c r="H3" s="10" t="n"/>
      <c r="I3" s="10" t="inlineStr">
        <is>
          <t>SPECIALIZED</t>
        </is>
      </c>
      <c r="J3" s="10" t="n"/>
      <c r="K3" s="10" t="inlineStr">
        <is>
          <t>Termo de Abertura do Ecossistema</t>
        </is>
      </c>
      <c r="L3" s="10" t="inlineStr">
        <is>
          <t>1.0.0</t>
        </is>
      </c>
      <c r="M3" s="10" t="b">
        <v>1</v>
      </c>
      <c r="N3" s="10" t="inlineStr">
        <is>
          <t>PRE_PREENCHIDO</t>
        </is>
      </c>
      <c r="O3" s="10" t="inlineStr">
        <is>
          <t>PENDENTE</t>
        </is>
      </c>
      <c r="P3" s="10" t="inlineStr">
        <is>
          <t>A_DEFINIR</t>
        </is>
      </c>
      <c r="Q3" s="10" t="inlineStr">
        <is>
          <t>A_DEFINIR</t>
        </is>
      </c>
      <c r="R3" s="10" t="inlineStr">
        <is>
          <t>[]</t>
        </is>
      </c>
      <c r="S3" s="10" t="inlineStr">
        <is>
          <t>[]</t>
        </is>
      </c>
      <c r="T3" s="10" t="inlineStr">
        <is>
          <t>["D01-DOC-TAP-001-EVD"]</t>
        </is>
      </c>
      <c r="U3" s="10" t="inlineStr">
        <is>
          <t>["Drive: D01__*"]</t>
        </is>
      </c>
      <c r="V3" s="10" t="inlineStr">
        <is>
          <t>Executar PF-24 (reconciliação cruzada depends_on/blocks) — NA-03.</t>
        </is>
      </c>
      <c r="W3" s="10" t="inlineStr">
        <is>
          <t>A4</t>
        </is>
      </c>
      <c r="X3" s="10" t="inlineStr">
        <is>
          <t>["D01-DOC-TAP-001"]</t>
        </is>
      </c>
    </row>
    <row r="4">
      <c r="A4" s="10" t="inlineStr">
        <is>
          <t>D01-DOC-MNE-001</t>
        </is>
      </c>
      <c r="B4" s="10" t="inlineStr">
        <is>
          <t>EXECUTAR</t>
        </is>
      </c>
      <c r="C4" s="10" t="n"/>
      <c r="D4" s="10" t="inlineStr">
        <is>
          <t>A00</t>
        </is>
      </c>
      <c r="E4" s="10" t="inlineStr">
        <is>
          <t>D01</t>
        </is>
      </c>
      <c r="F4" s="10" t="n"/>
      <c r="G4" s="10" t="n"/>
      <c r="H4" s="10" t="n"/>
      <c r="I4" s="10" t="inlineStr">
        <is>
          <t>SPECIALIZED</t>
        </is>
      </c>
      <c r="J4" s="10" t="n"/>
      <c r="K4" s="10" t="inlineStr">
        <is>
          <t>Modelo de Negócio do Ecossistema</t>
        </is>
      </c>
      <c r="L4" s="10" t="inlineStr">
        <is>
          <t>1.0.0</t>
        </is>
      </c>
      <c r="M4" s="10" t="b">
        <v>1</v>
      </c>
      <c r="N4" s="10" t="inlineStr">
        <is>
          <t>PRE_PREENCHIDO</t>
        </is>
      </c>
      <c r="O4" s="10" t="inlineStr">
        <is>
          <t>PENDENTE</t>
        </is>
      </c>
      <c r="P4" s="10" t="inlineStr">
        <is>
          <t>A_DEFINIR</t>
        </is>
      </c>
      <c r="Q4" s="10" t="inlineStr">
        <is>
          <t>A_DEFINIR</t>
        </is>
      </c>
      <c r="R4" s="10" t="inlineStr">
        <is>
          <t>[]</t>
        </is>
      </c>
      <c r="S4" s="10" t="inlineStr">
        <is>
          <t>[]</t>
        </is>
      </c>
      <c r="T4" s="10" t="inlineStr">
        <is>
          <t>["D01-DOC-MNE-001-EVD"]</t>
        </is>
      </c>
      <c r="U4" s="10" t="inlineStr">
        <is>
          <t>["Drive: D01__*"]</t>
        </is>
      </c>
      <c r="V4" s="10" t="inlineStr">
        <is>
          <t>Executar PF-24 (reconciliação cruzada depends_on/blocks) — NA-03.</t>
        </is>
      </c>
      <c r="W4" s="10" t="inlineStr">
        <is>
          <t>A4</t>
        </is>
      </c>
      <c r="X4" s="10" t="inlineStr">
        <is>
          <t>["D01-DOC-MNE-001"]</t>
        </is>
      </c>
    </row>
    <row r="5">
      <c r="A5" s="10" t="inlineStr">
        <is>
          <t>D01-DOC-MRE-001</t>
        </is>
      </c>
      <c r="B5" s="10" t="inlineStr">
        <is>
          <t>EXECUTAR</t>
        </is>
      </c>
      <c r="C5" s="10" t="n"/>
      <c r="D5" s="10" t="inlineStr">
        <is>
          <t>A00</t>
        </is>
      </c>
      <c r="E5" s="10" t="inlineStr">
        <is>
          <t>D01</t>
        </is>
      </c>
      <c r="F5" s="10" t="n"/>
      <c r="G5" s="10" t="n"/>
      <c r="H5" s="10" t="n"/>
      <c r="I5" s="10" t="inlineStr">
        <is>
          <t>SPECIALIZED</t>
        </is>
      </c>
      <c r="J5" s="10" t="n"/>
      <c r="K5" s="10" t="inlineStr">
        <is>
          <t>Mapa de Relações do Ecossistema</t>
        </is>
      </c>
      <c r="L5" s="10" t="inlineStr">
        <is>
          <t>1.0.0</t>
        </is>
      </c>
      <c r="M5" s="10" t="b">
        <v>1</v>
      </c>
      <c r="N5" s="10" t="inlineStr">
        <is>
          <t>PRE_PREENCHIDO</t>
        </is>
      </c>
      <c r="O5" s="10" t="inlineStr">
        <is>
          <t>PENDENTE</t>
        </is>
      </c>
      <c r="P5" s="10" t="inlineStr">
        <is>
          <t>A_DEFINIR</t>
        </is>
      </c>
      <c r="Q5" s="10" t="inlineStr">
        <is>
          <t>A_DEFINIR</t>
        </is>
      </c>
      <c r="R5" s="10" t="inlineStr">
        <is>
          <t>[]</t>
        </is>
      </c>
      <c r="S5" s="10" t="inlineStr">
        <is>
          <t>[]</t>
        </is>
      </c>
      <c r="T5" s="10" t="inlineStr">
        <is>
          <t>["D01-DOC-MRE-001-EVD"]</t>
        </is>
      </c>
      <c r="U5" s="10" t="inlineStr">
        <is>
          <t>["Drive: D01__*"]</t>
        </is>
      </c>
      <c r="V5" s="10" t="inlineStr">
        <is>
          <t>Executar PF-24 (reconciliação cruzada depends_on/blocks) — NA-03.</t>
        </is>
      </c>
      <c r="W5" s="10" t="inlineStr">
        <is>
          <t>A4</t>
        </is>
      </c>
      <c r="X5" s="10" t="inlineStr">
        <is>
          <t>["D01-DOC-MRE-001"]</t>
        </is>
      </c>
    </row>
    <row r="6">
      <c r="A6" s="10" t="inlineStr">
        <is>
          <t>D02-DOC-DGRC-001</t>
        </is>
      </c>
      <c r="B6" s="10" t="inlineStr">
        <is>
          <t>EXECUTAR</t>
        </is>
      </c>
      <c r="C6" s="10" t="n"/>
      <c r="D6" s="10" t="inlineStr">
        <is>
          <t>A00</t>
        </is>
      </c>
      <c r="E6" s="10" t="inlineStr">
        <is>
          <t>D02</t>
        </is>
      </c>
      <c r="F6" s="10" t="n"/>
      <c r="G6" s="10" t="n"/>
      <c r="H6" s="10" t="n"/>
      <c r="I6" s="10" t="inlineStr">
        <is>
          <t>MACRO</t>
        </is>
      </c>
      <c r="J6" s="10" t="n"/>
      <c r="K6" s="10" t="inlineStr">
        <is>
          <t>Documento de Governança, Riscos e Conformidade</t>
        </is>
      </c>
      <c r="L6" s="10" t="inlineStr">
        <is>
          <t>1.0.0</t>
        </is>
      </c>
      <c r="M6" s="10" t="b">
        <v>1</v>
      </c>
      <c r="N6" s="10" t="inlineStr">
        <is>
          <t>PRE_PREENCHIDO</t>
        </is>
      </c>
      <c r="O6" s="10" t="inlineStr">
        <is>
          <t>PENDENTE</t>
        </is>
      </c>
      <c r="P6" s="10" t="inlineStr">
        <is>
          <t>A_DEFINIR</t>
        </is>
      </c>
      <c r="Q6" s="10" t="inlineStr">
        <is>
          <t>A_DEFINIR</t>
        </is>
      </c>
      <c r="R6" s="10" t="inlineStr">
        <is>
          <t>[]</t>
        </is>
      </c>
      <c r="S6" s="10" t="inlineStr">
        <is>
          <t>[]</t>
        </is>
      </c>
      <c r="T6" s="10" t="inlineStr">
        <is>
          <t>["D02-DOC-DGRC-001-EVD"]</t>
        </is>
      </c>
      <c r="U6" s="10" t="inlineStr">
        <is>
          <t>["Drive: D02__*"]</t>
        </is>
      </c>
      <c r="V6" s="10" t="inlineStr">
        <is>
          <t>Executar PF-24 (reconciliação cruzada depends_on/blocks) — NA-03.</t>
        </is>
      </c>
      <c r="W6" s="10" t="inlineStr">
        <is>
          <t>A4</t>
        </is>
      </c>
      <c r="X6" s="10" t="inlineStr">
        <is>
          <t>["D02-DOC-DGRC-001"]</t>
        </is>
      </c>
    </row>
    <row r="7">
      <c r="A7" s="10" t="inlineStr">
        <is>
          <t>D02-DOC-MRC-001</t>
        </is>
      </c>
      <c r="B7" s="10" t="inlineStr">
        <is>
          <t>EXECUTAR</t>
        </is>
      </c>
      <c r="C7" s="10" t="n"/>
      <c r="D7" s="10" t="inlineStr">
        <is>
          <t>A00</t>
        </is>
      </c>
      <c r="E7" s="10" t="inlineStr">
        <is>
          <t>D02</t>
        </is>
      </c>
      <c r="F7" s="10" t="n"/>
      <c r="G7" s="10" t="n"/>
      <c r="H7" s="10" t="n"/>
      <c r="I7" s="10" t="inlineStr">
        <is>
          <t>SPECIALIZED</t>
        </is>
      </c>
      <c r="J7" s="10" t="n"/>
      <c r="K7" s="10" t="inlineStr">
        <is>
          <t>Matriz de Riscos e Controles</t>
        </is>
      </c>
      <c r="L7" s="10" t="inlineStr">
        <is>
          <t>1.0.0</t>
        </is>
      </c>
      <c r="M7" s="10" t="b">
        <v>1</v>
      </c>
      <c r="N7" s="10" t="inlineStr">
        <is>
          <t>PRE_PREENCHIDO</t>
        </is>
      </c>
      <c r="O7" s="10" t="inlineStr">
        <is>
          <t>PENDENTE</t>
        </is>
      </c>
      <c r="P7" s="10" t="inlineStr">
        <is>
          <t>A_DEFINIR</t>
        </is>
      </c>
      <c r="Q7" s="10" t="inlineStr">
        <is>
          <t>A_DEFINIR</t>
        </is>
      </c>
      <c r="R7" s="10" t="inlineStr">
        <is>
          <t>[]</t>
        </is>
      </c>
      <c r="S7" s="10" t="inlineStr">
        <is>
          <t>[]</t>
        </is>
      </c>
      <c r="T7" s="10" t="inlineStr">
        <is>
          <t>["D02-DOC-MRC-001-EVD"]</t>
        </is>
      </c>
      <c r="U7" s="10" t="inlineStr">
        <is>
          <t>["Drive: D02__*"]</t>
        </is>
      </c>
      <c r="V7" s="10" t="inlineStr">
        <is>
          <t>Executar PF-24 (reconciliação cruzada depends_on/blocks) — NA-03.</t>
        </is>
      </c>
      <c r="W7" s="10" t="inlineStr">
        <is>
          <t>A4</t>
        </is>
      </c>
      <c r="X7" s="10" t="inlineStr">
        <is>
          <t>["D02-DOC-MRC-001"]</t>
        </is>
      </c>
    </row>
    <row r="8">
      <c r="A8" s="10" t="inlineStr">
        <is>
          <t>D02-DOC-PPT-001</t>
        </is>
      </c>
      <c r="B8" s="10" t="inlineStr">
        <is>
          <t>EXECUTAR</t>
        </is>
      </c>
      <c r="C8" s="10" t="n"/>
      <c r="D8" s="10" t="inlineStr">
        <is>
          <t>A00</t>
        </is>
      </c>
      <c r="E8" s="10" t="inlineStr">
        <is>
          <t>D02</t>
        </is>
      </c>
      <c r="F8" s="10" t="n"/>
      <c r="G8" s="10" t="n"/>
      <c r="H8" s="10" t="n"/>
      <c r="I8" s="10" t="inlineStr">
        <is>
          <t>SPECIALIZED</t>
        </is>
      </c>
      <c r="J8" s="10" t="n"/>
      <c r="K8" s="10" t="inlineStr">
        <is>
          <t>Política de Privacidade e Termos</t>
        </is>
      </c>
      <c r="L8" s="10" t="inlineStr">
        <is>
          <t>1.0.0</t>
        </is>
      </c>
      <c r="M8" s="10" t="b">
        <v>1</v>
      </c>
      <c r="N8" s="10" t="inlineStr">
        <is>
          <t>PRE_PREENCHIDO</t>
        </is>
      </c>
      <c r="O8" s="10" t="inlineStr">
        <is>
          <t>PENDENTE</t>
        </is>
      </c>
      <c r="P8" s="10" t="inlineStr">
        <is>
          <t>A_DEFINIR</t>
        </is>
      </c>
      <c r="Q8" s="10" t="inlineStr">
        <is>
          <t>A_DEFINIR</t>
        </is>
      </c>
      <c r="R8" s="10" t="inlineStr">
        <is>
          <t>[]</t>
        </is>
      </c>
      <c r="S8" s="10" t="inlineStr">
        <is>
          <t>[]</t>
        </is>
      </c>
      <c r="T8" s="10" t="inlineStr">
        <is>
          <t>["D02-DOC-PPT-001-EVD"]</t>
        </is>
      </c>
      <c r="U8" s="10" t="inlineStr">
        <is>
          <t>["Drive: D02__*"]</t>
        </is>
      </c>
      <c r="V8" s="10" t="inlineStr">
        <is>
          <t>Executar PF-24 (reconciliação cruzada depends_on/blocks) — NA-03.</t>
        </is>
      </c>
      <c r="W8" s="10" t="inlineStr">
        <is>
          <t>A4</t>
        </is>
      </c>
      <c r="X8" s="10" t="inlineStr">
        <is>
          <t>["D02-DOC-PPT-001"]</t>
        </is>
      </c>
    </row>
    <row r="9">
      <c r="A9" s="10" t="inlineStr">
        <is>
          <t>D03-DOC-PFO-001</t>
        </is>
      </c>
      <c r="B9" s="10" t="inlineStr">
        <is>
          <t>EXECUTAR</t>
        </is>
      </c>
      <c r="C9" s="10" t="n"/>
      <c r="D9" s="10" t="inlineStr">
        <is>
          <t>A00</t>
        </is>
      </c>
      <c r="E9" s="10" t="inlineStr">
        <is>
          <t>D03</t>
        </is>
      </c>
      <c r="F9" s="10" t="n"/>
      <c r="G9" s="10" t="n"/>
      <c r="H9" s="10" t="n"/>
      <c r="I9" s="10" t="inlineStr">
        <is>
          <t>MACRO</t>
        </is>
      </c>
      <c r="J9" s="10" t="n"/>
      <c r="K9" s="10" t="inlineStr">
        <is>
          <t>Plano Financeiro e Orçamentário</t>
        </is>
      </c>
      <c r="L9" s="10" t="inlineStr">
        <is>
          <t>1.0.0</t>
        </is>
      </c>
      <c r="M9" s="10" t="b">
        <v>1</v>
      </c>
      <c r="N9" s="10" t="inlineStr">
        <is>
          <t>PRE_PREENCHIDO</t>
        </is>
      </c>
      <c r="O9" s="10" t="inlineStr">
        <is>
          <t>PENDENTE</t>
        </is>
      </c>
      <c r="P9" s="10" t="inlineStr">
        <is>
          <t>A_DEFINIR</t>
        </is>
      </c>
      <c r="Q9" s="10" t="inlineStr">
        <is>
          <t>A_DEFINIR</t>
        </is>
      </c>
      <c r="R9" s="10" t="inlineStr">
        <is>
          <t>[]</t>
        </is>
      </c>
      <c r="S9" s="10" t="inlineStr">
        <is>
          <t>[]</t>
        </is>
      </c>
      <c r="T9" s="10" t="inlineStr">
        <is>
          <t>["D03-DOC-PFO-001-EVD"]</t>
        </is>
      </c>
      <c r="U9" s="10" t="inlineStr">
        <is>
          <t>["Drive: D03__*"]</t>
        </is>
      </c>
      <c r="V9" s="10" t="inlineStr">
        <is>
          <t>Executar PF-24 (reconciliação cruzada depends_on/blocks) — NA-03.</t>
        </is>
      </c>
      <c r="W9" s="10" t="inlineStr">
        <is>
          <t>A4</t>
        </is>
      </c>
      <c r="X9" s="10" t="inlineStr">
        <is>
          <t>["D03-DOC-PFO-001"]</t>
        </is>
      </c>
    </row>
    <row r="10">
      <c r="A10" s="10" t="inlineStr">
        <is>
          <t>D03-DOC-MFO-001</t>
        </is>
      </c>
      <c r="B10" s="10" t="inlineStr">
        <is>
          <t>EXECUTAR</t>
        </is>
      </c>
      <c r="C10" s="10" t="n"/>
      <c r="D10" s="10" t="inlineStr">
        <is>
          <t>A00</t>
        </is>
      </c>
      <c r="E10" s="10" t="inlineStr">
        <is>
          <t>D03</t>
        </is>
      </c>
      <c r="F10" s="10" t="n"/>
      <c r="G10" s="10" t="n"/>
      <c r="H10" s="10" t="n"/>
      <c r="I10" s="10" t="inlineStr">
        <is>
          <t>SPECIALIZED</t>
        </is>
      </c>
      <c r="J10" s="10" t="n"/>
      <c r="K10" s="10" t="inlineStr">
        <is>
          <t>Modelo Financeiro do Ecossistema</t>
        </is>
      </c>
      <c r="L10" s="10" t="inlineStr">
        <is>
          <t>1.0.0</t>
        </is>
      </c>
      <c r="M10" s="10" t="b">
        <v>1</v>
      </c>
      <c r="N10" s="10" t="inlineStr">
        <is>
          <t>PRE_PREENCHIDO</t>
        </is>
      </c>
      <c r="O10" s="10" t="inlineStr">
        <is>
          <t>PENDENTE</t>
        </is>
      </c>
      <c r="P10" s="10" t="inlineStr">
        <is>
          <t>A_DEFINIR</t>
        </is>
      </c>
      <c r="Q10" s="10" t="inlineStr">
        <is>
          <t>A_DEFINIR</t>
        </is>
      </c>
      <c r="R10" s="10" t="inlineStr">
        <is>
          <t>[]</t>
        </is>
      </c>
      <c r="S10" s="10" t="inlineStr">
        <is>
          <t>[]</t>
        </is>
      </c>
      <c r="T10" s="10" t="inlineStr">
        <is>
          <t>["D03-DOC-MFO-001-EVD"]</t>
        </is>
      </c>
      <c r="U10" s="10" t="inlineStr">
        <is>
          <t>["Drive: D03__*"]</t>
        </is>
      </c>
      <c r="V10" s="10" t="inlineStr">
        <is>
          <t>Executar PF-24 (reconciliação cruzada depends_on/blocks) — NA-03.</t>
        </is>
      </c>
      <c r="W10" s="10" t="inlineStr">
        <is>
          <t>A4</t>
        </is>
      </c>
      <c r="X10" s="10" t="inlineStr">
        <is>
          <t>["D03-DOC-MFO-001"]</t>
        </is>
      </c>
    </row>
    <row r="11">
      <c r="A11" s="10" t="inlineStr">
        <is>
          <t>D04-DOC-PPC-001</t>
        </is>
      </c>
      <c r="B11" s="10" t="inlineStr">
        <is>
          <t>EXECUTAR</t>
        </is>
      </c>
      <c r="C11" s="10" t="n"/>
      <c r="D11" s="10" t="inlineStr">
        <is>
          <t>A07</t>
        </is>
      </c>
      <c r="E11" s="10" t="inlineStr">
        <is>
          <t>D04</t>
        </is>
      </c>
      <c r="F11" s="10" t="n"/>
      <c r="G11" s="10" t="n"/>
      <c r="H11" s="10" t="n"/>
      <c r="I11" s="10" t="inlineStr">
        <is>
          <t>MACRO</t>
        </is>
      </c>
      <c r="J11" s="10" t="n"/>
      <c r="K11" s="10" t="inlineStr">
        <is>
          <t>Plano de Pessoas e Capacidade</t>
        </is>
      </c>
      <c r="L11" s="10" t="inlineStr">
        <is>
          <t>1.0.0</t>
        </is>
      </c>
      <c r="M11" s="10" t="b">
        <v>1</v>
      </c>
      <c r="N11" s="10" t="inlineStr">
        <is>
          <t>PRE_PREENCHIDO</t>
        </is>
      </c>
      <c r="O11" s="10" t="inlineStr">
        <is>
          <t>PENDENTE</t>
        </is>
      </c>
      <c r="P11" s="10" t="inlineStr">
        <is>
          <t>A_DEFINIR</t>
        </is>
      </c>
      <c r="Q11" s="10" t="inlineStr">
        <is>
          <t>A_DEFINIR</t>
        </is>
      </c>
      <c r="R11" s="10" t="inlineStr">
        <is>
          <t>[]</t>
        </is>
      </c>
      <c r="S11" s="10" t="inlineStr">
        <is>
          <t>[]</t>
        </is>
      </c>
      <c r="T11" s="10" t="inlineStr">
        <is>
          <t>["D04-DOC-PPC-001-EVD"]</t>
        </is>
      </c>
      <c r="U11" s="10" t="inlineStr">
        <is>
          <t>["Drive: D04__*"]</t>
        </is>
      </c>
      <c r="V11" s="10" t="inlineStr">
        <is>
          <t>Executar PF-24 (reconciliação cruzada depends_on/blocks) — NA-03.</t>
        </is>
      </c>
      <c r="W11" s="10" t="inlineStr">
        <is>
          <t>A4</t>
        </is>
      </c>
      <c r="X11" s="10" t="inlineStr">
        <is>
          <t>["D04-DOC-PPC-001"]</t>
        </is>
      </c>
    </row>
    <row r="12">
      <c r="A12" s="10" t="inlineStr">
        <is>
          <t>D05-DOC-EPGD-001</t>
        </is>
      </c>
      <c r="B12" s="10" t="inlineStr">
        <is>
          <t>EXECUTAR</t>
        </is>
      </c>
      <c r="C12" s="10" t="n"/>
      <c r="D12" s="10" t="inlineStr">
        <is>
          <t>A06</t>
        </is>
      </c>
      <c r="E12" s="10" t="inlineStr">
        <is>
          <t>D05</t>
        </is>
      </c>
      <c r="F12" s="10" t="n"/>
      <c r="G12" s="10" t="n"/>
      <c r="H12" s="10" t="n"/>
      <c r="I12" s="10" t="inlineStr">
        <is>
          <t>MACRO</t>
        </is>
      </c>
      <c r="J12" s="10" t="n"/>
      <c r="K12" s="10" t="inlineStr">
        <is>
          <t>Estratégia e Plano de Gestão de Dados</t>
        </is>
      </c>
      <c r="L12" s="10" t="inlineStr">
        <is>
          <t>1.0.0</t>
        </is>
      </c>
      <c r="M12" s="10" t="b">
        <v>1</v>
      </c>
      <c r="N12" s="10" t="inlineStr">
        <is>
          <t>PRE_PREENCHIDO</t>
        </is>
      </c>
      <c r="O12" s="10" t="inlineStr">
        <is>
          <t>PENDENTE</t>
        </is>
      </c>
      <c r="P12" s="10" t="inlineStr">
        <is>
          <t>A_DEFINIR</t>
        </is>
      </c>
      <c r="Q12" s="10" t="inlineStr">
        <is>
          <t>A_DEFINIR</t>
        </is>
      </c>
      <c r="R12" s="10" t="inlineStr">
        <is>
          <t>[]</t>
        </is>
      </c>
      <c r="S12" s="10" t="inlineStr">
        <is>
          <t>[]</t>
        </is>
      </c>
      <c r="T12" s="10" t="inlineStr">
        <is>
          <t>["D05-DOC-EPGD-001-EVD"]</t>
        </is>
      </c>
      <c r="U12" s="10" t="inlineStr">
        <is>
          <t>["Drive: D05__*"]</t>
        </is>
      </c>
      <c r="V12" s="10" t="inlineStr">
        <is>
          <t>Executar PF-24 (reconciliação cruzada depends_on/blocks) — NA-03.</t>
        </is>
      </c>
      <c r="W12" s="10" t="inlineStr">
        <is>
          <t>A4</t>
        </is>
      </c>
      <c r="X12" s="10" t="inlineStr">
        <is>
          <t>["D05-DOC-EPGD-001"]</t>
        </is>
      </c>
    </row>
    <row r="13">
      <c r="A13" s="10" t="inlineStr">
        <is>
          <t>D05-DOC-DCM-001</t>
        </is>
      </c>
      <c r="B13" s="10" t="inlineStr">
        <is>
          <t>EXECUTAR</t>
        </is>
      </c>
      <c r="C13" s="10" t="n"/>
      <c r="D13" s="10" t="inlineStr">
        <is>
          <t>A06</t>
        </is>
      </c>
      <c r="E13" s="10" t="inlineStr">
        <is>
          <t>D05</t>
        </is>
      </c>
      <c r="F13" s="10" t="n"/>
      <c r="G13" s="10" t="n"/>
      <c r="H13" s="10" t="n"/>
      <c r="I13" s="10" t="inlineStr">
        <is>
          <t>SPECIALIZED</t>
        </is>
      </c>
      <c r="J13" s="10" t="n"/>
      <c r="K13" s="10" t="inlineStr">
        <is>
          <t>Dicionário de Dados e Catálogo de Métricas</t>
        </is>
      </c>
      <c r="L13" s="10" t="inlineStr">
        <is>
          <t>1.0.0</t>
        </is>
      </c>
      <c r="M13" s="10" t="b">
        <v>1</v>
      </c>
      <c r="N13" s="10" t="inlineStr">
        <is>
          <t>PRE_PREENCHIDO</t>
        </is>
      </c>
      <c r="O13" s="10" t="inlineStr">
        <is>
          <t>PENDENTE</t>
        </is>
      </c>
      <c r="P13" s="10" t="inlineStr">
        <is>
          <t>A_DEFINIR</t>
        </is>
      </c>
      <c r="Q13" s="10" t="inlineStr">
        <is>
          <t>A_DEFINIR</t>
        </is>
      </c>
      <c r="R13" s="10" t="inlineStr">
        <is>
          <t>[]</t>
        </is>
      </c>
      <c r="S13" s="10" t="inlineStr">
        <is>
          <t>[]</t>
        </is>
      </c>
      <c r="T13" s="10" t="inlineStr">
        <is>
          <t>["D05-DOC-DCM-001-EVD"]</t>
        </is>
      </c>
      <c r="U13" s="10" t="inlineStr">
        <is>
          <t>["Drive: D05__*"]</t>
        </is>
      </c>
      <c r="V13" s="10" t="inlineStr">
        <is>
          <t>Executar PF-24 (reconciliação cruzada depends_on/blocks) — NA-03.</t>
        </is>
      </c>
      <c r="W13" s="10" t="inlineStr">
        <is>
          <t>A4</t>
        </is>
      </c>
      <c r="X13" s="10" t="inlineStr">
        <is>
          <t>["D05-DOC-DCM-001"]</t>
        </is>
      </c>
    </row>
    <row r="14">
      <c r="A14" s="10" t="inlineStr">
        <is>
          <t>D06-DOC-EGC-001</t>
        </is>
      </c>
      <c r="B14" s="10" t="inlineStr">
        <is>
          <t>EXECUTAR</t>
        </is>
      </c>
      <c r="C14" s="10" t="n"/>
      <c r="D14" s="10" t="inlineStr">
        <is>
          <t>A06</t>
        </is>
      </c>
      <c r="E14" s="10" t="inlineStr">
        <is>
          <t>D06</t>
        </is>
      </c>
      <c r="F14" s="10" t="n"/>
      <c r="G14" s="10" t="n"/>
      <c r="H14" s="10" t="n"/>
      <c r="I14" s="10" t="inlineStr">
        <is>
          <t>MACRO</t>
        </is>
      </c>
      <c r="J14" s="10" t="n"/>
      <c r="K14" s="10" t="inlineStr">
        <is>
          <t>Estratégia de Gestão do Conhecimento</t>
        </is>
      </c>
      <c r="L14" s="10" t="inlineStr">
        <is>
          <t>1.0.0</t>
        </is>
      </c>
      <c r="M14" s="10" t="b">
        <v>1</v>
      </c>
      <c r="N14" s="10" t="inlineStr">
        <is>
          <t>PRE_PREENCHIDO</t>
        </is>
      </c>
      <c r="O14" s="10" t="inlineStr">
        <is>
          <t>PENDENTE</t>
        </is>
      </c>
      <c r="P14" s="10" t="inlineStr">
        <is>
          <t>A_DEFINIR</t>
        </is>
      </c>
      <c r="Q14" s="10" t="inlineStr">
        <is>
          <t>A_DEFINIR</t>
        </is>
      </c>
      <c r="R14" s="10" t="inlineStr">
        <is>
          <t>[]</t>
        </is>
      </c>
      <c r="S14" s="10" t="inlineStr">
        <is>
          <t>[]</t>
        </is>
      </c>
      <c r="T14" s="10" t="inlineStr">
        <is>
          <t>["D06-DOC-EGC-001-EVD"]</t>
        </is>
      </c>
      <c r="U14" s="10" t="inlineStr">
        <is>
          <t>["Drive: D06__*"]</t>
        </is>
      </c>
      <c r="V14" s="10" t="inlineStr">
        <is>
          <t>Executar PF-24 (reconciliação cruzada depends_on/blocks) — NA-03.</t>
        </is>
      </c>
      <c r="W14" s="10" t="inlineStr">
        <is>
          <t>A4</t>
        </is>
      </c>
      <c r="X14" s="10" t="inlineStr">
        <is>
          <t>["D06-DOC-EGC-001"]</t>
        </is>
      </c>
    </row>
    <row r="15">
      <c r="A15" s="10" t="inlineStr">
        <is>
          <t>D06-DOC-RMI-001</t>
        </is>
      </c>
      <c r="B15" s="10" t="inlineStr">
        <is>
          <t>EXECUTAR</t>
        </is>
      </c>
      <c r="C15" s="10" t="n"/>
      <c r="D15" s="10" t="inlineStr">
        <is>
          <t>A06</t>
        </is>
      </c>
      <c r="E15" s="10" t="inlineStr">
        <is>
          <t>D06</t>
        </is>
      </c>
      <c r="F15" s="10" t="n"/>
      <c r="G15" s="10" t="n"/>
      <c r="H15" s="10" t="n"/>
      <c r="I15" s="10" t="inlineStr">
        <is>
          <t>SPECIALIZED</t>
        </is>
      </c>
      <c r="J15" s="10" t="n"/>
      <c r="K15" s="10" t="inlineStr">
        <is>
          <t>Registro Mestre de Identidades</t>
        </is>
      </c>
      <c r="L15" s="10" t="inlineStr">
        <is>
          <t>1.0.0</t>
        </is>
      </c>
      <c r="M15" s="10" t="b">
        <v>1</v>
      </c>
      <c r="N15" s="10" t="inlineStr">
        <is>
          <t>PRE_PREENCHIDO</t>
        </is>
      </c>
      <c r="O15" s="10" t="inlineStr">
        <is>
          <t>PENDENTE</t>
        </is>
      </c>
      <c r="P15" s="10" t="inlineStr">
        <is>
          <t>A_DEFINIR</t>
        </is>
      </c>
      <c r="Q15" s="10" t="inlineStr">
        <is>
          <t>A_DEFINIR</t>
        </is>
      </c>
      <c r="R15" s="10" t="inlineStr">
        <is>
          <t>[]</t>
        </is>
      </c>
      <c r="S15" s="10" t="inlineStr">
        <is>
          <t>[]</t>
        </is>
      </c>
      <c r="T15" s="10" t="inlineStr">
        <is>
          <t>["D06-DOC-RMI-001-EVD"]</t>
        </is>
      </c>
      <c r="U15" s="10" t="inlineStr">
        <is>
          <t>["Drive: D06__*"]</t>
        </is>
      </c>
      <c r="V15" s="10" t="inlineStr">
        <is>
          <t>Executar PF-24 (reconciliação cruzada depends_on/blocks) — NA-03.</t>
        </is>
      </c>
      <c r="W15" s="10" t="inlineStr">
        <is>
          <t>A4</t>
        </is>
      </c>
      <c r="X15" s="10" t="inlineStr">
        <is>
          <t>["D06-DOC-RMI-001"]</t>
        </is>
      </c>
    </row>
    <row r="16">
      <c r="A16" s="10" t="inlineStr">
        <is>
          <t>D07-DOC-PEX-001</t>
        </is>
      </c>
      <c r="B16" s="10" t="inlineStr">
        <is>
          <t>EXECUTAR</t>
        </is>
      </c>
      <c r="C16" s="10" t="n"/>
      <c r="D16" s="10" t="inlineStr">
        <is>
          <t>A09</t>
        </is>
      </c>
      <c r="E16" s="10" t="inlineStr">
        <is>
          <t>D07</t>
        </is>
      </c>
      <c r="F16" s="10" t="n"/>
      <c r="G16" s="10" t="n"/>
      <c r="H16" s="10" t="n"/>
      <c r="I16" s="10" t="inlineStr">
        <is>
          <t>MACRO</t>
        </is>
      </c>
      <c r="J16" s="10" t="n"/>
      <c r="K16" s="10" t="inlineStr">
        <is>
          <t>Plano de Execução</t>
        </is>
      </c>
      <c r="L16" s="10" t="inlineStr">
        <is>
          <t>1.0.0</t>
        </is>
      </c>
      <c r="M16" s="10" t="b">
        <v>1</v>
      </c>
      <c r="N16" s="10" t="inlineStr">
        <is>
          <t>PRE_PREENCHIDO</t>
        </is>
      </c>
      <c r="O16" s="10" t="inlineStr">
        <is>
          <t>PENDENTE</t>
        </is>
      </c>
      <c r="P16" s="10" t="inlineStr">
        <is>
          <t>A_DEFINIR</t>
        </is>
      </c>
      <c r="Q16" s="10" t="inlineStr">
        <is>
          <t>A_DEFINIR</t>
        </is>
      </c>
      <c r="R16" s="10" t="inlineStr">
        <is>
          <t>[]</t>
        </is>
      </c>
      <c r="S16" s="10" t="inlineStr">
        <is>
          <t>[]</t>
        </is>
      </c>
      <c r="T16" s="10" t="inlineStr">
        <is>
          <t>["D07-DOC-PEX-001-EVD"]</t>
        </is>
      </c>
      <c r="U16" s="10" t="inlineStr">
        <is>
          <t>["Drive: D07__*"]</t>
        </is>
      </c>
      <c r="V16" s="10" t="inlineStr">
        <is>
          <t>Executar PF-24 (reconciliação cruzada depends_on/blocks) — NA-03.</t>
        </is>
      </c>
      <c r="W16" s="10" t="inlineStr">
        <is>
          <t>A4</t>
        </is>
      </c>
      <c r="X16" s="10" t="inlineStr">
        <is>
          <t>["D07-DOC-PEX-001"]</t>
        </is>
      </c>
    </row>
    <row r="17">
      <c r="A17" s="10" t="inlineStr">
        <is>
          <t>D07-DOC-PIM-001</t>
        </is>
      </c>
      <c r="B17" s="10" t="inlineStr">
        <is>
          <t>EXECUTAR</t>
        </is>
      </c>
      <c r="C17" s="10" t="n"/>
      <c r="D17" s="10" t="inlineStr">
        <is>
          <t>A09</t>
        </is>
      </c>
      <c r="E17" s="10" t="inlineStr">
        <is>
          <t>D07</t>
        </is>
      </c>
      <c r="F17" s="10" t="n"/>
      <c r="G17" s="10" t="n"/>
      <c r="H17" s="10" t="n"/>
      <c r="I17" s="10" t="inlineStr">
        <is>
          <t>SPECIALIZED</t>
        </is>
      </c>
      <c r="J17" s="10" t="n"/>
      <c r="K17" s="10" t="inlineStr">
        <is>
          <t>Plano de Implementação e Marcos</t>
        </is>
      </c>
      <c r="L17" s="10" t="inlineStr">
        <is>
          <t>1.0.0</t>
        </is>
      </c>
      <c r="M17" s="10" t="b">
        <v>1</v>
      </c>
      <c r="N17" s="10" t="inlineStr">
        <is>
          <t>PRE_PREENCHIDO</t>
        </is>
      </c>
      <c r="O17" s="10" t="inlineStr">
        <is>
          <t>PENDENTE</t>
        </is>
      </c>
      <c r="P17" s="10" t="inlineStr">
        <is>
          <t>A_DEFINIR</t>
        </is>
      </c>
      <c r="Q17" s="10" t="inlineStr">
        <is>
          <t>A_DEFINIR</t>
        </is>
      </c>
      <c r="R17" s="10" t="inlineStr">
        <is>
          <t>[]</t>
        </is>
      </c>
      <c r="S17" s="10" t="inlineStr">
        <is>
          <t>[]</t>
        </is>
      </c>
      <c r="T17" s="10" t="inlineStr">
        <is>
          <t>["D07-DOC-PIM-001-EVD"]</t>
        </is>
      </c>
      <c r="U17" s="10" t="inlineStr">
        <is>
          <t>["Drive: D07__*"]</t>
        </is>
      </c>
      <c r="V17" s="10" t="inlineStr">
        <is>
          <t>Executar PF-24 (reconciliação cruzada depends_on/blocks) — NA-03.</t>
        </is>
      </c>
      <c r="W17" s="10" t="inlineStr">
        <is>
          <t>A4</t>
        </is>
      </c>
      <c r="X17" s="10" t="inlineStr">
        <is>
          <t>["D07-DOC-PIM-001"]</t>
        </is>
      </c>
    </row>
    <row r="18">
      <c r="A18" s="10" t="inlineStr">
        <is>
          <t>D08-DOC-MOP-001</t>
        </is>
      </c>
      <c r="B18" s="10" t="inlineStr">
        <is>
          <t>EXECUTAR</t>
        </is>
      </c>
      <c r="C18" s="10" t="n"/>
      <c r="D18" s="10" t="inlineStr">
        <is>
          <t>A05</t>
        </is>
      </c>
      <c r="E18" s="10" t="inlineStr">
        <is>
          <t>D08</t>
        </is>
      </c>
      <c r="F18" s="10" t="n"/>
      <c r="G18" s="10" t="n"/>
      <c r="H18" s="10" t="n"/>
      <c r="I18" s="10" t="inlineStr">
        <is>
          <t>MACRO</t>
        </is>
      </c>
      <c r="J18" s="10" t="n"/>
      <c r="K18" s="10" t="inlineStr">
        <is>
          <t>Manual de Operações</t>
        </is>
      </c>
      <c r="L18" s="10" t="inlineStr">
        <is>
          <t>1.0.0</t>
        </is>
      </c>
      <c r="M18" s="10" t="b">
        <v>1</v>
      </c>
      <c r="N18" s="10" t="inlineStr">
        <is>
          <t>PRE_PREENCHIDO</t>
        </is>
      </c>
      <c r="O18" s="10" t="inlineStr">
        <is>
          <t>PENDENTE</t>
        </is>
      </c>
      <c r="P18" s="10" t="inlineStr">
        <is>
          <t>A_DEFINIR</t>
        </is>
      </c>
      <c r="Q18" s="10" t="inlineStr">
        <is>
          <t>A_DEFINIR</t>
        </is>
      </c>
      <c r="R18" s="10" t="inlineStr">
        <is>
          <t>[]</t>
        </is>
      </c>
      <c r="S18" s="10" t="inlineStr">
        <is>
          <t>[]</t>
        </is>
      </c>
      <c r="T18" s="10" t="inlineStr">
        <is>
          <t>["D08-DOC-MOP-001-EVD"]</t>
        </is>
      </c>
      <c r="U18" s="10" t="inlineStr">
        <is>
          <t>["Drive: D08__*"]</t>
        </is>
      </c>
      <c r="V18" s="10" t="inlineStr">
        <is>
          <t>Executar PF-24 (reconciliação cruzada depends_on/blocks) — NA-03.</t>
        </is>
      </c>
      <c r="W18" s="10" t="inlineStr">
        <is>
          <t>A4</t>
        </is>
      </c>
      <c r="X18" s="10" t="inlineStr">
        <is>
          <t>["D08-DOC-MOP-001"]</t>
        </is>
      </c>
    </row>
    <row r="19">
      <c r="A19" s="10" t="inlineStr">
        <is>
          <t>D08-DOC-RUN-001</t>
        </is>
      </c>
      <c r="B19" s="10" t="inlineStr">
        <is>
          <t>EXECUTAR</t>
        </is>
      </c>
      <c r="C19" s="10" t="n"/>
      <c r="D19" s="10" t="inlineStr">
        <is>
          <t>A05</t>
        </is>
      </c>
      <c r="E19" s="10" t="inlineStr">
        <is>
          <t>D08</t>
        </is>
      </c>
      <c r="F19" s="10" t="n"/>
      <c r="G19" s="10" t="n"/>
      <c r="H19" s="10" t="n"/>
      <c r="I19" s="10" t="inlineStr">
        <is>
          <t>SPECIALIZED</t>
        </is>
      </c>
      <c r="J19" s="10" t="n"/>
      <c r="K19" s="10" t="inlineStr">
        <is>
          <t>Runbook Operacional do Ecossistema</t>
        </is>
      </c>
      <c r="L19" s="10" t="inlineStr">
        <is>
          <t>1.0.0</t>
        </is>
      </c>
      <c r="M19" s="10" t="b">
        <v>1</v>
      </c>
      <c r="N19" s="10" t="inlineStr">
        <is>
          <t>PRE_PREENCHIDO</t>
        </is>
      </c>
      <c r="O19" s="10" t="inlineStr">
        <is>
          <t>PENDENTE</t>
        </is>
      </c>
      <c r="P19" s="10" t="inlineStr">
        <is>
          <t>A_DEFINIR</t>
        </is>
      </c>
      <c r="Q19" s="10" t="inlineStr">
        <is>
          <t>A_DEFINIR</t>
        </is>
      </c>
      <c r="R19" s="10" t="inlineStr">
        <is>
          <t>[]</t>
        </is>
      </c>
      <c r="S19" s="10" t="inlineStr">
        <is>
          <t>[]</t>
        </is>
      </c>
      <c r="T19" s="10" t="inlineStr">
        <is>
          <t>["D08-DOC-RUN-001-EVD"]</t>
        </is>
      </c>
      <c r="U19" s="10" t="inlineStr">
        <is>
          <t>["Drive: D08__*"]</t>
        </is>
      </c>
      <c r="V19" s="10" t="inlineStr">
        <is>
          <t>Executar PF-24 (reconciliação cruzada depends_on/blocks) — NA-03.</t>
        </is>
      </c>
      <c r="W19" s="10" t="inlineStr">
        <is>
          <t>A4</t>
        </is>
      </c>
      <c r="X19" s="10" t="inlineStr">
        <is>
          <t>["D08-DOC-RUN-001"]</t>
        </is>
      </c>
    </row>
    <row r="20">
      <c r="A20" s="10" t="inlineStr">
        <is>
          <t>D09-DOC-PPE-001</t>
        </is>
      </c>
      <c r="B20" s="10" t="inlineStr">
        <is>
          <t>EXECUTAR</t>
        </is>
      </c>
      <c r="C20" s="10" t="n"/>
      <c r="D20" s="10" t="inlineStr">
        <is>
          <t>A06</t>
        </is>
      </c>
      <c r="E20" s="10" t="inlineStr">
        <is>
          <t>D09</t>
        </is>
      </c>
      <c r="F20" s="10" t="n"/>
      <c r="G20" s="10" t="n"/>
      <c r="H20" s="10" t="n"/>
      <c r="I20" s="10" t="inlineStr">
        <is>
          <t>MACRO</t>
        </is>
      </c>
      <c r="J20" s="10" t="n"/>
      <c r="K20" s="10" t="inlineStr">
        <is>
          <t>Plano de Pesquisa e Experimentação</t>
        </is>
      </c>
      <c r="L20" s="10" t="inlineStr">
        <is>
          <t>1.0.0</t>
        </is>
      </c>
      <c r="M20" s="10" t="b">
        <v>1</v>
      </c>
      <c r="N20" s="10" t="inlineStr">
        <is>
          <t>PRE_PREENCHIDO</t>
        </is>
      </c>
      <c r="O20" s="10" t="inlineStr">
        <is>
          <t>PENDENTE</t>
        </is>
      </c>
      <c r="P20" s="10" t="inlineStr">
        <is>
          <t>A_DEFINIR</t>
        </is>
      </c>
      <c r="Q20" s="10" t="inlineStr">
        <is>
          <t>A_DEFINIR</t>
        </is>
      </c>
      <c r="R20" s="10" t="inlineStr">
        <is>
          <t>[]</t>
        </is>
      </c>
      <c r="S20" s="10" t="inlineStr">
        <is>
          <t>[]</t>
        </is>
      </c>
      <c r="T20" s="10" t="inlineStr">
        <is>
          <t>["D09-DOC-PPE-001-EVD"]</t>
        </is>
      </c>
      <c r="U20" s="10" t="inlineStr">
        <is>
          <t>["Drive: D09__*"]</t>
        </is>
      </c>
      <c r="V20" s="10" t="inlineStr">
        <is>
          <t>Executar PF-24 (reconciliação cruzada depends_on/blocks) — NA-03.</t>
        </is>
      </c>
      <c r="W20" s="10" t="inlineStr">
        <is>
          <t>A4</t>
        </is>
      </c>
      <c r="X20" s="10" t="inlineStr">
        <is>
          <t>["D09-DOC-PPE-001"]</t>
        </is>
      </c>
    </row>
    <row r="21">
      <c r="A21" s="10" t="inlineStr">
        <is>
          <t>D09-DOC-DEB-001</t>
        </is>
      </c>
      <c r="B21" s="10" t="inlineStr">
        <is>
          <t>EXECUTAR</t>
        </is>
      </c>
      <c r="C21" s="10" t="n"/>
      <c r="D21" s="10" t="inlineStr">
        <is>
          <t>A06</t>
        </is>
      </c>
      <c r="E21" s="10" t="inlineStr">
        <is>
          <t>D09</t>
        </is>
      </c>
      <c r="F21" s="10" t="n"/>
      <c r="G21" s="10" t="n"/>
      <c r="H21" s="10" t="n"/>
      <c r="I21" s="10" t="inlineStr">
        <is>
          <t>SPECIALIZED</t>
        </is>
      </c>
      <c r="J21" s="10" t="n"/>
      <c r="K21" s="10" t="inlineStr">
        <is>
          <t>Dossiê de Evidências e Base Científica</t>
        </is>
      </c>
      <c r="L21" s="10" t="inlineStr">
        <is>
          <t>1.0.0</t>
        </is>
      </c>
      <c r="M21" s="10" t="b">
        <v>1</v>
      </c>
      <c r="N21" s="10" t="inlineStr">
        <is>
          <t>PRE_PREENCHIDO</t>
        </is>
      </c>
      <c r="O21" s="10" t="inlineStr">
        <is>
          <t>PENDENTE</t>
        </is>
      </c>
      <c r="P21" s="10" t="inlineStr">
        <is>
          <t>A_DEFINIR</t>
        </is>
      </c>
      <c r="Q21" s="10" t="inlineStr">
        <is>
          <t>A_DEFINIR</t>
        </is>
      </c>
      <c r="R21" s="10" t="inlineStr">
        <is>
          <t>[]</t>
        </is>
      </c>
      <c r="S21" s="10" t="inlineStr">
        <is>
          <t>[]</t>
        </is>
      </c>
      <c r="T21" s="10" t="inlineStr">
        <is>
          <t>["D09-DOC-DEB-001-EVD"]</t>
        </is>
      </c>
      <c r="U21" s="10" t="inlineStr">
        <is>
          <t>["Drive: D09__*"]</t>
        </is>
      </c>
      <c r="V21" s="10" t="inlineStr">
        <is>
          <t>Executar PF-24 (reconciliação cruzada depends_on/blocks) — NA-03.</t>
        </is>
      </c>
      <c r="W21" s="10" t="inlineStr">
        <is>
          <t>A4</t>
        </is>
      </c>
      <c r="X21" s="10" t="inlineStr">
        <is>
          <t>["D09-DOC-DEB-001"]</t>
        </is>
      </c>
    </row>
    <row r="22">
      <c r="A22" s="10" t="inlineStr">
        <is>
          <t>D10-DOC-DRP-001</t>
        </is>
      </c>
      <c r="B22" s="10" t="inlineStr">
        <is>
          <t>EXECUTAR</t>
        </is>
      </c>
      <c r="C22" s="10" t="n"/>
      <c r="D22" s="10" t="inlineStr">
        <is>
          <t>A02</t>
        </is>
      </c>
      <c r="E22" s="10" t="inlineStr">
        <is>
          <t>D10</t>
        </is>
      </c>
      <c r="F22" s="10" t="n"/>
      <c r="G22" s="10" t="n"/>
      <c r="H22" s="10" t="n"/>
      <c r="I22" s="10" t="inlineStr">
        <is>
          <t>MACRO</t>
        </is>
      </c>
      <c r="J22" s="10" t="n"/>
      <c r="K22" s="10" t="inlineStr">
        <is>
          <t>Documento de Requisitos de Produto</t>
        </is>
      </c>
      <c r="L22" s="10" t="inlineStr">
        <is>
          <t>1.0.0</t>
        </is>
      </c>
      <c r="M22" s="10" t="b">
        <v>1</v>
      </c>
      <c r="N22" s="10" t="inlineStr">
        <is>
          <t>PRE_PREENCHIDO</t>
        </is>
      </c>
      <c r="O22" s="10" t="inlineStr">
        <is>
          <t>PENDENTE</t>
        </is>
      </c>
      <c r="P22" s="10" t="inlineStr">
        <is>
          <t>A_DEFINIR</t>
        </is>
      </c>
      <c r="Q22" s="10" t="inlineStr">
        <is>
          <t>A_DEFINIR</t>
        </is>
      </c>
      <c r="R22" s="10" t="inlineStr">
        <is>
          <t>[]</t>
        </is>
      </c>
      <c r="S22" s="10" t="inlineStr">
        <is>
          <t>[]</t>
        </is>
      </c>
      <c r="T22" s="10" t="inlineStr">
        <is>
          <t>["D10-DOC-DRP-001-EVD"]</t>
        </is>
      </c>
      <c r="U22" s="10" t="inlineStr">
        <is>
          <t>["Drive: D10__*"]</t>
        </is>
      </c>
      <c r="V22" s="10" t="inlineStr">
        <is>
          <t>Executar PF-24 (reconciliação cruzada depends_on/blocks) — NA-03.</t>
        </is>
      </c>
      <c r="W22" s="10" t="inlineStr">
        <is>
          <t>A4</t>
        </is>
      </c>
      <c r="X22" s="10" t="inlineStr">
        <is>
          <t>["D10-DOC-DRP-001"]</t>
        </is>
      </c>
    </row>
    <row r="23">
      <c r="A23" s="10" t="inlineStr">
        <is>
          <t>D10-DOC-PRD-001</t>
        </is>
      </c>
      <c r="B23" s="10" t="inlineStr">
        <is>
          <t>EXECUTAR</t>
        </is>
      </c>
      <c r="C23" s="10" t="n"/>
      <c r="D23" s="10" t="inlineStr">
        <is>
          <t>A02</t>
        </is>
      </c>
      <c r="E23" s="10" t="inlineStr">
        <is>
          <t>D10</t>
        </is>
      </c>
      <c r="F23" s="10" t="n"/>
      <c r="G23" s="10" t="n"/>
      <c r="H23" s="10" t="n"/>
      <c r="I23" s="10" t="inlineStr">
        <is>
          <t>SPECIALIZED</t>
        </is>
      </c>
      <c r="J23" s="10" t="n"/>
      <c r="K23" s="10" t="inlineStr">
        <is>
          <t>Requisitos Integrados dos Produtos</t>
        </is>
      </c>
      <c r="L23" s="10" t="inlineStr">
        <is>
          <t>1.0.0</t>
        </is>
      </c>
      <c r="M23" s="10" t="b">
        <v>1</v>
      </c>
      <c r="N23" s="10" t="inlineStr">
        <is>
          <t>PRE_PREENCHIDO</t>
        </is>
      </c>
      <c r="O23" s="10" t="inlineStr">
        <is>
          <t>PENDENTE</t>
        </is>
      </c>
      <c r="P23" s="10" t="inlineStr">
        <is>
          <t>A_DEFINIR</t>
        </is>
      </c>
      <c r="Q23" s="10" t="inlineStr">
        <is>
          <t>A_DEFINIR</t>
        </is>
      </c>
      <c r="R23" s="10" t="inlineStr">
        <is>
          <t>[]</t>
        </is>
      </c>
      <c r="S23" s="10" t="inlineStr">
        <is>
          <t>[]</t>
        </is>
      </c>
      <c r="T23" s="10" t="inlineStr">
        <is>
          <t>["D10-DOC-PRD-001-EVD"]</t>
        </is>
      </c>
      <c r="U23" s="10" t="inlineStr">
        <is>
          <t>["Drive: D10__*"]</t>
        </is>
      </c>
      <c r="V23" s="10" t="inlineStr">
        <is>
          <t>Executar PF-24 (reconciliação cruzada depends_on/blocks) — NA-03.</t>
        </is>
      </c>
      <c r="W23" s="10" t="inlineStr">
        <is>
          <t>A4</t>
        </is>
      </c>
      <c r="X23" s="10" t="inlineStr">
        <is>
          <t>["D10-DOC-PRD-001"]</t>
        </is>
      </c>
    </row>
    <row r="24">
      <c r="A24" s="10" t="inlineStr">
        <is>
          <t>D11-DOC-EEP-001</t>
        </is>
      </c>
      <c r="B24" s="10" t="inlineStr">
        <is>
          <t>EXECUTAR</t>
        </is>
      </c>
      <c r="C24" s="10" t="n"/>
      <c r="D24" s="10" t="inlineStr">
        <is>
          <t>A02</t>
        </is>
      </c>
      <c r="E24" s="10" t="inlineStr">
        <is>
          <t>D11</t>
        </is>
      </c>
      <c r="F24" s="10" t="n"/>
      <c r="G24" s="10" t="n"/>
      <c r="H24" s="10" t="n"/>
      <c r="I24" s="10" t="inlineStr">
        <is>
          <t>MACRO</t>
        </is>
      </c>
      <c r="J24" s="10" t="n"/>
      <c r="K24" s="10" t="inlineStr">
        <is>
          <t>Especificação de Experiência e Projeto</t>
        </is>
      </c>
      <c r="L24" s="10" t="inlineStr">
        <is>
          <t>1.0.0</t>
        </is>
      </c>
      <c r="M24" s="10" t="b">
        <v>1</v>
      </c>
      <c r="N24" s="10" t="inlineStr">
        <is>
          <t>PRE_PREENCHIDO</t>
        </is>
      </c>
      <c r="O24" s="10" t="inlineStr">
        <is>
          <t>PENDENTE</t>
        </is>
      </c>
      <c r="P24" s="10" t="inlineStr">
        <is>
          <t>A_DEFINIR</t>
        </is>
      </c>
      <c r="Q24" s="10" t="inlineStr">
        <is>
          <t>A_DEFINIR</t>
        </is>
      </c>
      <c r="R24" s="10" t="inlineStr">
        <is>
          <t>[]</t>
        </is>
      </c>
      <c r="S24" s="10" t="inlineStr">
        <is>
          <t>[]</t>
        </is>
      </c>
      <c r="T24" s="10" t="inlineStr">
        <is>
          <t>["D11-DOC-EEP-001-EVD"]</t>
        </is>
      </c>
      <c r="U24" s="10" t="inlineStr">
        <is>
          <t>["Drive: D11__*"]</t>
        </is>
      </c>
      <c r="V24" s="10" t="inlineStr">
        <is>
          <t>Executar PF-24 (reconciliação cruzada depends_on/blocks) — NA-03.</t>
        </is>
      </c>
      <c r="W24" s="10" t="inlineStr">
        <is>
          <t>A4</t>
        </is>
      </c>
      <c r="X24" s="10" t="inlineStr">
        <is>
          <t>["D11-DOC-EEP-001"]</t>
        </is>
      </c>
    </row>
    <row r="25">
      <c r="A25" s="10" t="inlineStr">
        <is>
          <t>D11-DOC-DSI-001</t>
        </is>
      </c>
      <c r="B25" s="10" t="inlineStr">
        <is>
          <t>EXECUTAR</t>
        </is>
      </c>
      <c r="C25" s="10" t="n"/>
      <c r="D25" s="10" t="inlineStr">
        <is>
          <t>A02</t>
        </is>
      </c>
      <c r="E25" s="10" t="inlineStr">
        <is>
          <t>D11</t>
        </is>
      </c>
      <c r="F25" s="10" t="n"/>
      <c r="G25" s="10" t="n"/>
      <c r="H25" s="10" t="n"/>
      <c r="I25" s="10" t="inlineStr">
        <is>
          <t>SPECIALIZED</t>
        </is>
      </c>
      <c r="J25" s="10" t="n"/>
      <c r="K25" s="10" t="inlineStr">
        <is>
          <t>Sistema de Design e Interface</t>
        </is>
      </c>
      <c r="L25" s="10" t="inlineStr">
        <is>
          <t>1.0.0</t>
        </is>
      </c>
      <c r="M25" s="10" t="b">
        <v>1</v>
      </c>
      <c r="N25" s="10" t="inlineStr">
        <is>
          <t>PRE_PREENCHIDO</t>
        </is>
      </c>
      <c r="O25" s="10" t="inlineStr">
        <is>
          <t>PENDENTE</t>
        </is>
      </c>
      <c r="P25" s="10" t="inlineStr">
        <is>
          <t>A_DEFINIR</t>
        </is>
      </c>
      <c r="Q25" s="10" t="inlineStr">
        <is>
          <t>A_DEFINIR</t>
        </is>
      </c>
      <c r="R25" s="10" t="inlineStr">
        <is>
          <t>[]</t>
        </is>
      </c>
      <c r="S25" s="10" t="inlineStr">
        <is>
          <t>[]</t>
        </is>
      </c>
      <c r="T25" s="10" t="inlineStr">
        <is>
          <t>["D11-DOC-DSI-001-EVD"]</t>
        </is>
      </c>
      <c r="U25" s="10" t="inlineStr">
        <is>
          <t>["Drive: D11__*"]</t>
        </is>
      </c>
      <c r="V25" s="10" t="inlineStr">
        <is>
          <t>Executar PF-24 (reconciliação cruzada depends_on/blocks) — NA-03.</t>
        </is>
      </c>
      <c r="W25" s="10" t="inlineStr">
        <is>
          <t>A4</t>
        </is>
      </c>
      <c r="X25" s="10" t="inlineStr">
        <is>
          <t>["D11-DOC-DSI-001"]</t>
        </is>
      </c>
    </row>
    <row r="26">
      <c r="A26" s="10" t="inlineStr">
        <is>
          <t>D12-DOC-ETE-001</t>
        </is>
      </c>
      <c r="B26" s="10" t="inlineStr">
        <is>
          <t>EXECUTAR</t>
        </is>
      </c>
      <c r="C26" s="10" t="n"/>
      <c r="D26" s="10" t="inlineStr">
        <is>
          <t>A04</t>
        </is>
      </c>
      <c r="E26" s="10" t="inlineStr">
        <is>
          <t>D12</t>
        </is>
      </c>
      <c r="F26" s="10" t="n"/>
      <c r="G26" s="10" t="n"/>
      <c r="H26" s="10" t="n"/>
      <c r="I26" s="10" t="inlineStr">
        <is>
          <t>MACRO</t>
        </is>
      </c>
      <c r="J26" s="10" t="n"/>
      <c r="K26" s="10" t="inlineStr">
        <is>
          <t>Especificação Técnica de Engenharia</t>
        </is>
      </c>
      <c r="L26" s="10" t="inlineStr">
        <is>
          <t>1.0.0</t>
        </is>
      </c>
      <c r="M26" s="10" t="b">
        <v>1</v>
      </c>
      <c r="N26" s="10" t="inlineStr">
        <is>
          <t>PRE_PREENCHIDO</t>
        </is>
      </c>
      <c r="O26" s="10" t="inlineStr">
        <is>
          <t>PENDENTE</t>
        </is>
      </c>
      <c r="P26" s="10" t="inlineStr">
        <is>
          <t>A_DEFINIR</t>
        </is>
      </c>
      <c r="Q26" s="10" t="inlineStr">
        <is>
          <t>A_DEFINIR</t>
        </is>
      </c>
      <c r="R26" s="10" t="inlineStr">
        <is>
          <t>[]</t>
        </is>
      </c>
      <c r="S26" s="10" t="inlineStr">
        <is>
          <t>[]</t>
        </is>
      </c>
      <c r="T26" s="10" t="inlineStr">
        <is>
          <t>["D12-DOC-ETE-001-EVD"]</t>
        </is>
      </c>
      <c r="U26" s="10" t="inlineStr">
        <is>
          <t>["Drive: D12__*"]</t>
        </is>
      </c>
      <c r="V26" s="10" t="inlineStr">
        <is>
          <t>Executar PF-24 (reconciliação cruzada depends_on/blocks) — NA-03.</t>
        </is>
      </c>
      <c r="W26" s="10" t="inlineStr">
        <is>
          <t>A4</t>
        </is>
      </c>
      <c r="X26" s="10" t="inlineStr">
        <is>
          <t>["D12-DOC-ETE-001"]</t>
        </is>
      </c>
    </row>
    <row r="27">
      <c r="A27" s="10" t="inlineStr">
        <is>
          <t>D13-DOC-DRM-001</t>
        </is>
      </c>
      <c r="B27" s="10" t="inlineStr">
        <is>
          <t>EXECUTAR</t>
        </is>
      </c>
      <c r="C27" s="10" t="n"/>
      <c r="D27" s="10" t="inlineStr">
        <is>
          <t>A01</t>
        </is>
      </c>
      <c r="E27" s="10" t="inlineStr">
        <is>
          <t>D13</t>
        </is>
      </c>
      <c r="F27" s="10" t="n"/>
      <c r="G27" s="10" t="n"/>
      <c r="H27" s="10" t="n"/>
      <c r="I27" s="10" t="inlineStr">
        <is>
          <t>MACRO</t>
        </is>
      </c>
      <c r="J27" s="10" t="n"/>
      <c r="K27" s="10" t="inlineStr">
        <is>
          <t>Documento de Requisitos de Mercado</t>
        </is>
      </c>
      <c r="L27" s="10" t="inlineStr">
        <is>
          <t>1.0.0</t>
        </is>
      </c>
      <c r="M27" s="10" t="b">
        <v>1</v>
      </c>
      <c r="N27" s="10" t="inlineStr">
        <is>
          <t>PRE_PREENCHIDO</t>
        </is>
      </c>
      <c r="O27" s="10" t="inlineStr">
        <is>
          <t>PENDENTE</t>
        </is>
      </c>
      <c r="P27" s="10" t="inlineStr">
        <is>
          <t>A_DEFINIR</t>
        </is>
      </c>
      <c r="Q27" s="10" t="inlineStr">
        <is>
          <t>A_DEFINIR</t>
        </is>
      </c>
      <c r="R27" s="10" t="inlineStr">
        <is>
          <t>[]</t>
        </is>
      </c>
      <c r="S27" s="10" t="inlineStr">
        <is>
          <t>[]</t>
        </is>
      </c>
      <c r="T27" s="10" t="inlineStr">
        <is>
          <t>["D13-DOC-DRM-001-EVD"]</t>
        </is>
      </c>
      <c r="U27" s="10" t="inlineStr">
        <is>
          <t>["Drive: D13__*"]</t>
        </is>
      </c>
      <c r="V27" s="10" t="inlineStr">
        <is>
          <t>Executar PF-24 (reconciliação cruzada depends_on/blocks) — NA-03.</t>
        </is>
      </c>
      <c r="W27" s="10" t="inlineStr">
        <is>
          <t>A4</t>
        </is>
      </c>
      <c r="X27" s="10" t="inlineStr">
        <is>
          <t>["D13-DOC-DRM-001"]</t>
        </is>
      </c>
    </row>
    <row r="28">
      <c r="A28" s="10" t="inlineStr">
        <is>
          <t>D13-DOC-GTM-001</t>
        </is>
      </c>
      <c r="B28" s="10" t="inlineStr">
        <is>
          <t>EXECUTAR</t>
        </is>
      </c>
      <c r="C28" s="10" t="n"/>
      <c r="D28" s="10" t="inlineStr">
        <is>
          <t>A01</t>
        </is>
      </c>
      <c r="E28" s="10" t="inlineStr">
        <is>
          <t>D13</t>
        </is>
      </c>
      <c r="F28" s="10" t="n"/>
      <c r="G28" s="10" t="n"/>
      <c r="H28" s="10" t="n"/>
      <c r="I28" s="10" t="inlineStr">
        <is>
          <t>SPECIALIZED</t>
        </is>
      </c>
      <c r="J28" s="10" t="n"/>
      <c r="K28" s="10" t="inlineStr">
        <is>
          <t>Plano de Entrada no Mercado e Lançamento</t>
        </is>
      </c>
      <c r="L28" s="10" t="inlineStr">
        <is>
          <t>1.0.0</t>
        </is>
      </c>
      <c r="M28" s="10" t="b">
        <v>1</v>
      </c>
      <c r="N28" s="10" t="inlineStr">
        <is>
          <t>PRE_PREENCHIDO</t>
        </is>
      </c>
      <c r="O28" s="10" t="inlineStr">
        <is>
          <t>PENDENTE</t>
        </is>
      </c>
      <c r="P28" s="10" t="inlineStr">
        <is>
          <t>A_DEFINIR</t>
        </is>
      </c>
      <c r="Q28" s="10" t="inlineStr">
        <is>
          <t>A_DEFINIR</t>
        </is>
      </c>
      <c r="R28" s="10" t="inlineStr">
        <is>
          <t>[]</t>
        </is>
      </c>
      <c r="S28" s="10" t="inlineStr">
        <is>
          <t>[]</t>
        </is>
      </c>
      <c r="T28" s="10" t="inlineStr">
        <is>
          <t>["D13-DOC-GTM-001-EVD"]</t>
        </is>
      </c>
      <c r="U28" s="10" t="inlineStr">
        <is>
          <t>["Drive: D13__*"]</t>
        </is>
      </c>
      <c r="V28" s="10" t="inlineStr">
        <is>
          <t>Executar PF-24 (reconciliação cruzada depends_on/blocks) — NA-03.</t>
        </is>
      </c>
      <c r="W28" s="10" t="inlineStr">
        <is>
          <t>A4</t>
        </is>
      </c>
      <c r="X28" s="10" t="inlineStr">
        <is>
          <t>["D13-DOC-GTM-001"]</t>
        </is>
      </c>
    </row>
    <row r="29">
      <c r="A29" s="10" t="inlineStr">
        <is>
          <t>D14-DOC-PCV-001</t>
        </is>
      </c>
      <c r="B29" s="10" t="inlineStr">
        <is>
          <t>EXECUTAR</t>
        </is>
      </c>
      <c r="C29" s="10" t="n"/>
      <c r="D29" s="10" t="inlineStr">
        <is>
          <t>A01</t>
        </is>
      </c>
      <c r="E29" s="10" t="inlineStr">
        <is>
          <t>D14</t>
        </is>
      </c>
      <c r="F29" s="10" t="n"/>
      <c r="G29" s="10" t="n"/>
      <c r="H29" s="10" t="n"/>
      <c r="I29" s="10" t="inlineStr">
        <is>
          <t>MACRO</t>
        </is>
      </c>
      <c r="J29" s="10" t="n"/>
      <c r="K29" s="10" t="inlineStr">
        <is>
          <t>Plano Comercial e de Vendas</t>
        </is>
      </c>
      <c r="L29" s="10" t="inlineStr">
        <is>
          <t>1.0.0</t>
        </is>
      </c>
      <c r="M29" s="10" t="b">
        <v>1</v>
      </c>
      <c r="N29" s="10" t="inlineStr">
        <is>
          <t>PRE_PREENCHIDO</t>
        </is>
      </c>
      <c r="O29" s="10" t="inlineStr">
        <is>
          <t>PENDENTE</t>
        </is>
      </c>
      <c r="P29" s="10" t="inlineStr">
        <is>
          <t>A_DEFINIR</t>
        </is>
      </c>
      <c r="Q29" s="10" t="inlineStr">
        <is>
          <t>A_DEFINIR</t>
        </is>
      </c>
      <c r="R29" s="10" t="inlineStr">
        <is>
          <t>[]</t>
        </is>
      </c>
      <c r="S29" s="10" t="inlineStr">
        <is>
          <t>[]</t>
        </is>
      </c>
      <c r="T29" s="10" t="inlineStr">
        <is>
          <t>["D14-DOC-PCV-001-EVD"]</t>
        </is>
      </c>
      <c r="U29" s="10" t="inlineStr">
        <is>
          <t>["Drive: D14__*"]</t>
        </is>
      </c>
      <c r="V29" s="10" t="inlineStr">
        <is>
          <t>Executar PF-24 (reconciliação cruzada depends_on/blocks) — NA-03.</t>
        </is>
      </c>
      <c r="W29" s="10" t="inlineStr">
        <is>
          <t>A4</t>
        </is>
      </c>
      <c r="X29" s="10" t="inlineStr">
        <is>
          <t>["D14-DOC-PCV-001"]</t>
        </is>
      </c>
    </row>
    <row r="30">
      <c r="A30" s="10" t="inlineStr">
        <is>
          <t>D15-DOC-PASC-001</t>
        </is>
      </c>
      <c r="B30" s="10" t="inlineStr">
        <is>
          <t>EXECUTAR</t>
        </is>
      </c>
      <c r="C30" s="10" t="n"/>
      <c r="D30" s="10" t="inlineStr">
        <is>
          <t>A01</t>
        </is>
      </c>
      <c r="E30" s="10" t="inlineStr">
        <is>
          <t>D15</t>
        </is>
      </c>
      <c r="F30" s="10" t="n"/>
      <c r="G30" s="10" t="n"/>
      <c r="H30" s="10" t="n"/>
      <c r="I30" s="10" t="inlineStr">
        <is>
          <t>MACRO</t>
        </is>
      </c>
      <c r="J30" s="10" t="n"/>
      <c r="K30" s="10" t="inlineStr">
        <is>
          <t>Plano de Atendimento e Sucesso do Cliente</t>
        </is>
      </c>
      <c r="L30" s="10" t="inlineStr">
        <is>
          <t>1.0.0</t>
        </is>
      </c>
      <c r="M30" s="10" t="b">
        <v>1</v>
      </c>
      <c r="N30" s="10" t="inlineStr">
        <is>
          <t>PRE_PREENCHIDO</t>
        </is>
      </c>
      <c r="O30" s="10" t="inlineStr">
        <is>
          <t>PENDENTE</t>
        </is>
      </c>
      <c r="P30" s="10" t="inlineStr">
        <is>
          <t>A_DEFINIR</t>
        </is>
      </c>
      <c r="Q30" s="10" t="inlineStr">
        <is>
          <t>A_DEFINIR</t>
        </is>
      </c>
      <c r="R30" s="10" t="inlineStr">
        <is>
          <t>[]</t>
        </is>
      </c>
      <c r="S30" s="10" t="inlineStr">
        <is>
          <t>[]</t>
        </is>
      </c>
      <c r="T30" s="10" t="inlineStr">
        <is>
          <t>["D15-DOC-PASC-001-EVD"]</t>
        </is>
      </c>
      <c r="U30" s="10" t="inlineStr">
        <is>
          <t>["Drive: D15__*"]</t>
        </is>
      </c>
      <c r="V30" s="10" t="inlineStr">
        <is>
          <t>Executar PF-24 (reconciliação cruzada depends_on/blocks) — NA-03.</t>
        </is>
      </c>
      <c r="W30" s="10" t="inlineStr">
        <is>
          <t>A4</t>
        </is>
      </c>
      <c r="X30" s="10" t="inlineStr">
        <is>
          <t>["D15-DOC-PASC-001"]</t>
        </is>
      </c>
    </row>
    <row r="31">
      <c r="A31" s="10" t="inlineStr">
        <is>
          <t>D16-DOC-PEM-001</t>
        </is>
      </c>
      <c r="B31" s="10" t="inlineStr">
        <is>
          <t>EXECUTAR</t>
        </is>
      </c>
      <c r="C31" s="10" t="n"/>
      <c r="D31" s="10" t="inlineStr">
        <is>
          <t>A08</t>
        </is>
      </c>
      <c r="E31" s="10" t="inlineStr">
        <is>
          <t>D16</t>
        </is>
      </c>
      <c r="F31" s="10" t="n"/>
      <c r="G31" s="10" t="n"/>
      <c r="H31" s="10" t="n"/>
      <c r="I31" s="10" t="inlineStr">
        <is>
          <t>MACRO</t>
        </is>
      </c>
      <c r="J31" s="10" t="n"/>
      <c r="K31" s="10" t="inlineStr">
        <is>
          <t>Plano Estratégico de Mídias Sociais</t>
        </is>
      </c>
      <c r="L31" s="10" t="inlineStr">
        <is>
          <t>1.0.0</t>
        </is>
      </c>
      <c r="M31" s="10" t="b">
        <v>1</v>
      </c>
      <c r="N31" s="10" t="inlineStr">
        <is>
          <t>PRE_PREENCHIDO</t>
        </is>
      </c>
      <c r="O31" s="10" t="inlineStr">
        <is>
          <t>PENDENTE</t>
        </is>
      </c>
      <c r="P31" s="10" t="inlineStr">
        <is>
          <t>A_DEFINIR</t>
        </is>
      </c>
      <c r="Q31" s="10" t="inlineStr">
        <is>
          <t>A_DEFINIR</t>
        </is>
      </c>
      <c r="R31" s="10" t="inlineStr">
        <is>
          <t>[]</t>
        </is>
      </c>
      <c r="S31" s="10" t="inlineStr">
        <is>
          <t>[]</t>
        </is>
      </c>
      <c r="T31" s="10" t="inlineStr">
        <is>
          <t>["D16-DOC-PEM-001-EVD"]</t>
        </is>
      </c>
      <c r="U31" s="10" t="inlineStr">
        <is>
          <t>["Drive: D16__*"]</t>
        </is>
      </c>
      <c r="V31" s="10" t="inlineStr">
        <is>
          <t>Executar PF-24 (reconciliação cruzada depends_on/blocks) — NA-03.</t>
        </is>
      </c>
      <c r="W31" s="10" t="inlineStr">
        <is>
          <t>A4</t>
        </is>
      </c>
      <c r="X31" s="10" t="inlineStr">
        <is>
          <t>["D16-DOC-PEM-001"]</t>
        </is>
      </c>
    </row>
    <row r="32">
      <c r="A32" s="10" t="inlineStr">
        <is>
          <t>D17-DOC-PEP-001</t>
        </is>
      </c>
      <c r="B32" s="10" t="inlineStr">
        <is>
          <t>EXECUTAR</t>
        </is>
      </c>
      <c r="C32" s="10" t="n"/>
      <c r="D32" s="10" t="inlineStr">
        <is>
          <t>A12</t>
        </is>
      </c>
      <c r="E32" s="10" t="inlineStr">
        <is>
          <t>D17</t>
        </is>
      </c>
      <c r="F32" s="10" t="n"/>
      <c r="G32" s="10" t="n"/>
      <c r="H32" s="10" t="n"/>
      <c r="I32" s="10" t="inlineStr">
        <is>
          <t>MACRO</t>
        </is>
      </c>
      <c r="J32" s="10" t="n"/>
      <c r="K32" s="10" t="inlineStr">
        <is>
          <t>Plano de Emprego e Portfólio</t>
        </is>
      </c>
      <c r="L32" s="10" t="inlineStr">
        <is>
          <t>1.0.0</t>
        </is>
      </c>
      <c r="M32" s="10" t="b">
        <v>1</v>
      </c>
      <c r="N32" s="10" t="inlineStr">
        <is>
          <t>PRE_PREENCHIDO</t>
        </is>
      </c>
      <c r="O32" s="10" t="inlineStr">
        <is>
          <t>PENDENTE</t>
        </is>
      </c>
      <c r="P32" s="10" t="inlineStr">
        <is>
          <t>A_DEFINIR</t>
        </is>
      </c>
      <c r="Q32" s="10" t="inlineStr">
        <is>
          <t>A_DEFINIR</t>
        </is>
      </c>
      <c r="R32" s="10" t="inlineStr">
        <is>
          <t>[]</t>
        </is>
      </c>
      <c r="S32" s="10" t="inlineStr">
        <is>
          <t>[]</t>
        </is>
      </c>
      <c r="T32" s="10" t="inlineStr">
        <is>
          <t>["D17-DOC-PEP-001-EVD"]</t>
        </is>
      </c>
      <c r="U32" s="10" t="inlineStr">
        <is>
          <t>["Drive: D17__*"]</t>
        </is>
      </c>
      <c r="V32" s="10" t="inlineStr">
        <is>
          <t>Executar PF-24 (reconciliação cruzada depends_on/blocks) — NA-03.</t>
        </is>
      </c>
      <c r="W32" s="10" t="inlineStr">
        <is>
          <t>A4</t>
        </is>
      </c>
      <c r="X32" s="10" t="inlineStr">
        <is>
          <t>["D17-DOC-PEP-001"]</t>
        </is>
      </c>
    </row>
    <row r="33">
      <c r="A33" s="10" t="inlineStr">
        <is>
          <t>D18-DOC-PCE-001</t>
        </is>
      </c>
      <c r="B33" s="10" t="inlineStr">
        <is>
          <t>EXECUTAR</t>
        </is>
      </c>
      <c r="C33" s="10" t="n"/>
      <c r="D33" s="10" t="inlineStr">
        <is>
          <t>A00</t>
        </is>
      </c>
      <c r="E33" s="10" t="inlineStr">
        <is>
          <t>D18</t>
        </is>
      </c>
      <c r="F33" s="10" t="n"/>
      <c r="G33" s="10" t="n"/>
      <c r="H33" s="10" t="n"/>
      <c r="I33" s="10" t="inlineStr">
        <is>
          <t>MACRO</t>
        </is>
      </c>
      <c r="J33" s="10" t="n"/>
      <c r="K33" s="10" t="inlineStr">
        <is>
          <t>Plano de Contratos e Esquemas</t>
        </is>
      </c>
      <c r="L33" s="10" t="inlineStr">
        <is>
          <t>1.0.0</t>
        </is>
      </c>
      <c r="M33" s="10" t="b">
        <v>1</v>
      </c>
      <c r="N33" s="10" t="inlineStr">
        <is>
          <t>PRE_PREENCHIDO</t>
        </is>
      </c>
      <c r="O33" s="10" t="inlineStr">
        <is>
          <t>PENDENTE</t>
        </is>
      </c>
      <c r="P33" s="10" t="inlineStr">
        <is>
          <t>A_DEFINIR</t>
        </is>
      </c>
      <c r="Q33" s="10" t="inlineStr">
        <is>
          <t>A_DEFINIR</t>
        </is>
      </c>
      <c r="R33" s="10" t="inlineStr">
        <is>
          <t>[]</t>
        </is>
      </c>
      <c r="S33" s="10" t="inlineStr">
        <is>
          <t>[]</t>
        </is>
      </c>
      <c r="T33" s="10" t="inlineStr">
        <is>
          <t>["D18-DOC-PCE-001-EVD"]</t>
        </is>
      </c>
      <c r="U33" s="10" t="inlineStr">
        <is>
          <t>["Drive: D18__*"]</t>
        </is>
      </c>
      <c r="V33" s="10" t="inlineStr">
        <is>
          <t>Executar PF-24 (reconciliação cruzada depends_on/blocks) — NA-03.</t>
        </is>
      </c>
      <c r="W33" s="10" t="inlineStr">
        <is>
          <t>A4</t>
        </is>
      </c>
      <c r="X33" s="10" t="inlineStr">
        <is>
          <t>["D18-DOC-PCE-001"]</t>
        </is>
      </c>
    </row>
    <row r="34">
      <c r="A34" s="10" t="inlineStr">
        <is>
          <t>D19-DOC-PAC-001</t>
        </is>
      </c>
      <c r="B34" s="10" t="inlineStr">
        <is>
          <t>EXECUTAR</t>
        </is>
      </c>
      <c r="C34" s="10" t="n"/>
      <c r="D34" s="10" t="inlineStr">
        <is>
          <t>A11</t>
        </is>
      </c>
      <c r="E34" s="10" t="inlineStr">
        <is>
          <t>D19</t>
        </is>
      </c>
      <c r="F34" s="10" t="n"/>
      <c r="G34" s="10" t="n"/>
      <c r="H34" s="10" t="n"/>
      <c r="I34" s="10" t="inlineStr">
        <is>
          <t>MACRO</t>
        </is>
      </c>
      <c r="J34" s="10" t="n"/>
      <c r="K34" s="10" t="inlineStr">
        <is>
          <t>Plano de Assets e CTAs</t>
        </is>
      </c>
      <c r="L34" s="10" t="inlineStr">
        <is>
          <t>1.0.0</t>
        </is>
      </c>
      <c r="M34" s="10" t="b">
        <v>1</v>
      </c>
      <c r="N34" s="10" t="inlineStr">
        <is>
          <t>PRE_PREENCHIDO</t>
        </is>
      </c>
      <c r="O34" s="10" t="inlineStr">
        <is>
          <t>PENDENTE</t>
        </is>
      </c>
      <c r="P34" s="10" t="inlineStr">
        <is>
          <t>A_DEFINIR</t>
        </is>
      </c>
      <c r="Q34" s="10" t="inlineStr">
        <is>
          <t>A_DEFINIR</t>
        </is>
      </c>
      <c r="R34" s="10" t="inlineStr">
        <is>
          <t>[]</t>
        </is>
      </c>
      <c r="S34" s="10" t="inlineStr">
        <is>
          <t>[]</t>
        </is>
      </c>
      <c r="T34" s="10" t="inlineStr">
        <is>
          <t>["D19-DOC-PAC-001-EVD"]</t>
        </is>
      </c>
      <c r="U34" s="10" t="inlineStr">
        <is>
          <t>["Drive: D19__*"]</t>
        </is>
      </c>
      <c r="V34" s="10" t="inlineStr">
        <is>
          <t>Executar PF-24 (reconciliação cruzada depends_on/blocks) — NA-03.</t>
        </is>
      </c>
      <c r="W34" s="10" t="inlineStr">
        <is>
          <t>A4</t>
        </is>
      </c>
      <c r="X34" s="10" t="inlineStr">
        <is>
          <t>["D19-DOC-PAC-001"]</t>
        </is>
      </c>
    </row>
    <row r="35">
      <c r="A35" s="10" t="inlineStr">
        <is>
          <t>D20-DOC-PPR-001</t>
        </is>
      </c>
      <c r="B35" s="10" t="inlineStr">
        <is>
          <t>EXECUTAR</t>
        </is>
      </c>
      <c r="C35" s="10" t="n"/>
      <c r="D35" s="10" t="inlineStr">
        <is>
          <t>A11</t>
        </is>
      </c>
      <c r="E35" s="10" t="inlineStr">
        <is>
          <t>D20</t>
        </is>
      </c>
      <c r="F35" s="10" t="n"/>
      <c r="G35" s="10" t="n"/>
      <c r="H35" s="10" t="n"/>
      <c r="I35" s="10" t="inlineStr">
        <is>
          <t>MACRO</t>
        </is>
      </c>
      <c r="J35" s="10" t="n"/>
      <c r="K35" s="10" t="inlineStr">
        <is>
          <t>Plano de Plataformas e Repositórios</t>
        </is>
      </c>
      <c r="L35" s="10" t="inlineStr">
        <is>
          <t>1.0.0</t>
        </is>
      </c>
      <c r="M35" s="10" t="b">
        <v>1</v>
      </c>
      <c r="N35" s="10" t="inlineStr">
        <is>
          <t>PRE_PREENCHIDO</t>
        </is>
      </c>
      <c r="O35" s="10" t="inlineStr">
        <is>
          <t>PENDENTE</t>
        </is>
      </c>
      <c r="P35" s="10" t="inlineStr">
        <is>
          <t>A_DEFINIR</t>
        </is>
      </c>
      <c r="Q35" s="10" t="inlineStr">
        <is>
          <t>A_DEFINIR</t>
        </is>
      </c>
      <c r="R35" s="10" t="inlineStr">
        <is>
          <t>[]</t>
        </is>
      </c>
      <c r="S35" s="10" t="inlineStr">
        <is>
          <t>[]</t>
        </is>
      </c>
      <c r="T35" s="10" t="inlineStr">
        <is>
          <t>["D20-DOC-PPR-001-EVD"]</t>
        </is>
      </c>
      <c r="U35" s="10" t="inlineStr">
        <is>
          <t>["Drive: D20__*"]</t>
        </is>
      </c>
      <c r="V35" s="10" t="inlineStr">
        <is>
          <t>Executar PF-24 (reconciliação cruzada depends_on/blocks) — NA-03.</t>
        </is>
      </c>
      <c r="W35" s="10" t="inlineStr">
        <is>
          <t>A4</t>
        </is>
      </c>
      <c r="X35" s="10" t="inlineStr">
        <is>
          <t>["D20-DOC-PPR-001"]</t>
        </is>
      </c>
    </row>
    <row r="36">
      <c r="A36" s="10" t="inlineStr">
        <is>
          <t>D21-DOC-PWB-001</t>
        </is>
      </c>
      <c r="B36" s="10" t="inlineStr">
        <is>
          <t>EXECUTAR</t>
        </is>
      </c>
      <c r="C36" s="10" t="n"/>
      <c r="D36" s="10" t="inlineStr">
        <is>
          <t>A10</t>
        </is>
      </c>
      <c r="E36" s="10" t="inlineStr">
        <is>
          <t>D21</t>
        </is>
      </c>
      <c r="F36" s="10" t="n"/>
      <c r="G36" s="10" t="n"/>
      <c r="H36" s="10" t="n"/>
      <c r="I36" s="10" t="inlineStr">
        <is>
          <t>MACRO</t>
        </is>
      </c>
      <c r="J36" s="10" t="n"/>
      <c r="K36" s="10" t="inlineStr">
        <is>
          <t>Plano de Workbooks</t>
        </is>
      </c>
      <c r="L36" s="10" t="inlineStr">
        <is>
          <t>1.0.0</t>
        </is>
      </c>
      <c r="M36" s="10" t="b">
        <v>1</v>
      </c>
      <c r="N36" s="10" t="inlineStr">
        <is>
          <t>PRE_PREENCHIDO</t>
        </is>
      </c>
      <c r="O36" s="10" t="inlineStr">
        <is>
          <t>PENDENTE</t>
        </is>
      </c>
      <c r="P36" s="10" t="inlineStr">
        <is>
          <t>A_DEFINIR</t>
        </is>
      </c>
      <c r="Q36" s="10" t="inlineStr">
        <is>
          <t>A_DEFINIR</t>
        </is>
      </c>
      <c r="R36" s="10" t="inlineStr">
        <is>
          <t>[]</t>
        </is>
      </c>
      <c r="S36" s="10" t="inlineStr">
        <is>
          <t>[]</t>
        </is>
      </c>
      <c r="T36" s="10" t="inlineStr">
        <is>
          <t>["D21-DOC-PWB-001-EVD"]</t>
        </is>
      </c>
      <c r="U36" s="10" t="inlineStr">
        <is>
          <t>["Drive: D21__*"]</t>
        </is>
      </c>
      <c r="V36" s="10" t="inlineStr">
        <is>
          <t>Executar PF-24 (reconciliação cruzada depends_on/blocks) — NA-03.</t>
        </is>
      </c>
      <c r="W36" s="10" t="inlineStr">
        <is>
          <t>A4</t>
        </is>
      </c>
      <c r="X36" s="10" t="inlineStr">
        <is>
          <t>["D21-DOC-PWB-001"]</t>
        </is>
      </c>
    </row>
    <row r="37">
      <c r="A37" s="10" t="inlineStr">
        <is>
          <t>D22-DOC-DRL-001</t>
        </is>
      </c>
      <c r="B37" s="10" t="inlineStr">
        <is>
          <t>EXECUTAR</t>
        </is>
      </c>
      <c r="C37" s="10" t="n"/>
      <c r="D37" s="10" t="inlineStr">
        <is>
          <t>A10</t>
        </is>
      </c>
      <c r="E37" s="10" t="inlineStr">
        <is>
          <t>D22</t>
        </is>
      </c>
      <c r="F37" s="10" t="n"/>
      <c r="G37" s="10" t="n"/>
      <c r="H37" s="10" t="n"/>
      <c r="I37" s="10" t="inlineStr">
        <is>
          <t>MACRO</t>
        </is>
      </c>
      <c r="J37" s="10" t="n"/>
      <c r="K37" s="10" t="inlineStr">
        <is>
          <t>Decision and Register Log do Ecossistema</t>
        </is>
      </c>
      <c r="L37" s="10" t="inlineStr">
        <is>
          <t>1.0.0</t>
        </is>
      </c>
      <c r="M37" s="10" t="b">
        <v>1</v>
      </c>
      <c r="N37" s="10" t="inlineStr">
        <is>
          <t>PRE_PREENCHIDO</t>
        </is>
      </c>
      <c r="O37" s="10" t="inlineStr">
        <is>
          <t>PENDENTE</t>
        </is>
      </c>
      <c r="P37" s="10" t="inlineStr">
        <is>
          <t>A_DEFINIR</t>
        </is>
      </c>
      <c r="Q37" s="10" t="inlineStr">
        <is>
          <t>A_DEFINIR</t>
        </is>
      </c>
      <c r="R37" s="10" t="inlineStr">
        <is>
          <t>[]</t>
        </is>
      </c>
      <c r="S37" s="10" t="inlineStr">
        <is>
          <t>[]</t>
        </is>
      </c>
      <c r="T37" s="10" t="inlineStr">
        <is>
          <t>["D22-DOC-DRL-001-EVD"]</t>
        </is>
      </c>
      <c r="U37" s="10" t="inlineStr">
        <is>
          <t>["Drive: D22__*"]</t>
        </is>
      </c>
      <c r="V37" s="10" t="inlineStr">
        <is>
          <t>Executar PF-24 (reconciliação cruzada depends_on/blocks) — NA-03.</t>
        </is>
      </c>
      <c r="W37" s="10" t="inlineStr">
        <is>
          <t>A4</t>
        </is>
      </c>
      <c r="X37" s="10" t="inlineStr">
        <is>
          <t>["D22-DOC-DRL-001"]</t>
        </is>
      </c>
    </row>
    <row r="38">
      <c r="A38" s="10" t="inlineStr">
        <is>
          <t>D23-DOC-PBL-001</t>
        </is>
      </c>
      <c r="B38" s="10" t="inlineStr">
        <is>
          <t>EXECUTAR</t>
        </is>
      </c>
      <c r="C38" s="10" t="n"/>
      <c r="D38" s="10" t="inlineStr">
        <is>
          <t>A10</t>
        </is>
      </c>
      <c r="E38" s="10" t="inlineStr">
        <is>
          <t>D23</t>
        </is>
      </c>
      <c r="F38" s="10" t="n"/>
      <c r="G38" s="10" t="n"/>
      <c r="H38" s="10" t="n"/>
      <c r="I38" s="10" t="inlineStr">
        <is>
          <t>MACRO</t>
        </is>
      </c>
      <c r="J38" s="10" t="n"/>
      <c r="K38" s="10" t="inlineStr">
        <is>
          <t>Plano de Blueprints</t>
        </is>
      </c>
      <c r="L38" s="10" t="inlineStr">
        <is>
          <t>1.0.0</t>
        </is>
      </c>
      <c r="M38" s="10" t="b">
        <v>1</v>
      </c>
      <c r="N38" s="10" t="inlineStr">
        <is>
          <t>PRE_PREENCHIDO</t>
        </is>
      </c>
      <c r="O38" s="10" t="inlineStr">
        <is>
          <t>PENDENTE</t>
        </is>
      </c>
      <c r="P38" s="10" t="inlineStr">
        <is>
          <t>A_DEFINIR</t>
        </is>
      </c>
      <c r="Q38" s="10" t="inlineStr">
        <is>
          <t>A_DEFINIR</t>
        </is>
      </c>
      <c r="R38" s="10" t="inlineStr">
        <is>
          <t>[]</t>
        </is>
      </c>
      <c r="S38" s="10" t="inlineStr">
        <is>
          <t>[]</t>
        </is>
      </c>
      <c r="T38" s="10" t="inlineStr">
        <is>
          <t>["D23-DOC-PBL-001-EVD"]</t>
        </is>
      </c>
      <c r="U38" s="10" t="inlineStr">
        <is>
          <t>["Drive: D23__*"]</t>
        </is>
      </c>
      <c r="V38" s="10" t="inlineStr">
        <is>
          <t>Executar PF-24 (reconciliação cruzada depends_on/blocks) — NA-03.</t>
        </is>
      </c>
      <c r="W38" s="10" t="inlineStr">
        <is>
          <t>A4</t>
        </is>
      </c>
      <c r="X38" s="10" t="inlineStr">
        <is>
          <t>["D23-DOC-PBL-001"]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126"/>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22" customWidth="1" min="3" max="3"/>
    <col width="28" customWidth="1" min="4" max="4"/>
    <col width="55" customWidth="1" min="5" max="5"/>
    <col width="12" customWidth="1" min="6" max="6"/>
    <col width="12" customWidth="1" min="7" max="7"/>
    <col width="12" customWidth="1" min="8" max="8"/>
    <col width="12" customWidth="1" min="9" max="9"/>
    <col width="19" customWidth="1" min="10" max="10"/>
    <col width="17" customWidth="1" min="11" max="11"/>
    <col width="12" customWidth="1" min="12" max="12"/>
    <col width="60" customWidth="1" min="13" max="13"/>
  </cols>
  <sheetData>
    <row r="1">
      <c r="A1" s="5" t="inlineStr">
        <is>
          <t>field_instance_id</t>
        </is>
      </c>
      <c r="B1" s="5" t="inlineStr">
        <is>
          <t>artifact_id</t>
        </is>
      </c>
      <c r="C1" s="5" t="inlineStr">
        <is>
          <t>section_id</t>
        </is>
      </c>
      <c r="D1" s="5" t="inlineStr">
        <is>
          <t>label</t>
        </is>
      </c>
      <c r="E1" s="5" t="inlineStr">
        <is>
          <t>instruction</t>
        </is>
      </c>
      <c r="F1" s="5" t="inlineStr">
        <is>
          <t>value</t>
        </is>
      </c>
      <c r="G1" s="5" t="inlineStr">
        <is>
          <t>required</t>
        </is>
      </c>
      <c r="H1" s="5" t="inlineStr">
        <is>
          <t>editable</t>
        </is>
      </c>
      <c r="I1" s="5" t="inlineStr">
        <is>
          <t>status</t>
        </is>
      </c>
      <c r="J1" s="5" t="inlineStr">
        <is>
          <t>epistemic_class</t>
        </is>
      </c>
      <c r="K1" s="5" t="inlineStr">
        <is>
          <t>evidence_status</t>
        </is>
      </c>
      <c r="L1" s="5" t="inlineStr">
        <is>
          <t>confidence</t>
        </is>
      </c>
      <c r="M1" s="5" t="inlineStr">
        <is>
          <t>legacy_ids</t>
        </is>
      </c>
    </row>
    <row r="2">
      <c r="A2" s="10" t="inlineStr">
        <is>
          <t>D01-DOC-DDE-001.IDENTITY.NOME_DO_ECOSSISTEMA</t>
        </is>
      </c>
      <c r="B2" s="10" t="inlineStr">
        <is>
          <t>D01-DOC-DDE-001</t>
        </is>
      </c>
      <c r="C2" s="10" t="inlineStr">
        <is>
          <t>D01-DOC-DDE-001-T01</t>
        </is>
      </c>
      <c r="D2" s="10" t="inlineStr">
        <is>
          <t>nome_do_ecossistema</t>
        </is>
      </c>
      <c r="E2" s="10" t="inlineStr">
        <is>
          <t>Definir, validar e manter: Nome Do Ecossistema</t>
        </is>
      </c>
      <c r="F2" s="10" t="n"/>
      <c r="G2" s="10" t="b">
        <v>1</v>
      </c>
      <c r="H2" s="10" t="b">
        <v>1</v>
      </c>
      <c r="I2" s="10" t="inlineStr">
        <is>
          <t>FOUND</t>
        </is>
      </c>
      <c r="J2" s="10" t="inlineStr">
        <is>
          <t>DIRECT</t>
        </is>
      </c>
      <c r="K2" s="10" t="inlineStr">
        <is>
          <t>FOUND</t>
        </is>
      </c>
      <c r="L2" s="10" t="inlineStr">
        <is>
          <t>alta</t>
        </is>
      </c>
      <c r="M2" s="10" t="inlineStr">
        <is>
          <t>["D01-DOC-DDE-001.IDENTITY.NOME_DO_ECOSSISTEMA"]</t>
        </is>
      </c>
    </row>
    <row r="3">
      <c r="A3" s="10" t="inlineStr">
        <is>
          <t>D01-DOC-DDE-001.IDENTITY.DESCRICAO_EXECUTIVA</t>
        </is>
      </c>
      <c r="B3" s="10" t="inlineStr">
        <is>
          <t>D01-DOC-DDE-001</t>
        </is>
      </c>
      <c r="C3" s="10" t="inlineStr">
        <is>
          <t>D01-DOC-DDE-001-T01</t>
        </is>
      </c>
      <c r="D3" s="10" t="inlineStr">
        <is>
          <t>descricao_executiva</t>
        </is>
      </c>
      <c r="E3" s="10" t="inlineStr">
        <is>
          <t>Definir, validar e manter: Descricao Executiva</t>
        </is>
      </c>
      <c r="F3" s="10" t="n"/>
      <c r="G3" s="10" t="b">
        <v>1</v>
      </c>
      <c r="H3" s="10" t="b">
        <v>1</v>
      </c>
      <c r="I3" s="10" t="inlineStr">
        <is>
          <t>DERIVED</t>
        </is>
      </c>
      <c r="J3" s="10" t="inlineStr">
        <is>
          <t>PROPOSED</t>
        </is>
      </c>
      <c r="K3" s="10" t="inlineStr">
        <is>
          <t>DERIVED</t>
        </is>
      </c>
      <c r="L3" s="10" t="inlineStr">
        <is>
          <t>baixa</t>
        </is>
      </c>
      <c r="M3" s="10" t="inlineStr">
        <is>
          <t>["D01-DOC-DDE-001.IDENTITY.DESCRICAO_EXECUTIVA"]</t>
        </is>
      </c>
    </row>
    <row r="4">
      <c r="A4" s="10" t="inlineStr">
        <is>
          <t>D01-DOC-DDE-001.IDENTITY.CONTEXTO</t>
        </is>
      </c>
      <c r="B4" s="10" t="inlineStr">
        <is>
          <t>D01-DOC-DDE-001</t>
        </is>
      </c>
      <c r="C4" s="10" t="inlineStr">
        <is>
          <t>D01-DOC-DDE-001-T01</t>
        </is>
      </c>
      <c r="D4" s="10" t="inlineStr">
        <is>
          <t>contexto</t>
        </is>
      </c>
      <c r="E4" s="10" t="inlineStr">
        <is>
          <t>Definir, validar e manter: Contexto</t>
        </is>
      </c>
      <c r="F4" s="10" t="n"/>
      <c r="G4" s="10" t="b">
        <v>1</v>
      </c>
      <c r="H4" s="10" t="b">
        <v>1</v>
      </c>
      <c r="I4" s="10" t="inlineStr">
        <is>
          <t>DERIVED</t>
        </is>
      </c>
      <c r="J4" s="10" t="inlineStr">
        <is>
          <t>PROPOSED</t>
        </is>
      </c>
      <c r="K4" s="10" t="inlineStr">
        <is>
          <t>DERIVED</t>
        </is>
      </c>
      <c r="L4" s="10" t="inlineStr">
        <is>
          <t>baixa</t>
        </is>
      </c>
      <c r="M4" s="10" t="inlineStr">
        <is>
          <t>["D01-DOC-DDE-001.IDENTITY.CONTEXTO"]</t>
        </is>
      </c>
    </row>
    <row r="5">
      <c r="A5" s="10" t="inlineStr">
        <is>
          <t>D01-DOC-DDE-001.IDENTITY.RAZAO_DE_EXISTENCIA</t>
        </is>
      </c>
      <c r="B5" s="10" t="inlineStr">
        <is>
          <t>D01-DOC-DDE-001</t>
        </is>
      </c>
      <c r="C5" s="10" t="inlineStr">
        <is>
          <t>D01-DOC-DDE-001-T01</t>
        </is>
      </c>
      <c r="D5" s="10" t="inlineStr">
        <is>
          <t>razao_de_existencia</t>
        </is>
      </c>
      <c r="E5" s="10" t="inlineStr">
        <is>
          <t>Definir, validar e manter: Razao De Existencia</t>
        </is>
      </c>
      <c r="F5" s="10" t="n"/>
      <c r="G5" s="10" t="b">
        <v>1</v>
      </c>
      <c r="H5" s="10" t="b">
        <v>1</v>
      </c>
      <c r="I5" s="10" t="inlineStr">
        <is>
          <t>DERIVED</t>
        </is>
      </c>
      <c r="J5" s="10" t="inlineStr">
        <is>
          <t>PROPOSED</t>
        </is>
      </c>
      <c r="K5" s="10" t="inlineStr">
        <is>
          <t>DERIVED</t>
        </is>
      </c>
      <c r="L5" s="10" t="inlineStr">
        <is>
          <t>baixa</t>
        </is>
      </c>
      <c r="M5" s="10" t="inlineStr">
        <is>
          <t>["D01-DOC-DDE-001.IDENTITY.RAZAO_DE_EXISTENCIA"]</t>
        </is>
      </c>
    </row>
    <row r="6">
      <c r="A6" s="10" t="inlineStr">
        <is>
          <t>D01-DOC-DDE-001.IDENTITY.FASE_ATUAL</t>
        </is>
      </c>
      <c r="B6" s="10" t="inlineStr">
        <is>
          <t>D01-DOC-DDE-001</t>
        </is>
      </c>
      <c r="C6" s="10" t="inlineStr">
        <is>
          <t>D01-DOC-DDE-001-T01</t>
        </is>
      </c>
      <c r="D6" s="10" t="inlineStr">
        <is>
          <t>fase_atual</t>
        </is>
      </c>
      <c r="E6" s="10" t="inlineStr">
        <is>
          <t>Definir, validar e manter: Fase Atual</t>
        </is>
      </c>
      <c r="F6" s="10" t="n"/>
      <c r="G6" s="10" t="b">
        <v>1</v>
      </c>
      <c r="H6" s="10" t="b">
        <v>1</v>
      </c>
      <c r="I6" s="10" t="inlineStr">
        <is>
          <t>DERIVED</t>
        </is>
      </c>
      <c r="J6" s="10" t="inlineStr">
        <is>
          <t>PROPOSED</t>
        </is>
      </c>
      <c r="K6" s="10" t="inlineStr">
        <is>
          <t>DERIVED</t>
        </is>
      </c>
      <c r="L6" s="10" t="inlineStr">
        <is>
          <t>baixa</t>
        </is>
      </c>
      <c r="M6" s="10" t="inlineStr">
        <is>
          <t>["D01-DOC-DDE-001.IDENTITY.FASE_ATUAL"]</t>
        </is>
      </c>
    </row>
    <row r="7">
      <c r="A7" s="10" t="inlineStr">
        <is>
          <t>D01-DOC-DDE-001.PROBLEM_AND_OPPORTUNITY.PROBLEMA_CENTRAL</t>
        </is>
      </c>
      <c r="B7" s="10" t="inlineStr">
        <is>
          <t>D01-DOC-DDE-001</t>
        </is>
      </c>
      <c r="C7" s="10" t="inlineStr">
        <is>
          <t>D01-DOC-DDE-001-T02</t>
        </is>
      </c>
      <c r="D7" s="10" t="inlineStr">
        <is>
          <t>problema_central</t>
        </is>
      </c>
      <c r="E7" s="10" t="inlineStr">
        <is>
          <t>Definir, validar e manter: Problema Central</t>
        </is>
      </c>
      <c r="F7" s="10" t="n"/>
      <c r="G7" s="10" t="b">
        <v>1</v>
      </c>
      <c r="H7" s="10" t="b">
        <v>1</v>
      </c>
      <c r="I7" s="10" t="inlineStr">
        <is>
          <t>DERIVED</t>
        </is>
      </c>
      <c r="J7" s="10" t="inlineStr">
        <is>
          <t>PROPOSED</t>
        </is>
      </c>
      <c r="K7" s="10" t="inlineStr">
        <is>
          <t>DERIVED</t>
        </is>
      </c>
      <c r="L7" s="10" t="inlineStr">
        <is>
          <t>baixa</t>
        </is>
      </c>
      <c r="M7" s="10" t="inlineStr">
        <is>
          <t>["D01-DOC-DDE-001.PROBLEM_AND_OPPORTUNITY.PROBLEMA_CENTRAL"]</t>
        </is>
      </c>
    </row>
    <row r="8">
      <c r="A8" s="10" t="inlineStr">
        <is>
          <t>D01-DOC-DDE-001.PROBLEM_AND_OPPORTUNITY.PROBLEMAS_SECUNDARIOS</t>
        </is>
      </c>
      <c r="B8" s="10" t="inlineStr">
        <is>
          <t>D01-DOC-DDE-001</t>
        </is>
      </c>
      <c r="C8" s="10" t="inlineStr">
        <is>
          <t>D01-DOC-DDE-001-T02</t>
        </is>
      </c>
      <c r="D8" s="10" t="inlineStr">
        <is>
          <t>problemas_secundarios</t>
        </is>
      </c>
      <c r="E8" s="10" t="inlineStr">
        <is>
          <t>Definir, validar e manter: Problemas Secundarios</t>
        </is>
      </c>
      <c r="F8" s="10" t="n"/>
      <c r="G8" s="10" t="b">
        <v>1</v>
      </c>
      <c r="H8" s="10" t="b">
        <v>1</v>
      </c>
      <c r="I8" s="10" t="inlineStr">
        <is>
          <t>DERIVED</t>
        </is>
      </c>
      <c r="J8" s="10" t="inlineStr">
        <is>
          <t>PROPOSED</t>
        </is>
      </c>
      <c r="K8" s="10" t="inlineStr">
        <is>
          <t>DERIVED</t>
        </is>
      </c>
      <c r="L8" s="10" t="inlineStr">
        <is>
          <t>baixa</t>
        </is>
      </c>
      <c r="M8" s="10" t="inlineStr">
        <is>
          <t>["D01-DOC-DDE-001.PROBLEM_AND_OPPORTUNITY.PROBLEMAS_SECUNDARIOS"]</t>
        </is>
      </c>
    </row>
    <row r="9">
      <c r="A9" s="10" t="inlineStr">
        <is>
          <t>D01-DOC-DDE-001.PROBLEM_AND_OPPORTUNITY.OPORTUNIDADE</t>
        </is>
      </c>
      <c r="B9" s="10" t="inlineStr">
        <is>
          <t>D01-DOC-DDE-001</t>
        </is>
      </c>
      <c r="C9" s="10" t="inlineStr">
        <is>
          <t>D01-DOC-DDE-001-T02</t>
        </is>
      </c>
      <c r="D9" s="10" t="inlineStr">
        <is>
          <t>oportunidade</t>
        </is>
      </c>
      <c r="E9" s="10" t="inlineStr">
        <is>
          <t>Definir, validar e manter: Oportunidade</t>
        </is>
      </c>
      <c r="F9" s="10" t="n"/>
      <c r="G9" s="10" t="b">
        <v>1</v>
      </c>
      <c r="H9" s="10" t="b">
        <v>1</v>
      </c>
      <c r="I9" s="10" t="inlineStr">
        <is>
          <t>DERIVED</t>
        </is>
      </c>
      <c r="J9" s="10" t="inlineStr">
        <is>
          <t>PROPOSED</t>
        </is>
      </c>
      <c r="K9" s="10" t="inlineStr">
        <is>
          <t>DERIVED</t>
        </is>
      </c>
      <c r="L9" s="10" t="inlineStr">
        <is>
          <t>baixa</t>
        </is>
      </c>
      <c r="M9" s="10" t="inlineStr">
        <is>
          <t>["D01-DOC-DDE-001.PROBLEM_AND_OPPORTUNITY.OPORTUNIDADE"]</t>
        </is>
      </c>
    </row>
    <row r="10">
      <c r="A10" s="10" t="inlineStr">
        <is>
          <t>D01-DOC-DDE-001.PROBLEM_AND_OPPORTUNITY.EVIDENCIAS_DO_PROBLEMA</t>
        </is>
      </c>
      <c r="B10" s="10" t="inlineStr">
        <is>
          <t>D01-DOC-DDE-001</t>
        </is>
      </c>
      <c r="C10" s="10" t="inlineStr">
        <is>
          <t>D01-DOC-DDE-001-T02</t>
        </is>
      </c>
      <c r="D10" s="10" t="inlineStr">
        <is>
          <t>evidencias_do_problema</t>
        </is>
      </c>
      <c r="E10" s="10" t="inlineStr">
        <is>
          <t>Definir, validar e manter: Evidencias Do Problema</t>
        </is>
      </c>
      <c r="F10" s="10" t="n"/>
      <c r="G10" s="10" t="b">
        <v>1</v>
      </c>
      <c r="H10" s="10" t="b">
        <v>1</v>
      </c>
      <c r="I10" s="10" t="inlineStr">
        <is>
          <t>DERIVED</t>
        </is>
      </c>
      <c r="J10" s="10" t="inlineStr">
        <is>
          <t>PROPOSED</t>
        </is>
      </c>
      <c r="K10" s="10" t="inlineStr">
        <is>
          <t>DERIVED</t>
        </is>
      </c>
      <c r="L10" s="10" t="inlineStr">
        <is>
          <t>baixa</t>
        </is>
      </c>
      <c r="M10" s="10" t="inlineStr">
        <is>
          <t>["D01-DOC-DDE-001.PROBLEM_AND_OPPORTUNITY.EVIDENCIAS_DO_PROBLEMA"]</t>
        </is>
      </c>
    </row>
    <row r="11">
      <c r="A11" s="10" t="inlineStr">
        <is>
          <t>D01-DOC-DDE-001.PURPOSE.PROPOSITO</t>
        </is>
      </c>
      <c r="B11" s="10" t="inlineStr">
        <is>
          <t>D01-DOC-DDE-001</t>
        </is>
      </c>
      <c r="C11" s="10" t="inlineStr">
        <is>
          <t>D01-DOC-DDE-001-T03</t>
        </is>
      </c>
      <c r="D11" s="10" t="inlineStr">
        <is>
          <t>proposito</t>
        </is>
      </c>
      <c r="E11" s="10" t="inlineStr">
        <is>
          <t>Definir, validar e manter: Proposito</t>
        </is>
      </c>
      <c r="F11" s="10" t="n"/>
      <c r="G11" s="10" t="b">
        <v>1</v>
      </c>
      <c r="H11" s="10" t="b">
        <v>1</v>
      </c>
      <c r="I11" s="10" t="inlineStr">
        <is>
          <t>DERIVED</t>
        </is>
      </c>
      <c r="J11" s="10" t="inlineStr">
        <is>
          <t>PROPOSED</t>
        </is>
      </c>
      <c r="K11" s="10" t="inlineStr">
        <is>
          <t>DERIVED</t>
        </is>
      </c>
      <c r="L11" s="10" t="inlineStr">
        <is>
          <t>baixa</t>
        </is>
      </c>
      <c r="M11" s="10" t="inlineStr">
        <is>
          <t>["D01-DOC-DDE-001.PURPOSE.PROPOSITO"]</t>
        </is>
      </c>
    </row>
    <row r="12">
      <c r="A12" s="10" t="inlineStr">
        <is>
          <t>D01-DOC-DDE-001.PURPOSE.MISSAO</t>
        </is>
      </c>
      <c r="B12" s="10" t="inlineStr">
        <is>
          <t>D01-DOC-DDE-001</t>
        </is>
      </c>
      <c r="C12" s="10" t="inlineStr">
        <is>
          <t>D01-DOC-DDE-001-T03</t>
        </is>
      </c>
      <c r="D12" s="10" t="inlineStr">
        <is>
          <t>missao</t>
        </is>
      </c>
      <c r="E12" s="10" t="inlineStr">
        <is>
          <t>Definir, validar e manter: Missao</t>
        </is>
      </c>
      <c r="F12" s="10" t="n"/>
      <c r="G12" s="10" t="b">
        <v>1</v>
      </c>
      <c r="H12" s="10" t="b">
        <v>1</v>
      </c>
      <c r="I12" s="10" t="inlineStr">
        <is>
          <t>DERIVED</t>
        </is>
      </c>
      <c r="J12" s="10" t="inlineStr">
        <is>
          <t>PROPOSED</t>
        </is>
      </c>
      <c r="K12" s="10" t="inlineStr">
        <is>
          <t>DERIVED</t>
        </is>
      </c>
      <c r="L12" s="10" t="inlineStr">
        <is>
          <t>baixa</t>
        </is>
      </c>
      <c r="M12" s="10" t="inlineStr">
        <is>
          <t>["D01-DOC-DDE-001.PURPOSE.MISSAO"]</t>
        </is>
      </c>
    </row>
    <row r="13">
      <c r="A13" s="10" t="inlineStr">
        <is>
          <t>D01-DOC-DDE-001.PURPOSE.VISAO</t>
        </is>
      </c>
      <c r="B13" s="10" t="inlineStr">
        <is>
          <t>D01-DOC-DDE-001</t>
        </is>
      </c>
      <c r="C13" s="10" t="inlineStr">
        <is>
          <t>D01-DOC-DDE-001-T03</t>
        </is>
      </c>
      <c r="D13" s="10" t="inlineStr">
        <is>
          <t>visao</t>
        </is>
      </c>
      <c r="E13" s="10" t="inlineStr">
        <is>
          <t>Definir, validar e manter: Visao</t>
        </is>
      </c>
      <c r="F13" s="10" t="n"/>
      <c r="G13" s="10" t="b">
        <v>1</v>
      </c>
      <c r="H13" s="10" t="b">
        <v>1</v>
      </c>
      <c r="I13" s="10" t="inlineStr">
        <is>
          <t>DERIVED</t>
        </is>
      </c>
      <c r="J13" s="10" t="inlineStr">
        <is>
          <t>PROPOSED</t>
        </is>
      </c>
      <c r="K13" s="10" t="inlineStr">
        <is>
          <t>DERIVED</t>
        </is>
      </c>
      <c r="L13" s="10" t="inlineStr">
        <is>
          <t>baixa</t>
        </is>
      </c>
      <c r="M13" s="10" t="inlineStr">
        <is>
          <t>["D01-DOC-DDE-001.PURPOSE.VISAO"]</t>
        </is>
      </c>
    </row>
    <row r="14">
      <c r="A14" s="10" t="inlineStr">
        <is>
          <t>D01-DOC-DDE-001.PURPOSE.PRINCIPIOS</t>
        </is>
      </c>
      <c r="B14" s="10" t="inlineStr">
        <is>
          <t>D01-DOC-DDE-001</t>
        </is>
      </c>
      <c r="C14" s="10" t="inlineStr">
        <is>
          <t>D01-DOC-DDE-001-T03</t>
        </is>
      </c>
      <c r="D14" s="10" t="inlineStr">
        <is>
          <t>principios</t>
        </is>
      </c>
      <c r="E14" s="10" t="inlineStr">
        <is>
          <t>Definir, validar e manter: Principios</t>
        </is>
      </c>
      <c r="F14" s="10" t="n"/>
      <c r="G14" s="10" t="b">
        <v>1</v>
      </c>
      <c r="H14" s="10" t="b">
        <v>1</v>
      </c>
      <c r="I14" s="10" t="inlineStr">
        <is>
          <t>FOUND</t>
        </is>
      </c>
      <c r="J14" s="10" t="inlineStr">
        <is>
          <t>DIRECT</t>
        </is>
      </c>
      <c r="K14" s="10" t="inlineStr">
        <is>
          <t>FOUND</t>
        </is>
      </c>
      <c r="L14" s="10" t="inlineStr">
        <is>
          <t>alta</t>
        </is>
      </c>
      <c r="M14" s="10" t="inlineStr">
        <is>
          <t>["D01-DOC-DDE-001.PURPOSE.PRINCIPIOS"]</t>
        </is>
      </c>
    </row>
    <row r="15">
      <c r="A15" s="10" t="inlineStr">
        <is>
          <t>D01-DOC-DDE-001.PURPOSE.VALORES</t>
        </is>
      </c>
      <c r="B15" s="10" t="inlineStr">
        <is>
          <t>D01-DOC-DDE-001</t>
        </is>
      </c>
      <c r="C15" s="10" t="inlineStr">
        <is>
          <t>D01-DOC-DDE-001-T03</t>
        </is>
      </c>
      <c r="D15" s="10" t="inlineStr">
        <is>
          <t>valores</t>
        </is>
      </c>
      <c r="E15" s="10" t="inlineStr">
        <is>
          <t>Definir, validar e manter: Valores</t>
        </is>
      </c>
      <c r="F15" s="10" t="n"/>
      <c r="G15" s="10" t="b">
        <v>1</v>
      </c>
      <c r="H15" s="10" t="b">
        <v>1</v>
      </c>
      <c r="I15" s="10" t="inlineStr">
        <is>
          <t>DERIVED</t>
        </is>
      </c>
      <c r="J15" s="10" t="inlineStr">
        <is>
          <t>PROPOSED</t>
        </is>
      </c>
      <c r="K15" s="10" t="inlineStr">
        <is>
          <t>DERIVED</t>
        </is>
      </c>
      <c r="L15" s="10" t="inlineStr">
        <is>
          <t>baixa</t>
        </is>
      </c>
      <c r="M15" s="10" t="inlineStr">
        <is>
          <t>["D01-DOC-DDE-001.PURPOSE.VALORES"]</t>
        </is>
      </c>
    </row>
    <row r="16">
      <c r="A16" s="10" t="inlineStr">
        <is>
          <t>D01-DOC-DDE-001.STRATEGIC_DIRECTION.OBJETIVOS_ESTRATEGICOS</t>
        </is>
      </c>
      <c r="B16" s="10" t="inlineStr">
        <is>
          <t>D01-DOC-DDE-001</t>
        </is>
      </c>
      <c r="C16" s="10" t="inlineStr">
        <is>
          <t>D01-DOC-DDE-001-T04</t>
        </is>
      </c>
      <c r="D16" s="10" t="inlineStr">
        <is>
          <t>objetivos_estrategicos</t>
        </is>
      </c>
      <c r="E16" s="10" t="inlineStr">
        <is>
          <t>Definir, validar e manter: Objetivos Estrategicos</t>
        </is>
      </c>
      <c r="F16" s="10" t="n"/>
      <c r="G16" s="10" t="b">
        <v>1</v>
      </c>
      <c r="H16" s="10" t="b">
        <v>1</v>
      </c>
      <c r="I16" s="10" t="inlineStr">
        <is>
          <t>FOUND</t>
        </is>
      </c>
      <c r="J16" s="10" t="inlineStr">
        <is>
          <t>DIRECT</t>
        </is>
      </c>
      <c r="K16" s="10" t="inlineStr">
        <is>
          <t>FOUND</t>
        </is>
      </c>
      <c r="L16" s="10" t="inlineStr">
        <is>
          <t>alta</t>
        </is>
      </c>
      <c r="M16" s="10" t="inlineStr">
        <is>
          <t>["D01-DOC-DDE-001.STRATEGIC_DIRECTION.OBJETIVOS_ESTRATEGICOS"]</t>
        </is>
      </c>
    </row>
    <row r="17">
      <c r="A17" s="10" t="inlineStr">
        <is>
          <t>D01-DOC-DDE-001.STRATEGIC_DIRECTION.RESULTADOS_ESPERADOS</t>
        </is>
      </c>
      <c r="B17" s="10" t="inlineStr">
        <is>
          <t>D01-DOC-DDE-001</t>
        </is>
      </c>
      <c r="C17" s="10" t="inlineStr">
        <is>
          <t>D01-DOC-DDE-001-T04</t>
        </is>
      </c>
      <c r="D17" s="10" t="inlineStr">
        <is>
          <t>resultados_esperados</t>
        </is>
      </c>
      <c r="E17" s="10" t="inlineStr">
        <is>
          <t>Definir, validar e manter: Resultados Esperados</t>
        </is>
      </c>
      <c r="F17" s="10" t="n"/>
      <c r="G17" s="10" t="b">
        <v>1</v>
      </c>
      <c r="H17" s="10" t="b">
        <v>1</v>
      </c>
      <c r="I17" s="10" t="inlineStr">
        <is>
          <t>DERIVED</t>
        </is>
      </c>
      <c r="J17" s="10" t="inlineStr">
        <is>
          <t>PROPOSED</t>
        </is>
      </c>
      <c r="K17" s="10" t="inlineStr">
        <is>
          <t>DERIVED</t>
        </is>
      </c>
      <c r="L17" s="10" t="inlineStr">
        <is>
          <t>baixa</t>
        </is>
      </c>
      <c r="M17" s="10" t="inlineStr">
        <is>
          <t>["D01-DOC-DDE-001.STRATEGIC_DIRECTION.RESULTADOS_ESPERADOS"]</t>
        </is>
      </c>
    </row>
    <row r="18">
      <c r="A18" s="10" t="inlineStr">
        <is>
          <t>D01-DOC-DDE-001.STRATEGIC_DIRECTION.PRIORIDADES</t>
        </is>
      </c>
      <c r="B18" s="10" t="inlineStr">
        <is>
          <t>D01-DOC-DDE-001</t>
        </is>
      </c>
      <c r="C18" s="10" t="inlineStr">
        <is>
          <t>D01-DOC-DDE-001-T04</t>
        </is>
      </c>
      <c r="D18" s="10" t="inlineStr">
        <is>
          <t>prioridades</t>
        </is>
      </c>
      <c r="E18" s="10" t="inlineStr">
        <is>
          <t>Definir, validar e manter: Prioridades</t>
        </is>
      </c>
      <c r="F18" s="10" t="n"/>
      <c r="G18" s="10" t="b">
        <v>1</v>
      </c>
      <c r="H18" s="10" t="b">
        <v>1</v>
      </c>
      <c r="I18" s="10" t="inlineStr">
        <is>
          <t>EXTERNAL</t>
        </is>
      </c>
      <c r="J18" s="10" t="inlineStr">
        <is>
          <t>EXTERNAL_EVIDENCE</t>
        </is>
      </c>
      <c r="K18" s="10" t="inlineStr">
        <is>
          <t>EXTERNAL</t>
        </is>
      </c>
      <c r="L18" s="10" t="inlineStr">
        <is>
          <t>media</t>
        </is>
      </c>
      <c r="M18" s="10" t="inlineStr">
        <is>
          <t>["D01-DOC-DDE-001.STRATEGIC_DIRECTION.PRIORIDADES"]</t>
        </is>
      </c>
    </row>
    <row r="19">
      <c r="A19" s="10" t="inlineStr">
        <is>
          <t>D01-DOC-DDE-001.STRATEGIC_DIRECTION.NAO_OBJETIVOS</t>
        </is>
      </c>
      <c r="B19" s="10" t="inlineStr">
        <is>
          <t>D01-DOC-DDE-001</t>
        </is>
      </c>
      <c r="C19" s="10" t="inlineStr">
        <is>
          <t>D01-DOC-DDE-001-T04</t>
        </is>
      </c>
      <c r="D19" s="10" t="inlineStr">
        <is>
          <t>nao_objetivos</t>
        </is>
      </c>
      <c r="E19" s="10" t="inlineStr">
        <is>
          <t>Definir, validar e manter: Nao Objetivos</t>
        </is>
      </c>
      <c r="F19" s="10" t="n"/>
      <c r="G19" s="10" t="b">
        <v>1</v>
      </c>
      <c r="H19" s="10" t="b">
        <v>1</v>
      </c>
      <c r="I19" s="10" t="inlineStr">
        <is>
          <t>DERIVED</t>
        </is>
      </c>
      <c r="J19" s="10" t="inlineStr">
        <is>
          <t>PROPOSED</t>
        </is>
      </c>
      <c r="K19" s="10" t="inlineStr">
        <is>
          <t>DERIVED</t>
        </is>
      </c>
      <c r="L19" s="10" t="inlineStr">
        <is>
          <t>baixa</t>
        </is>
      </c>
      <c r="M19" s="10" t="inlineStr">
        <is>
          <t>["D01-DOC-DDE-001.STRATEGIC_DIRECTION.NAO_OBJETIVOS"]</t>
        </is>
      </c>
    </row>
    <row r="20">
      <c r="A20" s="10" t="inlineStr">
        <is>
          <t>D01-DOC-DDE-001.STRATEGIC_DIRECTION.HORIZONTE_TEMPORAL</t>
        </is>
      </c>
      <c r="B20" s="10" t="inlineStr">
        <is>
          <t>D01-DOC-DDE-001</t>
        </is>
      </c>
      <c r="C20" s="10" t="inlineStr">
        <is>
          <t>D01-DOC-DDE-001-T04</t>
        </is>
      </c>
      <c r="D20" s="10" t="inlineStr">
        <is>
          <t>horizonte_temporal</t>
        </is>
      </c>
      <c r="E20" s="10" t="inlineStr">
        <is>
          <t>Definir, validar e manter: Horizonte Temporal</t>
        </is>
      </c>
      <c r="F20" s="10" t="n"/>
      <c r="G20" s="10" t="b">
        <v>1</v>
      </c>
      <c r="H20" s="10" t="b">
        <v>1</v>
      </c>
      <c r="I20" s="10" t="inlineStr">
        <is>
          <t>DERIVED</t>
        </is>
      </c>
      <c r="J20" s="10" t="inlineStr">
        <is>
          <t>PROPOSED</t>
        </is>
      </c>
      <c r="K20" s="10" t="inlineStr">
        <is>
          <t>DERIVED</t>
        </is>
      </c>
      <c r="L20" s="10" t="inlineStr">
        <is>
          <t>baixa</t>
        </is>
      </c>
      <c r="M20" s="10" t="inlineStr">
        <is>
          <t>["D01-DOC-DDE-001.STRATEGIC_DIRECTION.HORIZONTE_TEMPORAL"]</t>
        </is>
      </c>
    </row>
    <row r="21">
      <c r="A21" s="10" t="inlineStr">
        <is>
          <t>D01-DOC-DDE-001.ECOSYSTEM.PRODUTOS</t>
        </is>
      </c>
      <c r="B21" s="10" t="inlineStr">
        <is>
          <t>D01-DOC-DDE-001</t>
        </is>
      </c>
      <c r="C21" s="10" t="inlineStr">
        <is>
          <t>D01-DOC-DDE-001-T05</t>
        </is>
      </c>
      <c r="D21" s="10" t="inlineStr">
        <is>
          <t>produtos</t>
        </is>
      </c>
      <c r="E21" s="10" t="inlineStr">
        <is>
          <t>Definir, validar e manter: Produtos</t>
        </is>
      </c>
      <c r="F21" s="10" t="n"/>
      <c r="G21" s="10" t="b">
        <v>1</v>
      </c>
      <c r="H21" s="10" t="b">
        <v>1</v>
      </c>
      <c r="I21" s="10" t="inlineStr">
        <is>
          <t>FOUND</t>
        </is>
      </c>
      <c r="J21" s="10" t="inlineStr">
        <is>
          <t>DIRECT</t>
        </is>
      </c>
      <c r="K21" s="10" t="inlineStr">
        <is>
          <t>FOUND</t>
        </is>
      </c>
      <c r="L21" s="10" t="inlineStr">
        <is>
          <t>alta</t>
        </is>
      </c>
      <c r="M21" s="10" t="inlineStr">
        <is>
          <t>["D01-DOC-DDE-001.ECOSYSTEM.PRODUTOS"]</t>
        </is>
      </c>
    </row>
    <row r="22">
      <c r="A22" s="10" t="inlineStr">
        <is>
          <t>D01-DOC-DDE-001.ECOSYSTEM.SERVICOS</t>
        </is>
      </c>
      <c r="B22" s="10" t="inlineStr">
        <is>
          <t>D01-DOC-DDE-001</t>
        </is>
      </c>
      <c r="C22" s="10" t="inlineStr">
        <is>
          <t>D01-DOC-DDE-001-T05</t>
        </is>
      </c>
      <c r="D22" s="10" t="inlineStr">
        <is>
          <t>servicos</t>
        </is>
      </c>
      <c r="E22" s="10" t="inlineStr">
        <is>
          <t>Definir, validar e manter: Servicos</t>
        </is>
      </c>
      <c r="F22" s="10" t="n"/>
      <c r="G22" s="10" t="b">
        <v>1</v>
      </c>
      <c r="H22" s="10" t="b">
        <v>1</v>
      </c>
      <c r="I22" s="10" t="inlineStr">
        <is>
          <t>DERIVED</t>
        </is>
      </c>
      <c r="J22" s="10" t="inlineStr">
        <is>
          <t>PROPOSED</t>
        </is>
      </c>
      <c r="K22" s="10" t="inlineStr">
        <is>
          <t>DERIVED</t>
        </is>
      </c>
      <c r="L22" s="10" t="inlineStr">
        <is>
          <t>baixa</t>
        </is>
      </c>
      <c r="M22" s="10" t="inlineStr">
        <is>
          <t>["D01-DOC-DDE-001.ECOSYSTEM.SERVICOS"]</t>
        </is>
      </c>
    </row>
    <row r="23">
      <c r="A23" s="10" t="inlineStr">
        <is>
          <t>D01-DOC-DDE-001.ECOSYSTEM.MARCAS</t>
        </is>
      </c>
      <c r="B23" s="10" t="inlineStr">
        <is>
          <t>D01-DOC-DDE-001</t>
        </is>
      </c>
      <c r="C23" s="10" t="inlineStr">
        <is>
          <t>D01-DOC-DDE-001-T05</t>
        </is>
      </c>
      <c r="D23" s="10" t="inlineStr">
        <is>
          <t>marcas</t>
        </is>
      </c>
      <c r="E23" s="10" t="inlineStr">
        <is>
          <t>Definir, validar e manter: Marcas</t>
        </is>
      </c>
      <c r="F23" s="10" t="n"/>
      <c r="G23" s="10" t="b">
        <v>1</v>
      </c>
      <c r="H23" s="10" t="b">
        <v>1</v>
      </c>
      <c r="I23" s="10" t="inlineStr">
        <is>
          <t>DERIVED</t>
        </is>
      </c>
      <c r="J23" s="10" t="inlineStr">
        <is>
          <t>PROPOSED</t>
        </is>
      </c>
      <c r="K23" s="10" t="inlineStr">
        <is>
          <t>DERIVED</t>
        </is>
      </c>
      <c r="L23" s="10" t="inlineStr">
        <is>
          <t>baixa</t>
        </is>
      </c>
      <c r="M23" s="10" t="inlineStr">
        <is>
          <t>["D01-DOC-DDE-001.ECOSYSTEM.MARCAS"]</t>
        </is>
      </c>
    </row>
    <row r="24">
      <c r="A24" s="10" t="inlineStr">
        <is>
          <t>D01-DOC-DDE-001.ECOSYSTEM.AGENTES</t>
        </is>
      </c>
      <c r="B24" s="10" t="inlineStr">
        <is>
          <t>D01-DOC-DDE-001</t>
        </is>
      </c>
      <c r="C24" s="10" t="inlineStr">
        <is>
          <t>D01-DOC-DDE-001-T05</t>
        </is>
      </c>
      <c r="D24" s="10" t="inlineStr">
        <is>
          <t>agentes</t>
        </is>
      </c>
      <c r="E24" s="10" t="inlineStr">
        <is>
          <t>Definir, validar e manter: Agentes</t>
        </is>
      </c>
      <c r="F24" s="10" t="n"/>
      <c r="G24" s="10" t="b">
        <v>1</v>
      </c>
      <c r="H24" s="10" t="b">
        <v>1</v>
      </c>
      <c r="I24" s="10" t="inlineStr">
        <is>
          <t>DERIVED</t>
        </is>
      </c>
      <c r="J24" s="10" t="inlineStr">
        <is>
          <t>PROPOSED</t>
        </is>
      </c>
      <c r="K24" s="10" t="inlineStr">
        <is>
          <t>DERIVED</t>
        </is>
      </c>
      <c r="L24" s="10" t="inlineStr">
        <is>
          <t>baixa</t>
        </is>
      </c>
      <c r="M24" s="10" t="inlineStr">
        <is>
          <t>["D01-DOC-DDE-001.ECOSYSTEM.AGENTES"]</t>
        </is>
      </c>
    </row>
    <row r="25">
      <c r="A25" s="10" t="inlineStr">
        <is>
          <t>D01-DOC-DDE-001.ECOSYSTEM.PLATAFORMAS</t>
        </is>
      </c>
      <c r="B25" s="10" t="inlineStr">
        <is>
          <t>D01-DOC-DDE-001</t>
        </is>
      </c>
      <c r="C25" s="10" t="inlineStr">
        <is>
          <t>D01-DOC-DDE-001-T05</t>
        </is>
      </c>
      <c r="D25" s="10" t="inlineStr">
        <is>
          <t>plataformas</t>
        </is>
      </c>
      <c r="E25" s="10" t="inlineStr">
        <is>
          <t>Definir, validar e manter: Plataformas</t>
        </is>
      </c>
      <c r="F25" s="10" t="n"/>
      <c r="G25" s="10" t="b">
        <v>1</v>
      </c>
      <c r="H25" s="10" t="b">
        <v>1</v>
      </c>
      <c r="I25" s="10" t="inlineStr">
        <is>
          <t>DERIVED</t>
        </is>
      </c>
      <c r="J25" s="10" t="inlineStr">
        <is>
          <t>PROPOSED</t>
        </is>
      </c>
      <c r="K25" s="10" t="inlineStr">
        <is>
          <t>DERIVED</t>
        </is>
      </c>
      <c r="L25" s="10" t="inlineStr">
        <is>
          <t>baixa</t>
        </is>
      </c>
      <c r="M25" s="10" t="inlineStr">
        <is>
          <t>["D01-DOC-DDE-001.ECOSYSTEM.PLATAFORMAS"]</t>
        </is>
      </c>
    </row>
    <row r="26">
      <c r="A26" s="10" t="inlineStr">
        <is>
          <t>D01-DOC-DDE-001.ECOSYSTEM.UNIDADES_DE_NEGOCIO</t>
        </is>
      </c>
      <c r="B26" s="10" t="inlineStr">
        <is>
          <t>D01-DOC-DDE-001</t>
        </is>
      </c>
      <c r="C26" s="10" t="inlineStr">
        <is>
          <t>D01-DOC-DDE-001-T05</t>
        </is>
      </c>
      <c r="D26" s="10" t="inlineStr">
        <is>
          <t>unidades_de_negocio</t>
        </is>
      </c>
      <c r="E26" s="10" t="inlineStr">
        <is>
          <t>Definir, validar e manter: Unidades De Negocio</t>
        </is>
      </c>
      <c r="F26" s="10" t="n"/>
      <c r="G26" s="10" t="b">
        <v>1</v>
      </c>
      <c r="H26" s="10" t="b">
        <v>1</v>
      </c>
      <c r="I26" s="10" t="inlineStr">
        <is>
          <t>DERIVED</t>
        </is>
      </c>
      <c r="J26" s="10" t="inlineStr">
        <is>
          <t>PROPOSED</t>
        </is>
      </c>
      <c r="K26" s="10" t="inlineStr">
        <is>
          <t>DERIVED</t>
        </is>
      </c>
      <c r="L26" s="10" t="inlineStr">
        <is>
          <t>baixa</t>
        </is>
      </c>
      <c r="M26" s="10" t="inlineStr">
        <is>
          <t>["D01-DOC-DDE-001.ECOSYSTEM.UNIDADES_DE_NEGOCIO"]</t>
        </is>
      </c>
    </row>
    <row r="27">
      <c r="A27" s="10" t="inlineStr">
        <is>
          <t>D01-DOC-DDE-001.GOVERNANCE.MODELO_DE_GOVERNANCA</t>
        </is>
      </c>
      <c r="B27" s="10" t="inlineStr">
        <is>
          <t>D01-DOC-DDE-001</t>
        </is>
      </c>
      <c r="C27" s="10" t="inlineStr">
        <is>
          <t>D01-DOC-DDE-001-T06</t>
        </is>
      </c>
      <c r="D27" s="10" t="inlineStr">
        <is>
          <t>modelo_de_governanca</t>
        </is>
      </c>
      <c r="E27" s="10" t="inlineStr">
        <is>
          <t>Definir, validar e manter: Modelo De Governanca</t>
        </is>
      </c>
      <c r="F27" s="10" t="n"/>
      <c r="G27" s="10" t="b">
        <v>1</v>
      </c>
      <c r="H27" s="10" t="b">
        <v>1</v>
      </c>
      <c r="I27" s="10" t="inlineStr">
        <is>
          <t>DERIVED</t>
        </is>
      </c>
      <c r="J27" s="10" t="inlineStr">
        <is>
          <t>PROPOSED</t>
        </is>
      </c>
      <c r="K27" s="10" t="inlineStr">
        <is>
          <t>DERIVED</t>
        </is>
      </c>
      <c r="L27" s="10" t="inlineStr">
        <is>
          <t>baixa</t>
        </is>
      </c>
      <c r="M27" s="10" t="inlineStr">
        <is>
          <t>["D01-DOC-DDE-001.GOVERNANCE.MODELO_DE_GOVERNANCA"]</t>
        </is>
      </c>
    </row>
    <row r="28">
      <c r="A28" s="10" t="inlineStr">
        <is>
          <t>D01-DOC-DDE-001.GOVERNANCE.PAPEIS_DECISORIOS</t>
        </is>
      </c>
      <c r="B28" s="10" t="inlineStr">
        <is>
          <t>D01-DOC-DDE-001</t>
        </is>
      </c>
      <c r="C28" s="10" t="inlineStr">
        <is>
          <t>D01-DOC-DDE-001-T06</t>
        </is>
      </c>
      <c r="D28" s="10" t="inlineStr">
        <is>
          <t>papeis_decisorios</t>
        </is>
      </c>
      <c r="E28" s="10" t="inlineStr">
        <is>
          <t>Definir, validar e manter: Papeis Decisorios</t>
        </is>
      </c>
      <c r="F28" s="10" t="n"/>
      <c r="G28" s="10" t="b">
        <v>1</v>
      </c>
      <c r="H28" s="10" t="b">
        <v>1</v>
      </c>
      <c r="I28" s="10" t="inlineStr">
        <is>
          <t>DERIVED</t>
        </is>
      </c>
      <c r="J28" s="10" t="inlineStr">
        <is>
          <t>PROPOSED</t>
        </is>
      </c>
      <c r="K28" s="10" t="inlineStr">
        <is>
          <t>DERIVED</t>
        </is>
      </c>
      <c r="L28" s="10" t="inlineStr">
        <is>
          <t>baixa</t>
        </is>
      </c>
      <c r="M28" s="10" t="inlineStr">
        <is>
          <t>["D01-DOC-DDE-001.GOVERNANCE.PAPEIS_DECISORIOS"]</t>
        </is>
      </c>
    </row>
    <row r="29">
      <c r="A29" s="10" t="inlineStr">
        <is>
          <t>D01-DOC-DDE-001.GOVERNANCE.DIREITOS_DE_DECISAO</t>
        </is>
      </c>
      <c r="B29" s="10" t="inlineStr">
        <is>
          <t>D01-DOC-DDE-001</t>
        </is>
      </c>
      <c r="C29" s="10" t="inlineStr">
        <is>
          <t>D01-DOC-DDE-001-T06</t>
        </is>
      </c>
      <c r="D29" s="10" t="inlineStr">
        <is>
          <t>direitos_de_decisao</t>
        </is>
      </c>
      <c r="E29" s="10" t="inlineStr">
        <is>
          <t>Definir, validar e manter: Direitos De Decisao</t>
        </is>
      </c>
      <c r="F29" s="10" t="n"/>
      <c r="G29" s="10" t="b">
        <v>1</v>
      </c>
      <c r="H29" s="10" t="b">
        <v>1</v>
      </c>
      <c r="I29" s="10" t="inlineStr">
        <is>
          <t>DERIVED</t>
        </is>
      </c>
      <c r="J29" s="10" t="inlineStr">
        <is>
          <t>PROPOSED</t>
        </is>
      </c>
      <c r="K29" s="10" t="inlineStr">
        <is>
          <t>DERIVED</t>
        </is>
      </c>
      <c r="L29" s="10" t="inlineStr">
        <is>
          <t>baixa</t>
        </is>
      </c>
      <c r="M29" s="10" t="inlineStr">
        <is>
          <t>["D01-DOC-DDE-001.GOVERNANCE.DIREITOS_DE_DECISAO"]</t>
        </is>
      </c>
    </row>
    <row r="30">
      <c r="A30" s="10" t="inlineStr">
        <is>
          <t>D01-DOC-DDE-001.GOVERNANCE.GATES</t>
        </is>
      </c>
      <c r="B30" s="10" t="inlineStr">
        <is>
          <t>D01-DOC-DDE-001</t>
        </is>
      </c>
      <c r="C30" s="10" t="inlineStr">
        <is>
          <t>D01-DOC-DDE-001-T06</t>
        </is>
      </c>
      <c r="D30" s="10" t="inlineStr">
        <is>
          <t>gates</t>
        </is>
      </c>
      <c r="E30" s="10" t="inlineStr">
        <is>
          <t>Definir, validar e manter: Gates</t>
        </is>
      </c>
      <c r="F30" s="10" t="n"/>
      <c r="G30" s="10" t="b">
        <v>1</v>
      </c>
      <c r="H30" s="10" t="b">
        <v>1</v>
      </c>
      <c r="I30" s="10" t="inlineStr">
        <is>
          <t>DERIVED</t>
        </is>
      </c>
      <c r="J30" s="10" t="inlineStr">
        <is>
          <t>PROPOSED</t>
        </is>
      </c>
      <c r="K30" s="10" t="inlineStr">
        <is>
          <t>DERIVED</t>
        </is>
      </c>
      <c r="L30" s="10" t="inlineStr">
        <is>
          <t>baixa</t>
        </is>
      </c>
      <c r="M30" s="10" t="inlineStr">
        <is>
          <t>["D01-DOC-DDE-001.GOVERNANCE.GATES"]</t>
        </is>
      </c>
    </row>
    <row r="31">
      <c r="A31" s="10" t="inlineStr">
        <is>
          <t>D01-DOC-DDE-001.GOVERNANCE.MECANISMOS_DE_CONTROLE</t>
        </is>
      </c>
      <c r="B31" s="10" t="inlineStr">
        <is>
          <t>D01-DOC-DDE-001</t>
        </is>
      </c>
      <c r="C31" s="10" t="inlineStr">
        <is>
          <t>D01-DOC-DDE-001-T06</t>
        </is>
      </c>
      <c r="D31" s="10" t="inlineStr">
        <is>
          <t>mecanismos_de_controle</t>
        </is>
      </c>
      <c r="E31" s="10" t="inlineStr">
        <is>
          <t>Definir, validar e manter: Mecanismos De Controle</t>
        </is>
      </c>
      <c r="F31" s="10" t="n"/>
      <c r="G31" s="10" t="b">
        <v>1</v>
      </c>
      <c r="H31" s="10" t="b">
        <v>1</v>
      </c>
      <c r="I31" s="10" t="inlineStr">
        <is>
          <t>FOUND</t>
        </is>
      </c>
      <c r="J31" s="10" t="inlineStr">
        <is>
          <t>DIRECT</t>
        </is>
      </c>
      <c r="K31" s="10" t="inlineStr">
        <is>
          <t>FOUND</t>
        </is>
      </c>
      <c r="L31" s="10" t="inlineStr">
        <is>
          <t>alta</t>
        </is>
      </c>
      <c r="M31" s="10" t="inlineStr">
        <is>
          <t>["D01-DOC-DDE-001.GOVERNANCE.MECANISMOS_DE_CONTROLE"]</t>
        </is>
      </c>
    </row>
    <row r="32">
      <c r="A32" s="10" t="inlineStr">
        <is>
          <t>D01-DOC-DDE-001.STAKEHOLDERS.STAKEHOLDERS</t>
        </is>
      </c>
      <c r="B32" s="10" t="inlineStr">
        <is>
          <t>D01-DOC-DDE-001</t>
        </is>
      </c>
      <c r="C32" s="10" t="inlineStr">
        <is>
          <t>D01-DOC-DDE-001-T07</t>
        </is>
      </c>
      <c r="D32" s="10" t="inlineStr">
        <is>
          <t>stakeholders</t>
        </is>
      </c>
      <c r="E32" s="10" t="inlineStr">
        <is>
          <t>Definir, validar e manter: Stakeholders</t>
        </is>
      </c>
      <c r="F32" s="10" t="n"/>
      <c r="G32" s="10" t="b">
        <v>1</v>
      </c>
      <c r="H32" s="10" t="b">
        <v>1</v>
      </c>
      <c r="I32" s="10" t="inlineStr">
        <is>
          <t>DERIVED</t>
        </is>
      </c>
      <c r="J32" s="10" t="inlineStr">
        <is>
          <t>PROPOSED</t>
        </is>
      </c>
      <c r="K32" s="10" t="inlineStr">
        <is>
          <t>DERIVED</t>
        </is>
      </c>
      <c r="L32" s="10" t="inlineStr">
        <is>
          <t>baixa</t>
        </is>
      </c>
      <c r="M32" s="10" t="inlineStr">
        <is>
          <t>["D01-DOC-DDE-001.STAKEHOLDERS.STAKEHOLDERS"]</t>
        </is>
      </c>
    </row>
    <row r="33">
      <c r="A33" s="10" t="inlineStr">
        <is>
          <t>D01-DOC-DDE-001.STAKEHOLDERS.INTERESSE</t>
        </is>
      </c>
      <c r="B33" s="10" t="inlineStr">
        <is>
          <t>D01-DOC-DDE-001</t>
        </is>
      </c>
      <c r="C33" s="10" t="inlineStr">
        <is>
          <t>D01-DOC-DDE-001-T07</t>
        </is>
      </c>
      <c r="D33" s="10" t="inlineStr">
        <is>
          <t>interesse</t>
        </is>
      </c>
      <c r="E33" s="10" t="inlineStr">
        <is>
          <t>Definir, validar e manter: Interesse</t>
        </is>
      </c>
      <c r="F33" s="10" t="n"/>
      <c r="G33" s="10" t="b">
        <v>1</v>
      </c>
      <c r="H33" s="10" t="b">
        <v>1</v>
      </c>
      <c r="I33" s="10" t="inlineStr">
        <is>
          <t>DERIVED</t>
        </is>
      </c>
      <c r="J33" s="10" t="inlineStr">
        <is>
          <t>PROPOSED</t>
        </is>
      </c>
      <c r="K33" s="10" t="inlineStr">
        <is>
          <t>DERIVED</t>
        </is>
      </c>
      <c r="L33" s="10" t="inlineStr">
        <is>
          <t>baixa</t>
        </is>
      </c>
      <c r="M33" s="10" t="inlineStr">
        <is>
          <t>["D01-DOC-DDE-001.STAKEHOLDERS.INTERESSE"]</t>
        </is>
      </c>
    </row>
    <row r="34">
      <c r="A34" s="10" t="inlineStr">
        <is>
          <t>D01-DOC-DDE-001.STAKEHOLDERS.INFLUENCIA</t>
        </is>
      </c>
      <c r="B34" s="10" t="inlineStr">
        <is>
          <t>D01-DOC-DDE-001</t>
        </is>
      </c>
      <c r="C34" s="10" t="inlineStr">
        <is>
          <t>D01-DOC-DDE-001-T07</t>
        </is>
      </c>
      <c r="D34" s="10" t="inlineStr">
        <is>
          <t>influencia</t>
        </is>
      </c>
      <c r="E34" s="10" t="inlineStr">
        <is>
          <t>Definir, validar e manter: Influencia</t>
        </is>
      </c>
      <c r="F34" s="10" t="n"/>
      <c r="G34" s="10" t="b">
        <v>1</v>
      </c>
      <c r="H34" s="10" t="b">
        <v>1</v>
      </c>
      <c r="I34" s="10" t="inlineStr">
        <is>
          <t>DERIVED</t>
        </is>
      </c>
      <c r="J34" s="10" t="inlineStr">
        <is>
          <t>PROPOSED</t>
        </is>
      </c>
      <c r="K34" s="10" t="inlineStr">
        <is>
          <t>DERIVED</t>
        </is>
      </c>
      <c r="L34" s="10" t="inlineStr">
        <is>
          <t>baixa</t>
        </is>
      </c>
      <c r="M34" s="10" t="inlineStr">
        <is>
          <t>["D01-DOC-DDE-001.STAKEHOLDERS.INFLUENCIA"]</t>
        </is>
      </c>
    </row>
    <row r="35">
      <c r="A35" s="10" t="inlineStr">
        <is>
          <t>D01-DOC-DDE-001.STAKEHOLDERS.RELACIONAMENTO</t>
        </is>
      </c>
      <c r="B35" s="10" t="inlineStr">
        <is>
          <t>D01-DOC-DDE-001</t>
        </is>
      </c>
      <c r="C35" s="10" t="inlineStr">
        <is>
          <t>D01-DOC-DDE-001-T07</t>
        </is>
      </c>
      <c r="D35" s="10" t="inlineStr">
        <is>
          <t>relacionamento</t>
        </is>
      </c>
      <c r="E35" s="10" t="inlineStr">
        <is>
          <t>Definir, validar e manter: Relacionamento</t>
        </is>
      </c>
      <c r="F35" s="10" t="n"/>
      <c r="G35" s="10" t="b">
        <v>1</v>
      </c>
      <c r="H35" s="10" t="b">
        <v>1</v>
      </c>
      <c r="I35" s="10" t="inlineStr">
        <is>
          <t>DERIVED</t>
        </is>
      </c>
      <c r="J35" s="10" t="inlineStr">
        <is>
          <t>PROPOSED</t>
        </is>
      </c>
      <c r="K35" s="10" t="inlineStr">
        <is>
          <t>DERIVED</t>
        </is>
      </c>
      <c r="L35" s="10" t="inlineStr">
        <is>
          <t>baixa</t>
        </is>
      </c>
      <c r="M35" s="10" t="inlineStr">
        <is>
          <t>["D01-DOC-DDE-001.STAKEHOLDERS.RELACIONAMENTO"]</t>
        </is>
      </c>
    </row>
    <row r="36">
      <c r="A36" s="10" t="inlineStr">
        <is>
          <t>D01-DOC-DDE-001.STRATEGIC_DEPENDENCIES.DEPENDENCIAS</t>
        </is>
      </c>
      <c r="B36" s="10" t="inlineStr">
        <is>
          <t>D01-DOC-DDE-001</t>
        </is>
      </c>
      <c r="C36" s="10" t="inlineStr">
        <is>
          <t>D01-DOC-DDE-001-T08</t>
        </is>
      </c>
      <c r="D36" s="10" t="inlineStr">
        <is>
          <t>dependencias</t>
        </is>
      </c>
      <c r="E36" s="10" t="inlineStr">
        <is>
          <t>Definir, validar e manter: Dependencias</t>
        </is>
      </c>
      <c r="F36" s="10" t="n"/>
      <c r="G36" s="10" t="b">
        <v>1</v>
      </c>
      <c r="H36" s="10" t="b">
        <v>1</v>
      </c>
      <c r="I36" s="10" t="inlineStr">
        <is>
          <t>DERIVED</t>
        </is>
      </c>
      <c r="J36" s="10" t="inlineStr">
        <is>
          <t>PROPOSED</t>
        </is>
      </c>
      <c r="K36" s="10" t="inlineStr">
        <is>
          <t>DERIVED</t>
        </is>
      </c>
      <c r="L36" s="10" t="inlineStr">
        <is>
          <t>baixa</t>
        </is>
      </c>
      <c r="M36" s="10" t="inlineStr">
        <is>
          <t>["D01-DOC-DDE-001.STRATEGIC_DEPENDENCIES.DEPENDENCIAS"]</t>
        </is>
      </c>
    </row>
    <row r="37">
      <c r="A37" s="10" t="inlineStr">
        <is>
          <t>D01-DOC-DDE-001.STRATEGIC_DEPENDENCIES.RESTRICOES</t>
        </is>
      </c>
      <c r="B37" s="10" t="inlineStr">
        <is>
          <t>D01-DOC-DDE-001</t>
        </is>
      </c>
      <c r="C37" s="10" t="inlineStr">
        <is>
          <t>D01-DOC-DDE-001-T08</t>
        </is>
      </c>
      <c r="D37" s="10" t="inlineStr">
        <is>
          <t>restricoes</t>
        </is>
      </c>
      <c r="E37" s="10" t="inlineStr">
        <is>
          <t>Definir, validar e manter: Restricoes</t>
        </is>
      </c>
      <c r="F37" s="10" t="n"/>
      <c r="G37" s="10" t="b">
        <v>1</v>
      </c>
      <c r="H37" s="10" t="b">
        <v>1</v>
      </c>
      <c r="I37" s="10" t="inlineStr">
        <is>
          <t>DERIVED</t>
        </is>
      </c>
      <c r="J37" s="10" t="inlineStr">
        <is>
          <t>PROPOSED</t>
        </is>
      </c>
      <c r="K37" s="10" t="inlineStr">
        <is>
          <t>DERIVED</t>
        </is>
      </c>
      <c r="L37" s="10" t="inlineStr">
        <is>
          <t>baixa</t>
        </is>
      </c>
      <c r="M37" s="10" t="inlineStr">
        <is>
          <t>["D01-DOC-DDE-001.STRATEGIC_DEPENDENCIES.RESTRICOES"]</t>
        </is>
      </c>
    </row>
    <row r="38">
      <c r="A38" s="10" t="inlineStr">
        <is>
          <t>D01-DOC-DDE-001.STRATEGIC_DEPENDENCIES.PREMISSAS</t>
        </is>
      </c>
      <c r="B38" s="10" t="inlineStr">
        <is>
          <t>D01-DOC-DDE-001</t>
        </is>
      </c>
      <c r="C38" s="10" t="inlineStr">
        <is>
          <t>D01-DOC-DDE-001-T08</t>
        </is>
      </c>
      <c r="D38" s="10" t="inlineStr">
        <is>
          <t>premissas</t>
        </is>
      </c>
      <c r="E38" s="10" t="inlineStr">
        <is>
          <t>Definir, validar e manter: Premissas</t>
        </is>
      </c>
      <c r="F38" s="10" t="n"/>
      <c r="G38" s="10" t="b">
        <v>1</v>
      </c>
      <c r="H38" s="10" t="b">
        <v>1</v>
      </c>
      <c r="I38" s="10" t="inlineStr">
        <is>
          <t>DERIVED</t>
        </is>
      </c>
      <c r="J38" s="10" t="inlineStr">
        <is>
          <t>PROPOSED</t>
        </is>
      </c>
      <c r="K38" s="10" t="inlineStr">
        <is>
          <t>DERIVED</t>
        </is>
      </c>
      <c r="L38" s="10" t="inlineStr">
        <is>
          <t>baixa</t>
        </is>
      </c>
      <c r="M38" s="10" t="inlineStr">
        <is>
          <t>["D01-DOC-DDE-001.STRATEGIC_DEPENDENCIES.PREMISSAS"]</t>
        </is>
      </c>
    </row>
    <row r="39">
      <c r="A39" s="10" t="inlineStr">
        <is>
          <t>D01-DOC-DDE-001.RISKS.RISCOS_ESTRATEGICOS</t>
        </is>
      </c>
      <c r="B39" s="10" t="inlineStr">
        <is>
          <t>D01-DOC-DDE-001</t>
        </is>
      </c>
      <c r="C39" s="10" t="inlineStr">
        <is>
          <t>D01-DOC-DDE-001-T09</t>
        </is>
      </c>
      <c r="D39" s="10" t="inlineStr">
        <is>
          <t>riscos_estrategicos</t>
        </is>
      </c>
      <c r="E39" s="10" t="inlineStr">
        <is>
          <t>Definir, validar e manter: Riscos Estrategicos</t>
        </is>
      </c>
      <c r="F39" s="10" t="n"/>
      <c r="G39" s="10" t="b">
        <v>1</v>
      </c>
      <c r="H39" s="10" t="b">
        <v>1</v>
      </c>
      <c r="I39" s="10" t="inlineStr">
        <is>
          <t>DERIVED</t>
        </is>
      </c>
      <c r="J39" s="10" t="inlineStr">
        <is>
          <t>PROPOSED</t>
        </is>
      </c>
      <c r="K39" s="10" t="inlineStr">
        <is>
          <t>DERIVED</t>
        </is>
      </c>
      <c r="L39" s="10" t="inlineStr">
        <is>
          <t>baixa</t>
        </is>
      </c>
      <c r="M39" s="10" t="inlineStr">
        <is>
          <t>["D01-DOC-DDE-001.RISKS.RISCOS_ESTRATEGICOS"]</t>
        </is>
      </c>
    </row>
    <row r="40">
      <c r="A40" s="10" t="inlineStr">
        <is>
          <t>D01-DOC-DDE-001.RISKS.MITIGACOES_EXISTENTES</t>
        </is>
      </c>
      <c r="B40" s="10" t="inlineStr">
        <is>
          <t>D01-DOC-DDE-001</t>
        </is>
      </c>
      <c r="C40" s="10" t="inlineStr">
        <is>
          <t>D01-DOC-DDE-001-T09</t>
        </is>
      </c>
      <c r="D40" s="10" t="inlineStr">
        <is>
          <t>mitigacoes_existentes</t>
        </is>
      </c>
      <c r="E40" s="10" t="inlineStr">
        <is>
          <t>Definir, validar e manter: Mitigacoes Existentes</t>
        </is>
      </c>
      <c r="F40" s="10" t="n"/>
      <c r="G40" s="10" t="b">
        <v>1</v>
      </c>
      <c r="H40" s="10" t="b">
        <v>1</v>
      </c>
      <c r="I40" s="10" t="inlineStr">
        <is>
          <t>DERIVED</t>
        </is>
      </c>
      <c r="J40" s="10" t="inlineStr">
        <is>
          <t>PROPOSED</t>
        </is>
      </c>
      <c r="K40" s="10" t="inlineStr">
        <is>
          <t>DERIVED</t>
        </is>
      </c>
      <c r="L40" s="10" t="inlineStr">
        <is>
          <t>baixa</t>
        </is>
      </c>
      <c r="M40" s="10" t="inlineStr">
        <is>
          <t>["D01-DOC-DDE-001.RISKS.MITIGACOES_EXISTENTES"]</t>
        </is>
      </c>
    </row>
    <row r="41">
      <c r="A41" s="10" t="inlineStr">
        <is>
          <t>D01-DOC-DDE-001.MEASUREMENT.INDICADORES</t>
        </is>
      </c>
      <c r="B41" s="10" t="inlineStr">
        <is>
          <t>D01-DOC-DDE-001</t>
        </is>
      </c>
      <c r="C41" s="10" t="inlineStr">
        <is>
          <t>D01-DOC-DDE-001-T10</t>
        </is>
      </c>
      <c r="D41" s="10" t="inlineStr">
        <is>
          <t>indicadores</t>
        </is>
      </c>
      <c r="E41" s="10" t="inlineStr">
        <is>
          <t>Definir, validar e manter: Indicadores</t>
        </is>
      </c>
      <c r="F41" s="10" t="n"/>
      <c r="G41" s="10" t="b">
        <v>1</v>
      </c>
      <c r="H41" s="10" t="b">
        <v>1</v>
      </c>
      <c r="I41" s="10" t="inlineStr">
        <is>
          <t>DERIVED</t>
        </is>
      </c>
      <c r="J41" s="10" t="inlineStr">
        <is>
          <t>PROPOSED</t>
        </is>
      </c>
      <c r="K41" s="10" t="inlineStr">
        <is>
          <t>DERIVED</t>
        </is>
      </c>
      <c r="L41" s="10" t="inlineStr">
        <is>
          <t>baixa</t>
        </is>
      </c>
      <c r="M41" s="10" t="inlineStr">
        <is>
          <t>["D01-DOC-DDE-001.MEASUREMENT.INDICADORES"]</t>
        </is>
      </c>
    </row>
    <row r="42">
      <c r="A42" s="10" t="inlineStr">
        <is>
          <t>D01-DOC-DDE-001.MEASUREMENT.METAS</t>
        </is>
      </c>
      <c r="B42" s="10" t="inlineStr">
        <is>
          <t>D01-DOC-DDE-001</t>
        </is>
      </c>
      <c r="C42" s="10" t="inlineStr">
        <is>
          <t>D01-DOC-DDE-001-T10</t>
        </is>
      </c>
      <c r="D42" s="10" t="inlineStr">
        <is>
          <t>metas</t>
        </is>
      </c>
      <c r="E42" s="10" t="inlineStr">
        <is>
          <t>Definir, validar e manter: Metas</t>
        </is>
      </c>
      <c r="F42" s="10" t="n"/>
      <c r="G42" s="10" t="b">
        <v>1</v>
      </c>
      <c r="H42" s="10" t="b">
        <v>1</v>
      </c>
      <c r="I42" s="10" t="inlineStr">
        <is>
          <t>DERIVED</t>
        </is>
      </c>
      <c r="J42" s="10" t="inlineStr">
        <is>
          <t>PROPOSED</t>
        </is>
      </c>
      <c r="K42" s="10" t="inlineStr">
        <is>
          <t>DERIVED</t>
        </is>
      </c>
      <c r="L42" s="10" t="inlineStr">
        <is>
          <t>baixa</t>
        </is>
      </c>
      <c r="M42" s="10" t="inlineStr">
        <is>
          <t>["D01-DOC-DDE-001.MEASUREMENT.METAS"]</t>
        </is>
      </c>
    </row>
    <row r="43">
      <c r="A43" s="10" t="inlineStr">
        <is>
          <t>D01-DOC-DDE-001.MEASUREMENT.CRITERIOS_DE_SUCESSO</t>
        </is>
      </c>
      <c r="B43" s="10" t="inlineStr">
        <is>
          <t>D01-DOC-DDE-001</t>
        </is>
      </c>
      <c r="C43" s="10" t="inlineStr">
        <is>
          <t>D01-DOC-DDE-001-T10</t>
        </is>
      </c>
      <c r="D43" s="10" t="inlineStr">
        <is>
          <t>criterios_de_sucesso</t>
        </is>
      </c>
      <c r="E43" s="10" t="inlineStr">
        <is>
          <t>Definir, validar e manter: Criterios De Sucesso</t>
        </is>
      </c>
      <c r="F43" s="10" t="n"/>
      <c r="G43" s="10" t="b">
        <v>1</v>
      </c>
      <c r="H43" s="10" t="b">
        <v>1</v>
      </c>
      <c r="I43" s="10" t="inlineStr">
        <is>
          <t>DERIVED</t>
        </is>
      </c>
      <c r="J43" s="10" t="inlineStr">
        <is>
          <t>PROPOSED</t>
        </is>
      </c>
      <c r="K43" s="10" t="inlineStr">
        <is>
          <t>DERIVED</t>
        </is>
      </c>
      <c r="L43" s="10" t="inlineStr">
        <is>
          <t>baixa</t>
        </is>
      </c>
      <c r="M43" s="10" t="inlineStr">
        <is>
          <t>["D01-DOC-DDE-001.MEASUREMENT.CRITERIOS_DE_SUCESSO"]</t>
        </is>
      </c>
    </row>
    <row r="44">
      <c r="A44" s="10" t="inlineStr">
        <is>
          <t>D01-DOC-DDE-001.DECISIONS.DECISOES_VIGENTES</t>
        </is>
      </c>
      <c r="B44" s="10" t="inlineStr">
        <is>
          <t>D01-DOC-DDE-001</t>
        </is>
      </c>
      <c r="C44" s="10" t="inlineStr">
        <is>
          <t>D01-DOC-DDE-001-T11</t>
        </is>
      </c>
      <c r="D44" s="10" t="inlineStr">
        <is>
          <t>decisoes_vigentes</t>
        </is>
      </c>
      <c r="E44" s="10" t="inlineStr">
        <is>
          <t>Definir, validar e manter: Decisoes Vigentes</t>
        </is>
      </c>
      <c r="F44" s="10" t="n"/>
      <c r="G44" s="10" t="b">
        <v>1</v>
      </c>
      <c r="H44" s="10" t="b">
        <v>1</v>
      </c>
      <c r="I44" s="10" t="inlineStr">
        <is>
          <t>DERIVED</t>
        </is>
      </c>
      <c r="J44" s="10" t="inlineStr">
        <is>
          <t>PROPOSED</t>
        </is>
      </c>
      <c r="K44" s="10" t="inlineStr">
        <is>
          <t>DERIVED</t>
        </is>
      </c>
      <c r="L44" s="10" t="inlineStr">
        <is>
          <t>baixa</t>
        </is>
      </c>
      <c r="M44" s="10" t="inlineStr">
        <is>
          <t>["D01-DOC-DDE-001.DECISIONS.DECISOES_VIGENTES"]</t>
        </is>
      </c>
    </row>
    <row r="45">
      <c r="A45" s="10" t="inlineStr">
        <is>
          <t>D01-DOC-DDE-001.DECISIONS.DECISOES_PENDENTES</t>
        </is>
      </c>
      <c r="B45" s="10" t="inlineStr">
        <is>
          <t>D01-DOC-DDE-001</t>
        </is>
      </c>
      <c r="C45" s="10" t="inlineStr">
        <is>
          <t>D01-DOC-DDE-001-T11</t>
        </is>
      </c>
      <c r="D45" s="10" t="inlineStr">
        <is>
          <t>decisoes_pendentes</t>
        </is>
      </c>
      <c r="E45" s="10" t="inlineStr">
        <is>
          <t>Definir, validar e manter: Decisoes Pendentes</t>
        </is>
      </c>
      <c r="F45" s="10" t="n"/>
      <c r="G45" s="10" t="b">
        <v>1</v>
      </c>
      <c r="H45" s="10" t="b">
        <v>1</v>
      </c>
      <c r="I45" s="10" t="inlineStr">
        <is>
          <t>DERIVED</t>
        </is>
      </c>
      <c r="J45" s="10" t="inlineStr">
        <is>
          <t>PROPOSED</t>
        </is>
      </c>
      <c r="K45" s="10" t="inlineStr">
        <is>
          <t>DERIVED</t>
        </is>
      </c>
      <c r="L45" s="10" t="inlineStr">
        <is>
          <t>baixa</t>
        </is>
      </c>
      <c r="M45" s="10" t="inlineStr">
        <is>
          <t>["D01-DOC-DDE-001.DECISIONS.DECISOES_PENDENTES"]</t>
        </is>
      </c>
    </row>
    <row r="46">
      <c r="A46" s="10" t="inlineStr">
        <is>
          <t>D01-DOC-TAP-001.IDENTIFICATION.TITULO</t>
        </is>
      </c>
      <c r="B46" s="10" t="inlineStr">
        <is>
          <t>D01-DOC-TAP-001</t>
        </is>
      </c>
      <c r="C46" s="10" t="inlineStr">
        <is>
          <t>D01-DOC-TAP-001-T01</t>
        </is>
      </c>
      <c r="D46" s="10" t="inlineStr">
        <is>
          <t>titulo</t>
        </is>
      </c>
      <c r="E46" s="10" t="inlineStr">
        <is>
          <t>Definir, validar e manter: Titulo</t>
        </is>
      </c>
      <c r="F46" s="10" t="n"/>
      <c r="G46" s="10" t="b">
        <v>1</v>
      </c>
      <c r="H46" s="10" t="b">
        <v>1</v>
      </c>
      <c r="I46" s="10" t="inlineStr">
        <is>
          <t>DERIVED</t>
        </is>
      </c>
      <c r="J46" s="10" t="inlineStr">
        <is>
          <t>PROPOSED</t>
        </is>
      </c>
      <c r="K46" s="10" t="inlineStr">
        <is>
          <t>DERIVED</t>
        </is>
      </c>
      <c r="L46" s="10" t="inlineStr">
        <is>
          <t>baixa</t>
        </is>
      </c>
      <c r="M46" s="10" t="inlineStr">
        <is>
          <t>["D01-DOC-TAP-001.IDENTIFICATION.TITULO"]</t>
        </is>
      </c>
    </row>
    <row r="47">
      <c r="A47" s="10" t="inlineStr">
        <is>
          <t>D01-DOC-TAP-001.IDENTIFICATION.JUSTIFICATIVA</t>
        </is>
      </c>
      <c r="B47" s="10" t="inlineStr">
        <is>
          <t>D01-DOC-TAP-001</t>
        </is>
      </c>
      <c r="C47" s="10" t="inlineStr">
        <is>
          <t>D01-DOC-TAP-001-T01</t>
        </is>
      </c>
      <c r="D47" s="10" t="inlineStr">
        <is>
          <t>justificativa</t>
        </is>
      </c>
      <c r="E47" s="10" t="inlineStr">
        <is>
          <t>Definir, validar e manter: Justificativa</t>
        </is>
      </c>
      <c r="F47" s="10" t="n"/>
      <c r="G47" s="10" t="b">
        <v>1</v>
      </c>
      <c r="H47" s="10" t="b">
        <v>1</v>
      </c>
      <c r="I47" s="10" t="inlineStr">
        <is>
          <t>DERIVED</t>
        </is>
      </c>
      <c r="J47" s="10" t="inlineStr">
        <is>
          <t>PROPOSED</t>
        </is>
      </c>
      <c r="K47" s="10" t="inlineStr">
        <is>
          <t>DERIVED</t>
        </is>
      </c>
      <c r="L47" s="10" t="inlineStr">
        <is>
          <t>baixa</t>
        </is>
      </c>
      <c r="M47" s="10" t="inlineStr">
        <is>
          <t>["D01-DOC-TAP-001.IDENTIFICATION.JUSTIFICATIVA"]</t>
        </is>
      </c>
    </row>
    <row r="48">
      <c r="A48" s="10" t="inlineStr">
        <is>
          <t>D01-DOC-TAP-001.IDENTIFICATION.CONTEXTO</t>
        </is>
      </c>
      <c r="B48" s="10" t="inlineStr">
        <is>
          <t>D01-DOC-TAP-001</t>
        </is>
      </c>
      <c r="C48" s="10" t="inlineStr">
        <is>
          <t>D01-DOC-TAP-001-T01</t>
        </is>
      </c>
      <c r="D48" s="10" t="inlineStr">
        <is>
          <t>contexto</t>
        </is>
      </c>
      <c r="E48" s="10" t="inlineStr">
        <is>
          <t>Definir, validar e manter: Contexto</t>
        </is>
      </c>
      <c r="F48" s="10" t="n"/>
      <c r="G48" s="10" t="b">
        <v>1</v>
      </c>
      <c r="H48" s="10" t="b">
        <v>1</v>
      </c>
      <c r="I48" s="10" t="inlineStr">
        <is>
          <t>DERIVED</t>
        </is>
      </c>
      <c r="J48" s="10" t="inlineStr">
        <is>
          <t>PROPOSED</t>
        </is>
      </c>
      <c r="K48" s="10" t="inlineStr">
        <is>
          <t>DERIVED</t>
        </is>
      </c>
      <c r="L48" s="10" t="inlineStr">
        <is>
          <t>baixa</t>
        </is>
      </c>
      <c r="M48" s="10" t="inlineStr">
        <is>
          <t>["D01-DOC-TAP-001.IDENTIFICATION.CONTEXTO"]</t>
        </is>
      </c>
    </row>
    <row r="49">
      <c r="A49" s="10" t="inlineStr">
        <is>
          <t>D01-DOC-TAP-001.IDENTIFICATION.SPONSOR</t>
        </is>
      </c>
      <c r="B49" s="10" t="inlineStr">
        <is>
          <t>D01-DOC-TAP-001</t>
        </is>
      </c>
      <c r="C49" s="10" t="inlineStr">
        <is>
          <t>D01-DOC-TAP-001-T01</t>
        </is>
      </c>
      <c r="D49" s="10" t="inlineStr">
        <is>
          <t>sponsor</t>
        </is>
      </c>
      <c r="E49" s="10" t="inlineStr">
        <is>
          <t>Definir, validar e manter: Sponsor</t>
        </is>
      </c>
      <c r="F49" s="10" t="n"/>
      <c r="G49" s="10" t="b">
        <v>1</v>
      </c>
      <c r="H49" s="10" t="b">
        <v>1</v>
      </c>
      <c r="I49" s="10" t="inlineStr">
        <is>
          <t>DERIVED</t>
        </is>
      </c>
      <c r="J49" s="10" t="inlineStr">
        <is>
          <t>PROPOSED</t>
        </is>
      </c>
      <c r="K49" s="10" t="inlineStr">
        <is>
          <t>DERIVED</t>
        </is>
      </c>
      <c r="L49" s="10" t="inlineStr">
        <is>
          <t>baixa</t>
        </is>
      </c>
      <c r="M49" s="10" t="inlineStr">
        <is>
          <t>["D01-DOC-TAP-001.IDENTIFICATION.SPONSOR"]</t>
        </is>
      </c>
    </row>
    <row r="50">
      <c r="A50" s="10" t="inlineStr">
        <is>
          <t>D01-DOC-TAP-001.IDENTIFICATION.OWNER</t>
        </is>
      </c>
      <c r="B50" s="10" t="inlineStr">
        <is>
          <t>D01-DOC-TAP-001</t>
        </is>
      </c>
      <c r="C50" s="10" t="inlineStr">
        <is>
          <t>D01-DOC-TAP-001-T01</t>
        </is>
      </c>
      <c r="D50" s="10" t="inlineStr">
        <is>
          <t>owner</t>
        </is>
      </c>
      <c r="E50" s="10" t="inlineStr">
        <is>
          <t>Definir, validar e manter: Owner</t>
        </is>
      </c>
      <c r="F50" s="10" t="n"/>
      <c r="G50" s="10" t="b">
        <v>1</v>
      </c>
      <c r="H50" s="10" t="b">
        <v>1</v>
      </c>
      <c r="I50" s="10" t="inlineStr">
        <is>
          <t>DERIVED</t>
        </is>
      </c>
      <c r="J50" s="10" t="inlineStr">
        <is>
          <t>PROPOSED</t>
        </is>
      </c>
      <c r="K50" s="10" t="inlineStr">
        <is>
          <t>DERIVED</t>
        </is>
      </c>
      <c r="L50" s="10" t="inlineStr">
        <is>
          <t>baixa</t>
        </is>
      </c>
      <c r="M50" s="10" t="inlineStr">
        <is>
          <t>["D01-DOC-TAP-001.IDENTIFICATION.OWNER"]</t>
        </is>
      </c>
    </row>
    <row r="51">
      <c r="A51" s="10" t="inlineStr">
        <is>
          <t>D01-DOC-TAP-001.OBJECTIVE.OBJETIVO_GERAL</t>
        </is>
      </c>
      <c r="B51" s="10" t="inlineStr">
        <is>
          <t>D01-DOC-TAP-001</t>
        </is>
      </c>
      <c r="C51" s="10" t="inlineStr">
        <is>
          <t>D01-DOC-TAP-001-T02</t>
        </is>
      </c>
      <c r="D51" s="10" t="inlineStr">
        <is>
          <t>objetivo_geral</t>
        </is>
      </c>
      <c r="E51" s="10" t="inlineStr">
        <is>
          <t>Definir, validar e manter: Objetivo Geral</t>
        </is>
      </c>
      <c r="F51" s="10" t="n"/>
      <c r="G51" s="10" t="b">
        <v>1</v>
      </c>
      <c r="H51" s="10" t="b">
        <v>1</v>
      </c>
      <c r="I51" s="10" t="inlineStr">
        <is>
          <t>DERIVED</t>
        </is>
      </c>
      <c r="J51" s="10" t="inlineStr">
        <is>
          <t>PROPOSED</t>
        </is>
      </c>
      <c r="K51" s="10" t="inlineStr">
        <is>
          <t>DERIVED</t>
        </is>
      </c>
      <c r="L51" s="10" t="inlineStr">
        <is>
          <t>baixa</t>
        </is>
      </c>
      <c r="M51" s="10" t="inlineStr">
        <is>
          <t>["D01-DOC-TAP-001.OBJECTIVE.OBJETIVO_GERAL"]</t>
        </is>
      </c>
    </row>
    <row r="52">
      <c r="A52" s="10" t="inlineStr">
        <is>
          <t>D01-DOC-TAP-001.OBJECTIVE.OBJETIVOS_ESPECIFICOS</t>
        </is>
      </c>
      <c r="B52" s="10" t="inlineStr">
        <is>
          <t>D01-DOC-TAP-001</t>
        </is>
      </c>
      <c r="C52" s="10" t="inlineStr">
        <is>
          <t>D01-DOC-TAP-001-T02</t>
        </is>
      </c>
      <c r="D52" s="10" t="inlineStr">
        <is>
          <t>objetivos_especificos</t>
        </is>
      </c>
      <c r="E52" s="10" t="inlineStr">
        <is>
          <t>Definir, validar e manter: Objetivos Especificos</t>
        </is>
      </c>
      <c r="F52" s="10" t="n"/>
      <c r="G52" s="10" t="b">
        <v>1</v>
      </c>
      <c r="H52" s="10" t="b">
        <v>1</v>
      </c>
      <c r="I52" s="10" t="inlineStr">
        <is>
          <t>DERIVED</t>
        </is>
      </c>
      <c r="J52" s="10" t="inlineStr">
        <is>
          <t>PROPOSED</t>
        </is>
      </c>
      <c r="K52" s="10" t="inlineStr">
        <is>
          <t>DERIVED</t>
        </is>
      </c>
      <c r="L52" s="10" t="inlineStr">
        <is>
          <t>baixa</t>
        </is>
      </c>
      <c r="M52" s="10" t="inlineStr">
        <is>
          <t>["D01-DOC-TAP-001.OBJECTIVE.OBJETIVOS_ESPECIFICOS"]</t>
        </is>
      </c>
    </row>
    <row r="53">
      <c r="A53" s="10" t="inlineStr">
        <is>
          <t>D01-DOC-TAP-001.OBJECTIVE.RESULTADO_FINAL_ESPERADO</t>
        </is>
      </c>
      <c r="B53" s="10" t="inlineStr">
        <is>
          <t>D01-DOC-TAP-001</t>
        </is>
      </c>
      <c r="C53" s="10" t="inlineStr">
        <is>
          <t>D01-DOC-TAP-001-T02</t>
        </is>
      </c>
      <c r="D53" s="10" t="inlineStr">
        <is>
          <t>resultado_final_esperado</t>
        </is>
      </c>
      <c r="E53" s="10" t="inlineStr">
        <is>
          <t>Definir, validar e manter: Resultado Final Esperado</t>
        </is>
      </c>
      <c r="F53" s="10" t="n"/>
      <c r="G53" s="10" t="b">
        <v>1</v>
      </c>
      <c r="H53" s="10" t="b">
        <v>1</v>
      </c>
      <c r="I53" s="10" t="inlineStr">
        <is>
          <t>DERIVED</t>
        </is>
      </c>
      <c r="J53" s="10" t="inlineStr">
        <is>
          <t>PROPOSED</t>
        </is>
      </c>
      <c r="K53" s="10" t="inlineStr">
        <is>
          <t>DERIVED</t>
        </is>
      </c>
      <c r="L53" s="10" t="inlineStr">
        <is>
          <t>baixa</t>
        </is>
      </c>
      <c r="M53" s="10" t="inlineStr">
        <is>
          <t>["D01-DOC-TAP-001.OBJECTIVE.RESULTADO_FINAL_ESPERADO"]</t>
        </is>
      </c>
    </row>
    <row r="54">
      <c r="A54" s="10" t="inlineStr">
        <is>
          <t>D01-DOC-TAP-001.SCOPE.ESCOPO_INCLUIDO</t>
        </is>
      </c>
      <c r="B54" s="10" t="inlineStr">
        <is>
          <t>D01-DOC-TAP-001</t>
        </is>
      </c>
      <c r="C54" s="10" t="inlineStr">
        <is>
          <t>D01-DOC-TAP-001-T03</t>
        </is>
      </c>
      <c r="D54" s="10" t="inlineStr">
        <is>
          <t>escopo_incluido</t>
        </is>
      </c>
      <c r="E54" s="10" t="inlineStr">
        <is>
          <t>Definir, validar e manter: Escopo Incluido</t>
        </is>
      </c>
      <c r="F54" s="10" t="n"/>
      <c r="G54" s="10" t="b">
        <v>1</v>
      </c>
      <c r="H54" s="10" t="b">
        <v>1</v>
      </c>
      <c r="I54" s="10" t="inlineStr">
        <is>
          <t>DERIVED</t>
        </is>
      </c>
      <c r="J54" s="10" t="inlineStr">
        <is>
          <t>PROPOSED</t>
        </is>
      </c>
      <c r="K54" s="10" t="inlineStr">
        <is>
          <t>DERIVED</t>
        </is>
      </c>
      <c r="L54" s="10" t="inlineStr">
        <is>
          <t>baixa</t>
        </is>
      </c>
      <c r="M54" s="10" t="inlineStr">
        <is>
          <t>["D01-DOC-TAP-001.SCOPE.ESCOPO_INCLUIDO"]</t>
        </is>
      </c>
    </row>
    <row r="55">
      <c r="A55" s="10" t="inlineStr">
        <is>
          <t>D01-DOC-TAP-001.SCOPE.ESCOPO_EXCLUIDO</t>
        </is>
      </c>
      <c r="B55" s="10" t="inlineStr">
        <is>
          <t>D01-DOC-TAP-001</t>
        </is>
      </c>
      <c r="C55" s="10" t="inlineStr">
        <is>
          <t>D01-DOC-TAP-001-T03</t>
        </is>
      </c>
      <c r="D55" s="10" t="inlineStr">
        <is>
          <t>escopo_excluido</t>
        </is>
      </c>
      <c r="E55" s="10" t="inlineStr">
        <is>
          <t>Definir, validar e manter: Escopo Excluido</t>
        </is>
      </c>
      <c r="F55" s="10" t="n"/>
      <c r="G55" s="10" t="b">
        <v>1</v>
      </c>
      <c r="H55" s="10" t="b">
        <v>1</v>
      </c>
      <c r="I55" s="10" t="inlineStr">
        <is>
          <t>DERIVED</t>
        </is>
      </c>
      <c r="J55" s="10" t="inlineStr">
        <is>
          <t>PROPOSED</t>
        </is>
      </c>
      <c r="K55" s="10" t="inlineStr">
        <is>
          <t>DERIVED</t>
        </is>
      </c>
      <c r="L55" s="10" t="inlineStr">
        <is>
          <t>baixa</t>
        </is>
      </c>
      <c r="M55" s="10" t="inlineStr">
        <is>
          <t>["D01-DOC-TAP-001.SCOPE.ESCOPO_EXCLUIDO"]</t>
        </is>
      </c>
    </row>
    <row r="56">
      <c r="A56" s="10" t="inlineStr">
        <is>
          <t>D01-DOC-TAP-001.SCOPE.FRONTEIRAS</t>
        </is>
      </c>
      <c r="B56" s="10" t="inlineStr">
        <is>
          <t>D01-DOC-TAP-001</t>
        </is>
      </c>
      <c r="C56" s="10" t="inlineStr">
        <is>
          <t>D01-DOC-TAP-001-T03</t>
        </is>
      </c>
      <c r="D56" s="10" t="inlineStr">
        <is>
          <t>fronteiras</t>
        </is>
      </c>
      <c r="E56" s="10" t="inlineStr">
        <is>
          <t>Definir, validar e manter: Fronteiras</t>
        </is>
      </c>
      <c r="F56" s="10" t="n"/>
      <c r="G56" s="10" t="b">
        <v>1</v>
      </c>
      <c r="H56" s="10" t="b">
        <v>1</v>
      </c>
      <c r="I56" s="10" t="inlineStr">
        <is>
          <t>DERIVED</t>
        </is>
      </c>
      <c r="J56" s="10" t="inlineStr">
        <is>
          <t>PROPOSED</t>
        </is>
      </c>
      <c r="K56" s="10" t="inlineStr">
        <is>
          <t>DERIVED</t>
        </is>
      </c>
      <c r="L56" s="10" t="inlineStr">
        <is>
          <t>baixa</t>
        </is>
      </c>
      <c r="M56" s="10" t="inlineStr">
        <is>
          <t>["D01-DOC-TAP-001.SCOPE.FRONTEIRAS"]</t>
        </is>
      </c>
    </row>
    <row r="57">
      <c r="A57" s="10" t="inlineStr">
        <is>
          <t>D01-DOC-TAP-001.DELIVERABLES.ENTREGAVEIS_PRINCIPAIS</t>
        </is>
      </c>
      <c r="B57" s="10" t="inlineStr">
        <is>
          <t>D01-DOC-TAP-001</t>
        </is>
      </c>
      <c r="C57" s="10" t="inlineStr">
        <is>
          <t>D01-DOC-TAP-001-T04</t>
        </is>
      </c>
      <c r="D57" s="10" t="inlineStr">
        <is>
          <t>entregaveis_principais</t>
        </is>
      </c>
      <c r="E57" s="10" t="inlineStr">
        <is>
          <t>Definir, validar e manter: Entregaveis Principais</t>
        </is>
      </c>
      <c r="F57" s="10" t="n"/>
      <c r="G57" s="10" t="b">
        <v>1</v>
      </c>
      <c r="H57" s="10" t="b">
        <v>1</v>
      </c>
      <c r="I57" s="10" t="inlineStr">
        <is>
          <t>DERIVED</t>
        </is>
      </c>
      <c r="J57" s="10" t="inlineStr">
        <is>
          <t>PROPOSED</t>
        </is>
      </c>
      <c r="K57" s="10" t="inlineStr">
        <is>
          <t>DERIVED</t>
        </is>
      </c>
      <c r="L57" s="10" t="inlineStr">
        <is>
          <t>baixa</t>
        </is>
      </c>
      <c r="M57" s="10" t="inlineStr">
        <is>
          <t>["D01-DOC-TAP-001.DELIVERABLES.ENTREGAVEIS_PRINCIPAIS"]</t>
        </is>
      </c>
    </row>
    <row r="58">
      <c r="A58" s="10" t="inlineStr">
        <is>
          <t>D01-DOC-TAP-001.DELIVERABLES.DEFINITION_OF_DONE</t>
        </is>
      </c>
      <c r="B58" s="10" t="inlineStr">
        <is>
          <t>D01-DOC-TAP-001</t>
        </is>
      </c>
      <c r="C58" s="10" t="inlineStr">
        <is>
          <t>D01-DOC-TAP-001-T04</t>
        </is>
      </c>
      <c r="D58" s="10" t="inlineStr">
        <is>
          <t>definition_of_done</t>
        </is>
      </c>
      <c r="E58" s="10" t="inlineStr">
        <is>
          <t>Definir, validar e manter: Definition Of Done</t>
        </is>
      </c>
      <c r="F58" s="10" t="n"/>
      <c r="G58" s="10" t="b">
        <v>1</v>
      </c>
      <c r="H58" s="10" t="b">
        <v>1</v>
      </c>
      <c r="I58" s="10" t="inlineStr">
        <is>
          <t>DERIVED</t>
        </is>
      </c>
      <c r="J58" s="10" t="inlineStr">
        <is>
          <t>PROPOSED</t>
        </is>
      </c>
      <c r="K58" s="10" t="inlineStr">
        <is>
          <t>DERIVED</t>
        </is>
      </c>
      <c r="L58" s="10" t="inlineStr">
        <is>
          <t>baixa</t>
        </is>
      </c>
      <c r="M58" s="10" t="inlineStr">
        <is>
          <t>["D01-DOC-TAP-001.DELIVERABLES.DEFINITION_OF_DONE"]</t>
        </is>
      </c>
    </row>
    <row r="59">
      <c r="A59" s="10" t="inlineStr">
        <is>
          <t>D01-DOC-TAP-001.MILESTONES.MARCOS</t>
        </is>
      </c>
      <c r="B59" s="10" t="inlineStr">
        <is>
          <t>D01-DOC-TAP-001</t>
        </is>
      </c>
      <c r="C59" s="10" t="inlineStr">
        <is>
          <t>D01-DOC-TAP-001-T05</t>
        </is>
      </c>
      <c r="D59" s="10" t="inlineStr">
        <is>
          <t>marcos</t>
        </is>
      </c>
      <c r="E59" s="10" t="inlineStr">
        <is>
          <t>Definir, validar e manter: Marcos</t>
        </is>
      </c>
      <c r="F59" s="10" t="n"/>
      <c r="G59" s="10" t="b">
        <v>1</v>
      </c>
      <c r="H59" s="10" t="b">
        <v>1</v>
      </c>
      <c r="I59" s="10" t="inlineStr">
        <is>
          <t>DERIVED</t>
        </is>
      </c>
      <c r="J59" s="10" t="inlineStr">
        <is>
          <t>PROPOSED</t>
        </is>
      </c>
      <c r="K59" s="10" t="inlineStr">
        <is>
          <t>DERIVED</t>
        </is>
      </c>
      <c r="L59" s="10" t="inlineStr">
        <is>
          <t>baixa</t>
        </is>
      </c>
      <c r="M59" s="10" t="inlineStr">
        <is>
          <t>["D01-DOC-TAP-001.MILESTONES.MARCOS"]</t>
        </is>
      </c>
    </row>
    <row r="60">
      <c r="A60" s="10" t="inlineStr">
        <is>
          <t>D01-DOC-TAP-001.MILESTONES.DATAS_EXISTENTES</t>
        </is>
      </c>
      <c r="B60" s="10" t="inlineStr">
        <is>
          <t>D01-DOC-TAP-001</t>
        </is>
      </c>
      <c r="C60" s="10" t="inlineStr">
        <is>
          <t>D01-DOC-TAP-001-T05</t>
        </is>
      </c>
      <c r="D60" s="10" t="inlineStr">
        <is>
          <t>datas_existentes</t>
        </is>
      </c>
      <c r="E60" s="10" t="inlineStr">
        <is>
          <t>Definir, validar e manter: Datas Existentes</t>
        </is>
      </c>
      <c r="F60" s="10" t="n"/>
      <c r="G60" s="10" t="b">
        <v>1</v>
      </c>
      <c r="H60" s="10" t="b">
        <v>1</v>
      </c>
      <c r="I60" s="10" t="inlineStr">
        <is>
          <t>DERIVED</t>
        </is>
      </c>
      <c r="J60" s="10" t="inlineStr">
        <is>
          <t>PROPOSED</t>
        </is>
      </c>
      <c r="K60" s="10" t="inlineStr">
        <is>
          <t>DERIVED</t>
        </is>
      </c>
      <c r="L60" s="10" t="inlineStr">
        <is>
          <t>baixa</t>
        </is>
      </c>
      <c r="M60" s="10" t="inlineStr">
        <is>
          <t>["D01-DOC-TAP-001.MILESTONES.DATAS_EXISTENTES"]</t>
        </is>
      </c>
    </row>
    <row r="61">
      <c r="A61" s="10" t="inlineStr">
        <is>
          <t>D01-DOC-TAP-001.STAKEHOLDERS.PARTICIPANTES</t>
        </is>
      </c>
      <c r="B61" s="10" t="inlineStr">
        <is>
          <t>D01-DOC-TAP-001</t>
        </is>
      </c>
      <c r="C61" s="10" t="inlineStr">
        <is>
          <t>D01-DOC-TAP-001-T06</t>
        </is>
      </c>
      <c r="D61" s="10" t="inlineStr">
        <is>
          <t>participantes</t>
        </is>
      </c>
      <c r="E61" s="10" t="inlineStr">
        <is>
          <t>Definir, validar e manter: Participantes</t>
        </is>
      </c>
      <c r="F61" s="10" t="n"/>
      <c r="G61" s="10" t="b">
        <v>1</v>
      </c>
      <c r="H61" s="10" t="b">
        <v>1</v>
      </c>
      <c r="I61" s="10" t="inlineStr">
        <is>
          <t>DERIVED</t>
        </is>
      </c>
      <c r="J61" s="10" t="inlineStr">
        <is>
          <t>PROPOSED</t>
        </is>
      </c>
      <c r="K61" s="10" t="inlineStr">
        <is>
          <t>DERIVED</t>
        </is>
      </c>
      <c r="L61" s="10" t="inlineStr">
        <is>
          <t>baixa</t>
        </is>
      </c>
      <c r="M61" s="10" t="inlineStr">
        <is>
          <t>["D01-DOC-TAP-001.STAKEHOLDERS.PARTICIPANTES"]</t>
        </is>
      </c>
    </row>
    <row r="62">
      <c r="A62" s="10" t="inlineStr">
        <is>
          <t>D01-DOC-TAP-001.STAKEHOLDERS.PAPEIS</t>
        </is>
      </c>
      <c r="B62" s="10" t="inlineStr">
        <is>
          <t>D01-DOC-TAP-001</t>
        </is>
      </c>
      <c r="C62" s="10" t="inlineStr">
        <is>
          <t>D01-DOC-TAP-001-T06</t>
        </is>
      </c>
      <c r="D62" s="10" t="inlineStr">
        <is>
          <t>papeis</t>
        </is>
      </c>
      <c r="E62" s="10" t="inlineStr">
        <is>
          <t>Definir, validar e manter: Papeis</t>
        </is>
      </c>
      <c r="F62" s="10" t="n"/>
      <c r="G62" s="10" t="b">
        <v>1</v>
      </c>
      <c r="H62" s="10" t="b">
        <v>1</v>
      </c>
      <c r="I62" s="10" t="inlineStr">
        <is>
          <t>DERIVED</t>
        </is>
      </c>
      <c r="J62" s="10" t="inlineStr">
        <is>
          <t>PROPOSED</t>
        </is>
      </c>
      <c r="K62" s="10" t="inlineStr">
        <is>
          <t>DERIVED</t>
        </is>
      </c>
      <c r="L62" s="10" t="inlineStr">
        <is>
          <t>baixa</t>
        </is>
      </c>
      <c r="M62" s="10" t="inlineStr">
        <is>
          <t>["D01-DOC-TAP-001.STAKEHOLDERS.PAPEIS"]</t>
        </is>
      </c>
    </row>
    <row r="63">
      <c r="A63" s="10" t="inlineStr">
        <is>
          <t>D01-DOC-TAP-001.STAKEHOLDERS.RESPONSABILIDADES</t>
        </is>
      </c>
      <c r="B63" s="10" t="inlineStr">
        <is>
          <t>D01-DOC-TAP-001</t>
        </is>
      </c>
      <c r="C63" s="10" t="inlineStr">
        <is>
          <t>D01-DOC-TAP-001-T06</t>
        </is>
      </c>
      <c r="D63" s="10" t="inlineStr">
        <is>
          <t>responsabilidades</t>
        </is>
      </c>
      <c r="E63" s="10" t="inlineStr">
        <is>
          <t>Definir, validar e manter: Responsabilidades</t>
        </is>
      </c>
      <c r="F63" s="10" t="n"/>
      <c r="G63" s="10" t="b">
        <v>1</v>
      </c>
      <c r="H63" s="10" t="b">
        <v>1</v>
      </c>
      <c r="I63" s="10" t="inlineStr">
        <is>
          <t>DERIVED</t>
        </is>
      </c>
      <c r="J63" s="10" t="inlineStr">
        <is>
          <t>PROPOSED</t>
        </is>
      </c>
      <c r="K63" s="10" t="inlineStr">
        <is>
          <t>DERIVED</t>
        </is>
      </c>
      <c r="L63" s="10" t="inlineStr">
        <is>
          <t>baixa</t>
        </is>
      </c>
      <c r="M63" s="10" t="inlineStr">
        <is>
          <t>["D01-DOC-TAP-001.STAKEHOLDERS.RESPONSABILIDADES"]</t>
        </is>
      </c>
    </row>
    <row r="64">
      <c r="A64" s="10" t="inlineStr">
        <is>
          <t>D01-DOC-TAP-001.CONSTRAINTS.RESTRICOES</t>
        </is>
      </c>
      <c r="B64" s="10" t="inlineStr">
        <is>
          <t>D01-DOC-TAP-001</t>
        </is>
      </c>
      <c r="C64" s="10" t="inlineStr">
        <is>
          <t>D01-DOC-TAP-001-T07</t>
        </is>
      </c>
      <c r="D64" s="10" t="inlineStr">
        <is>
          <t>restricoes</t>
        </is>
      </c>
      <c r="E64" s="10" t="inlineStr">
        <is>
          <t>Definir, validar e manter: Restricoes</t>
        </is>
      </c>
      <c r="F64" s="10" t="n"/>
      <c r="G64" s="10" t="b">
        <v>1</v>
      </c>
      <c r="H64" s="10" t="b">
        <v>1</v>
      </c>
      <c r="I64" s="10" t="inlineStr">
        <is>
          <t>DERIVED</t>
        </is>
      </c>
      <c r="J64" s="10" t="inlineStr">
        <is>
          <t>PROPOSED</t>
        </is>
      </c>
      <c r="K64" s="10" t="inlineStr">
        <is>
          <t>DERIVED</t>
        </is>
      </c>
      <c r="L64" s="10" t="inlineStr">
        <is>
          <t>baixa</t>
        </is>
      </c>
      <c r="M64" s="10" t="inlineStr">
        <is>
          <t>["D01-DOC-TAP-001.CONSTRAINTS.RESTRICOES"]</t>
        </is>
      </c>
    </row>
    <row r="65">
      <c r="A65" s="10" t="inlineStr">
        <is>
          <t>D01-DOC-TAP-001.CONSTRAINTS.PREMISSAS</t>
        </is>
      </c>
      <c r="B65" s="10" t="inlineStr">
        <is>
          <t>D01-DOC-TAP-001</t>
        </is>
      </c>
      <c r="C65" s="10" t="inlineStr">
        <is>
          <t>D01-DOC-TAP-001-T07</t>
        </is>
      </c>
      <c r="D65" s="10" t="inlineStr">
        <is>
          <t>premissas</t>
        </is>
      </c>
      <c r="E65" s="10" t="inlineStr">
        <is>
          <t>Definir, validar e manter: Premissas</t>
        </is>
      </c>
      <c r="F65" s="10" t="n"/>
      <c r="G65" s="10" t="b">
        <v>1</v>
      </c>
      <c r="H65" s="10" t="b">
        <v>1</v>
      </c>
      <c r="I65" s="10" t="inlineStr">
        <is>
          <t>DERIVED</t>
        </is>
      </c>
      <c r="J65" s="10" t="inlineStr">
        <is>
          <t>PROPOSED</t>
        </is>
      </c>
      <c r="K65" s="10" t="inlineStr">
        <is>
          <t>DERIVED</t>
        </is>
      </c>
      <c r="L65" s="10" t="inlineStr">
        <is>
          <t>baixa</t>
        </is>
      </c>
      <c r="M65" s="10" t="inlineStr">
        <is>
          <t>["D01-DOC-TAP-001.CONSTRAINTS.PREMISSAS"]</t>
        </is>
      </c>
    </row>
    <row r="66">
      <c r="A66" s="10" t="inlineStr">
        <is>
          <t>D01-DOC-TAP-001.CONSTRAINTS.DEPENDENCIAS</t>
        </is>
      </c>
      <c r="B66" s="10" t="inlineStr">
        <is>
          <t>D01-DOC-TAP-001</t>
        </is>
      </c>
      <c r="C66" s="10" t="inlineStr">
        <is>
          <t>D01-DOC-TAP-001-T07</t>
        </is>
      </c>
      <c r="D66" s="10" t="inlineStr">
        <is>
          <t>dependencias</t>
        </is>
      </c>
      <c r="E66" s="10" t="inlineStr">
        <is>
          <t>Definir, validar e manter: Dependencias</t>
        </is>
      </c>
      <c r="F66" s="10" t="n"/>
      <c r="G66" s="10" t="b">
        <v>1</v>
      </c>
      <c r="H66" s="10" t="b">
        <v>1</v>
      </c>
      <c r="I66" s="10" t="inlineStr">
        <is>
          <t>DERIVED</t>
        </is>
      </c>
      <c r="J66" s="10" t="inlineStr">
        <is>
          <t>PROPOSED</t>
        </is>
      </c>
      <c r="K66" s="10" t="inlineStr">
        <is>
          <t>DERIVED</t>
        </is>
      </c>
      <c r="L66" s="10" t="inlineStr">
        <is>
          <t>baixa</t>
        </is>
      </c>
      <c r="M66" s="10" t="inlineStr">
        <is>
          <t>["D01-DOC-TAP-001.CONSTRAINTS.DEPENDENCIAS"]</t>
        </is>
      </c>
    </row>
    <row r="67">
      <c r="A67" s="10" t="inlineStr">
        <is>
          <t>D01-DOC-TAP-001.RESOURCES.CAPACIDADE</t>
        </is>
      </c>
      <c r="B67" s="10" t="inlineStr">
        <is>
          <t>D01-DOC-TAP-001</t>
        </is>
      </c>
      <c r="C67" s="10" t="inlineStr">
        <is>
          <t>D01-DOC-TAP-001-T08</t>
        </is>
      </c>
      <c r="D67" s="10" t="inlineStr">
        <is>
          <t>capacidade</t>
        </is>
      </c>
      <c r="E67" s="10" t="inlineStr">
        <is>
          <t>Definir, validar e manter: Capacidade</t>
        </is>
      </c>
      <c r="F67" s="10" t="n"/>
      <c r="G67" s="10" t="b">
        <v>1</v>
      </c>
      <c r="H67" s="10" t="b">
        <v>1</v>
      </c>
      <c r="I67" s="10" t="inlineStr">
        <is>
          <t>DERIVED</t>
        </is>
      </c>
      <c r="J67" s="10" t="inlineStr">
        <is>
          <t>PROPOSED</t>
        </is>
      </c>
      <c r="K67" s="10" t="inlineStr">
        <is>
          <t>DERIVED</t>
        </is>
      </c>
      <c r="L67" s="10" t="inlineStr">
        <is>
          <t>baixa</t>
        </is>
      </c>
      <c r="M67" s="10" t="inlineStr">
        <is>
          <t>["D01-DOC-TAP-001.RESOURCES.CAPACIDADE"]</t>
        </is>
      </c>
    </row>
    <row r="68">
      <c r="A68" s="10" t="inlineStr">
        <is>
          <t>D01-DOC-TAP-001.RESOURCES.RECURSOS</t>
        </is>
      </c>
      <c r="B68" s="10" t="inlineStr">
        <is>
          <t>D01-DOC-TAP-001</t>
        </is>
      </c>
      <c r="C68" s="10" t="inlineStr">
        <is>
          <t>D01-DOC-TAP-001-T08</t>
        </is>
      </c>
      <c r="D68" s="10" t="inlineStr">
        <is>
          <t>recursos</t>
        </is>
      </c>
      <c r="E68" s="10" t="inlineStr">
        <is>
          <t>Definir, validar e manter: Recursos</t>
        </is>
      </c>
      <c r="F68" s="10" t="n"/>
      <c r="G68" s="10" t="b">
        <v>1</v>
      </c>
      <c r="H68" s="10" t="b">
        <v>1</v>
      </c>
      <c r="I68" s="10" t="inlineStr">
        <is>
          <t>DERIVED</t>
        </is>
      </c>
      <c r="J68" s="10" t="inlineStr">
        <is>
          <t>PROPOSED</t>
        </is>
      </c>
      <c r="K68" s="10" t="inlineStr">
        <is>
          <t>DERIVED</t>
        </is>
      </c>
      <c r="L68" s="10" t="inlineStr">
        <is>
          <t>baixa</t>
        </is>
      </c>
      <c r="M68" s="10" t="inlineStr">
        <is>
          <t>["D01-DOC-TAP-001.RESOURCES.RECURSOS"]</t>
        </is>
      </c>
    </row>
    <row r="69">
      <c r="A69" s="10" t="inlineStr">
        <is>
          <t>D01-DOC-TAP-001.RESOURCES.ORCAMENTO</t>
        </is>
      </c>
      <c r="B69" s="10" t="inlineStr">
        <is>
          <t>D01-DOC-TAP-001</t>
        </is>
      </c>
      <c r="C69" s="10" t="inlineStr">
        <is>
          <t>D01-DOC-TAP-001-T08</t>
        </is>
      </c>
      <c r="D69" s="10" t="inlineStr">
        <is>
          <t>orcamento</t>
        </is>
      </c>
      <c r="E69" s="10" t="inlineStr">
        <is>
          <t>Definir, validar e manter: Orcamento</t>
        </is>
      </c>
      <c r="F69" s="10" t="n"/>
      <c r="G69" s="10" t="b">
        <v>1</v>
      </c>
      <c r="H69" s="10" t="b">
        <v>1</v>
      </c>
      <c r="I69" s="10" t="inlineStr">
        <is>
          <t>DERIVED</t>
        </is>
      </c>
      <c r="J69" s="10" t="inlineStr">
        <is>
          <t>PROPOSED</t>
        </is>
      </c>
      <c r="K69" s="10" t="inlineStr">
        <is>
          <t>DERIVED</t>
        </is>
      </c>
      <c r="L69" s="10" t="inlineStr">
        <is>
          <t>baixa</t>
        </is>
      </c>
      <c r="M69" s="10" t="inlineStr">
        <is>
          <t>["D01-DOC-TAP-001.RESOURCES.ORCAMENTO"]</t>
        </is>
      </c>
    </row>
    <row r="70">
      <c r="A70" s="10" t="inlineStr">
        <is>
          <t>D01-DOC-TAP-001.SUCCESS.CRITERIOS_DE_ACEITE</t>
        </is>
      </c>
      <c r="B70" s="10" t="inlineStr">
        <is>
          <t>D01-DOC-TAP-001</t>
        </is>
      </c>
      <c r="C70" s="10" t="inlineStr">
        <is>
          <t>D01-DOC-TAP-001-T09</t>
        </is>
      </c>
      <c r="D70" s="10" t="inlineStr">
        <is>
          <t>criterios_de_aceite</t>
        </is>
      </c>
      <c r="E70" s="10" t="inlineStr">
        <is>
          <t>Definir, validar e manter: Criterios De Aceite</t>
        </is>
      </c>
      <c r="F70" s="10" t="n"/>
      <c r="G70" s="10" t="b">
        <v>1</v>
      </c>
      <c r="H70" s="10" t="b">
        <v>1</v>
      </c>
      <c r="I70" s="10" t="inlineStr">
        <is>
          <t>DERIVED</t>
        </is>
      </c>
      <c r="J70" s="10" t="inlineStr">
        <is>
          <t>PROPOSED</t>
        </is>
      </c>
      <c r="K70" s="10" t="inlineStr">
        <is>
          <t>DERIVED</t>
        </is>
      </c>
      <c r="L70" s="10" t="inlineStr">
        <is>
          <t>baixa</t>
        </is>
      </c>
      <c r="M70" s="10" t="inlineStr">
        <is>
          <t>["D01-DOC-TAP-001.SUCCESS.CRITERIOS_DE_ACEITE"]</t>
        </is>
      </c>
    </row>
    <row r="71">
      <c r="A71" s="10" t="inlineStr">
        <is>
          <t>D01-DOC-TAP-001.SUCCESS.INDICADORES_DE_SUCESSO</t>
        </is>
      </c>
      <c r="B71" s="10" t="inlineStr">
        <is>
          <t>D01-DOC-TAP-001</t>
        </is>
      </c>
      <c r="C71" s="10" t="inlineStr">
        <is>
          <t>D01-DOC-TAP-001-T09</t>
        </is>
      </c>
      <c r="D71" s="10" t="inlineStr">
        <is>
          <t>indicadores_de_sucesso</t>
        </is>
      </c>
      <c r="E71" s="10" t="inlineStr">
        <is>
          <t>Definir, validar e manter: Indicadores De Sucesso</t>
        </is>
      </c>
      <c r="F71" s="10" t="n"/>
      <c r="G71" s="10" t="b">
        <v>1</v>
      </c>
      <c r="H71" s="10" t="b">
        <v>1</v>
      </c>
      <c r="I71" s="10" t="inlineStr">
        <is>
          <t>DERIVED</t>
        </is>
      </c>
      <c r="J71" s="10" t="inlineStr">
        <is>
          <t>PROPOSED</t>
        </is>
      </c>
      <c r="K71" s="10" t="inlineStr">
        <is>
          <t>DERIVED</t>
        </is>
      </c>
      <c r="L71" s="10" t="inlineStr">
        <is>
          <t>baixa</t>
        </is>
      </c>
      <c r="M71" s="10" t="inlineStr">
        <is>
          <t>["D01-DOC-TAP-001.SUCCESS.INDICADORES_DE_SUCESSO"]</t>
        </is>
      </c>
    </row>
    <row r="72">
      <c r="A72" s="10" t="inlineStr">
        <is>
          <t>D01-DOC-TAP-001.RISKS.RISCOS_INICIAIS</t>
        </is>
      </c>
      <c r="B72" s="10" t="inlineStr">
        <is>
          <t>D01-DOC-TAP-001</t>
        </is>
      </c>
      <c r="C72" s="10" t="inlineStr">
        <is>
          <t>D01-DOC-TAP-001-T10</t>
        </is>
      </c>
      <c r="D72" s="10" t="inlineStr">
        <is>
          <t>riscos_iniciais</t>
        </is>
      </c>
      <c r="E72" s="10" t="inlineStr">
        <is>
          <t>Definir, validar e manter: Riscos Iniciais</t>
        </is>
      </c>
      <c r="F72" s="10" t="n"/>
      <c r="G72" s="10" t="b">
        <v>1</v>
      </c>
      <c r="H72" s="10" t="b">
        <v>1</v>
      </c>
      <c r="I72" s="10" t="inlineStr">
        <is>
          <t>DERIVED</t>
        </is>
      </c>
      <c r="J72" s="10" t="inlineStr">
        <is>
          <t>PROPOSED</t>
        </is>
      </c>
      <c r="K72" s="10" t="inlineStr">
        <is>
          <t>DERIVED</t>
        </is>
      </c>
      <c r="L72" s="10" t="inlineStr">
        <is>
          <t>baixa</t>
        </is>
      </c>
      <c r="M72" s="10" t="inlineStr">
        <is>
          <t>["D01-DOC-TAP-001.RISKS.RISCOS_INICIAIS"]</t>
        </is>
      </c>
    </row>
    <row r="73">
      <c r="A73" s="10" t="inlineStr">
        <is>
          <t>D01-DOC-TAP-001.APPROVALS.APROVADORES</t>
        </is>
      </c>
      <c r="B73" s="10" t="inlineStr">
        <is>
          <t>D01-DOC-TAP-001</t>
        </is>
      </c>
      <c r="C73" s="10" t="inlineStr">
        <is>
          <t>D01-DOC-TAP-001-T11</t>
        </is>
      </c>
      <c r="D73" s="10" t="inlineStr">
        <is>
          <t>aprovadores</t>
        </is>
      </c>
      <c r="E73" s="10" t="inlineStr">
        <is>
          <t>Definir, validar e manter: Aprovadores</t>
        </is>
      </c>
      <c r="F73" s="10" t="n"/>
      <c r="G73" s="10" t="b">
        <v>1</v>
      </c>
      <c r="H73" s="10" t="b">
        <v>1</v>
      </c>
      <c r="I73" s="10" t="inlineStr">
        <is>
          <t>EXTERNAL</t>
        </is>
      </c>
      <c r="J73" s="10" t="inlineStr">
        <is>
          <t>EXTERNAL_EVIDENCE</t>
        </is>
      </c>
      <c r="K73" s="10" t="inlineStr">
        <is>
          <t>EXTERNAL</t>
        </is>
      </c>
      <c r="L73" s="10" t="inlineStr">
        <is>
          <t>media</t>
        </is>
      </c>
      <c r="M73" s="10" t="inlineStr">
        <is>
          <t>["D01-DOC-TAP-001.APPROVALS.APROVADORES"]</t>
        </is>
      </c>
    </row>
    <row r="74">
      <c r="A74" s="10" t="inlineStr">
        <is>
          <t>D01-DOC-TAP-001.APPROVALS.STATUS_APROVACAO</t>
        </is>
      </c>
      <c r="B74" s="10" t="inlineStr">
        <is>
          <t>D01-DOC-TAP-001</t>
        </is>
      </c>
      <c r="C74" s="10" t="inlineStr">
        <is>
          <t>D01-DOC-TAP-001-T11</t>
        </is>
      </c>
      <c r="D74" s="10" t="inlineStr">
        <is>
          <t>status_aprovacao</t>
        </is>
      </c>
      <c r="E74" s="10" t="inlineStr">
        <is>
          <t>Definir, validar e manter: Status Aprovacao</t>
        </is>
      </c>
      <c r="F74" s="10" t="n"/>
      <c r="G74" s="10" t="b">
        <v>1</v>
      </c>
      <c r="H74" s="10" t="b">
        <v>1</v>
      </c>
      <c r="I74" s="10" t="inlineStr">
        <is>
          <t>DERIVED</t>
        </is>
      </c>
      <c r="J74" s="10" t="inlineStr">
        <is>
          <t>PROPOSED</t>
        </is>
      </c>
      <c r="K74" s="10" t="inlineStr">
        <is>
          <t>DERIVED</t>
        </is>
      </c>
      <c r="L74" s="10" t="inlineStr">
        <is>
          <t>baixa</t>
        </is>
      </c>
      <c r="M74" s="10" t="inlineStr">
        <is>
          <t>["D01-DOC-TAP-001.APPROVALS.STATUS_APROVACAO"]</t>
        </is>
      </c>
    </row>
    <row r="75">
      <c r="A75" s="10" t="inlineStr">
        <is>
          <t>D01-DOC-MNE-001.CUSTOMER.SEGMENTOS</t>
        </is>
      </c>
      <c r="B75" s="10" t="inlineStr">
        <is>
          <t>D01-DOC-MNE-001</t>
        </is>
      </c>
      <c r="C75" s="10" t="inlineStr">
        <is>
          <t>D01-DOC-MNE-001-T01</t>
        </is>
      </c>
      <c r="D75" s="10" t="inlineStr">
        <is>
          <t>segmentos</t>
        </is>
      </c>
      <c r="E75" s="10" t="inlineStr">
        <is>
          <t>Definir, validar e manter: Segmentos</t>
        </is>
      </c>
      <c r="F75" s="10" t="n"/>
      <c r="G75" s="10" t="b">
        <v>1</v>
      </c>
      <c r="H75" s="10" t="b">
        <v>1</v>
      </c>
      <c r="I75" s="10" t="inlineStr">
        <is>
          <t>DERIVED</t>
        </is>
      </c>
      <c r="J75" s="10" t="inlineStr">
        <is>
          <t>PROPOSED</t>
        </is>
      </c>
      <c r="K75" s="10" t="inlineStr">
        <is>
          <t>DERIVED</t>
        </is>
      </c>
      <c r="L75" s="10" t="inlineStr">
        <is>
          <t>baixa</t>
        </is>
      </c>
      <c r="M75" s="10" t="inlineStr">
        <is>
          <t>["D01-DOC-MNE-001.CUSTOMER.SEGMENTOS"]</t>
        </is>
      </c>
    </row>
    <row r="76">
      <c r="A76" s="10" t="inlineStr">
        <is>
          <t>D01-DOC-MNE-001.CUSTOMER.USUARIOS</t>
        </is>
      </c>
      <c r="B76" s="10" t="inlineStr">
        <is>
          <t>D01-DOC-MNE-001</t>
        </is>
      </c>
      <c r="C76" s="10" t="inlineStr">
        <is>
          <t>D01-DOC-MNE-001-T01</t>
        </is>
      </c>
      <c r="D76" s="10" t="inlineStr">
        <is>
          <t>usuarios</t>
        </is>
      </c>
      <c r="E76" s="10" t="inlineStr">
        <is>
          <t>Definir, validar e manter: Usuarios</t>
        </is>
      </c>
      <c r="F76" s="10" t="n"/>
      <c r="G76" s="10" t="b">
        <v>1</v>
      </c>
      <c r="H76" s="10" t="b">
        <v>1</v>
      </c>
      <c r="I76" s="10" t="inlineStr">
        <is>
          <t>DERIVED</t>
        </is>
      </c>
      <c r="J76" s="10" t="inlineStr">
        <is>
          <t>PROPOSED</t>
        </is>
      </c>
      <c r="K76" s="10" t="inlineStr">
        <is>
          <t>DERIVED</t>
        </is>
      </c>
      <c r="L76" s="10" t="inlineStr">
        <is>
          <t>baixa</t>
        </is>
      </c>
      <c r="M76" s="10" t="inlineStr">
        <is>
          <t>["D01-DOC-MNE-001.CUSTOMER.USUARIOS"]</t>
        </is>
      </c>
    </row>
    <row r="77">
      <c r="A77" s="10" t="inlineStr">
        <is>
          <t>D01-DOC-MNE-001.CUSTOMER.CLIENTES</t>
        </is>
      </c>
      <c r="B77" s="10" t="inlineStr">
        <is>
          <t>D01-DOC-MNE-001</t>
        </is>
      </c>
      <c r="C77" s="10" t="inlineStr">
        <is>
          <t>D01-DOC-MNE-001-T01</t>
        </is>
      </c>
      <c r="D77" s="10" t="inlineStr">
        <is>
          <t>clientes</t>
        </is>
      </c>
      <c r="E77" s="10" t="inlineStr">
        <is>
          <t>Definir, validar e manter: Clientes</t>
        </is>
      </c>
      <c r="F77" s="10" t="n"/>
      <c r="G77" s="10" t="b">
        <v>1</v>
      </c>
      <c r="H77" s="10" t="b">
        <v>1</v>
      </c>
      <c r="I77" s="10" t="inlineStr">
        <is>
          <t>DERIVED</t>
        </is>
      </c>
      <c r="J77" s="10" t="inlineStr">
        <is>
          <t>PROPOSED</t>
        </is>
      </c>
      <c r="K77" s="10" t="inlineStr">
        <is>
          <t>DERIVED</t>
        </is>
      </c>
      <c r="L77" s="10" t="inlineStr">
        <is>
          <t>baixa</t>
        </is>
      </c>
      <c r="M77" s="10" t="inlineStr">
        <is>
          <t>["D01-DOC-MNE-001.CUSTOMER.CLIENTES"]</t>
        </is>
      </c>
    </row>
    <row r="78">
      <c r="A78" s="10" t="inlineStr">
        <is>
          <t>D01-DOC-MNE-001.CUSTOMER.PROBLEMAS</t>
        </is>
      </c>
      <c r="B78" s="10" t="inlineStr">
        <is>
          <t>D01-DOC-MNE-001</t>
        </is>
      </c>
      <c r="C78" s="10" t="inlineStr">
        <is>
          <t>D01-DOC-MNE-001-T01</t>
        </is>
      </c>
      <c r="D78" s="10" t="inlineStr">
        <is>
          <t>problemas</t>
        </is>
      </c>
      <c r="E78" s="10" t="inlineStr">
        <is>
          <t>Definir, validar e manter: Problemas</t>
        </is>
      </c>
      <c r="F78" s="10" t="n"/>
      <c r="G78" s="10" t="b">
        <v>1</v>
      </c>
      <c r="H78" s="10" t="b">
        <v>1</v>
      </c>
      <c r="I78" s="10" t="inlineStr">
        <is>
          <t>DERIVED</t>
        </is>
      </c>
      <c r="J78" s="10" t="inlineStr">
        <is>
          <t>PROPOSED</t>
        </is>
      </c>
      <c r="K78" s="10" t="inlineStr">
        <is>
          <t>DERIVED</t>
        </is>
      </c>
      <c r="L78" s="10" t="inlineStr">
        <is>
          <t>baixa</t>
        </is>
      </c>
      <c r="M78" s="10" t="inlineStr">
        <is>
          <t>["D01-DOC-MNE-001.CUSTOMER.PROBLEMAS"]</t>
        </is>
      </c>
    </row>
    <row r="79">
      <c r="A79" s="10" t="inlineStr">
        <is>
          <t>D01-DOC-MNE-001.CUSTOMER.JTBD</t>
        </is>
      </c>
      <c r="B79" s="10" t="inlineStr">
        <is>
          <t>D01-DOC-MNE-001</t>
        </is>
      </c>
      <c r="C79" s="10" t="inlineStr">
        <is>
          <t>D01-DOC-MNE-001-T01</t>
        </is>
      </c>
      <c r="D79" s="10" t="inlineStr">
        <is>
          <t>jtbd</t>
        </is>
      </c>
      <c r="E79" s="10" t="inlineStr">
        <is>
          <t>Definir, validar e manter: JTBD</t>
        </is>
      </c>
      <c r="F79" s="10" t="n"/>
      <c r="G79" s="10" t="b">
        <v>1</v>
      </c>
      <c r="H79" s="10" t="b">
        <v>1</v>
      </c>
      <c r="I79" s="10" t="inlineStr">
        <is>
          <t>DERIVED</t>
        </is>
      </c>
      <c r="J79" s="10" t="inlineStr">
        <is>
          <t>PROPOSED</t>
        </is>
      </c>
      <c r="K79" s="10" t="inlineStr">
        <is>
          <t>DERIVED</t>
        </is>
      </c>
      <c r="L79" s="10" t="inlineStr">
        <is>
          <t>baixa</t>
        </is>
      </c>
      <c r="M79" s="10" t="inlineStr">
        <is>
          <t>["D01-DOC-MNE-001.CUSTOMER.JTBD"]</t>
        </is>
      </c>
    </row>
    <row r="80">
      <c r="A80" s="10" t="inlineStr">
        <is>
          <t>D01-DOC-MNE-001.VALUE.PROPOSTAS_DE_VALOR</t>
        </is>
      </c>
      <c r="B80" s="10" t="inlineStr">
        <is>
          <t>D01-DOC-MNE-001</t>
        </is>
      </c>
      <c r="C80" s="10" t="inlineStr">
        <is>
          <t>D01-DOC-MNE-001-T02</t>
        </is>
      </c>
      <c r="D80" s="10" t="inlineStr">
        <is>
          <t>propostas_de_valor</t>
        </is>
      </c>
      <c r="E80" s="10" t="inlineStr">
        <is>
          <t>Definir, validar e manter: Propostas De Valor</t>
        </is>
      </c>
      <c r="F80" s="10" t="n"/>
      <c r="G80" s="10" t="b">
        <v>1</v>
      </c>
      <c r="H80" s="10" t="b">
        <v>1</v>
      </c>
      <c r="I80" s="10" t="inlineStr">
        <is>
          <t>DERIVED</t>
        </is>
      </c>
      <c r="J80" s="10" t="inlineStr">
        <is>
          <t>PROPOSED</t>
        </is>
      </c>
      <c r="K80" s="10" t="inlineStr">
        <is>
          <t>DERIVED</t>
        </is>
      </c>
      <c r="L80" s="10" t="inlineStr">
        <is>
          <t>baixa</t>
        </is>
      </c>
      <c r="M80" s="10" t="inlineStr">
        <is>
          <t>["D01-DOC-MNE-001.VALUE.PROPOSTAS_DE_VALOR"]</t>
        </is>
      </c>
    </row>
    <row r="81">
      <c r="A81" s="10" t="inlineStr">
        <is>
          <t>D01-DOC-MNE-001.VALUE.BENEFICIOS</t>
        </is>
      </c>
      <c r="B81" s="10" t="inlineStr">
        <is>
          <t>D01-DOC-MNE-001</t>
        </is>
      </c>
      <c r="C81" s="10" t="inlineStr">
        <is>
          <t>D01-DOC-MNE-001-T02</t>
        </is>
      </c>
      <c r="D81" s="10" t="inlineStr">
        <is>
          <t>beneficios</t>
        </is>
      </c>
      <c r="E81" s="10" t="inlineStr">
        <is>
          <t>Definir, validar e manter: Beneficios</t>
        </is>
      </c>
      <c r="F81" s="10" t="n"/>
      <c r="G81" s="10" t="b">
        <v>1</v>
      </c>
      <c r="H81" s="10" t="b">
        <v>1</v>
      </c>
      <c r="I81" s="10" t="inlineStr">
        <is>
          <t>DERIVED</t>
        </is>
      </c>
      <c r="J81" s="10" t="inlineStr">
        <is>
          <t>PROPOSED</t>
        </is>
      </c>
      <c r="K81" s="10" t="inlineStr">
        <is>
          <t>DERIVED</t>
        </is>
      </c>
      <c r="L81" s="10" t="inlineStr">
        <is>
          <t>baixa</t>
        </is>
      </c>
      <c r="M81" s="10" t="inlineStr">
        <is>
          <t>["D01-DOC-MNE-001.VALUE.BENEFICIOS"]</t>
        </is>
      </c>
    </row>
    <row r="82">
      <c r="A82" s="10" t="inlineStr">
        <is>
          <t>D01-DOC-MNE-001.VALUE.DIFERENCIADORES</t>
        </is>
      </c>
      <c r="B82" s="10" t="inlineStr">
        <is>
          <t>D01-DOC-MNE-001</t>
        </is>
      </c>
      <c r="C82" s="10" t="inlineStr">
        <is>
          <t>D01-DOC-MNE-001-T02</t>
        </is>
      </c>
      <c r="D82" s="10" t="inlineStr">
        <is>
          <t>diferenciadores</t>
        </is>
      </c>
      <c r="E82" s="10" t="inlineStr">
        <is>
          <t>Definir, validar e manter: Diferenciadores</t>
        </is>
      </c>
      <c r="F82" s="10" t="n"/>
      <c r="G82" s="10" t="b">
        <v>1</v>
      </c>
      <c r="H82" s="10" t="b">
        <v>1</v>
      </c>
      <c r="I82" s="10" t="inlineStr">
        <is>
          <t>DERIVED</t>
        </is>
      </c>
      <c r="J82" s="10" t="inlineStr">
        <is>
          <t>PROPOSED</t>
        </is>
      </c>
      <c r="K82" s="10" t="inlineStr">
        <is>
          <t>DERIVED</t>
        </is>
      </c>
      <c r="L82" s="10" t="inlineStr">
        <is>
          <t>baixa</t>
        </is>
      </c>
      <c r="M82" s="10" t="inlineStr">
        <is>
          <t>["D01-DOC-MNE-001.VALUE.DIFERENCIADORES"]</t>
        </is>
      </c>
    </row>
    <row r="83">
      <c r="A83" s="10" t="inlineStr">
        <is>
          <t>D01-DOC-MNE-001.VALUE.ALTERNATIVAS_EXISTENTES</t>
        </is>
      </c>
      <c r="B83" s="10" t="inlineStr">
        <is>
          <t>D01-DOC-MNE-001</t>
        </is>
      </c>
      <c r="C83" s="10" t="inlineStr">
        <is>
          <t>D01-DOC-MNE-001-T02</t>
        </is>
      </c>
      <c r="D83" s="10" t="inlineStr">
        <is>
          <t>alternativas_existentes</t>
        </is>
      </c>
      <c r="E83" s="10" t="inlineStr">
        <is>
          <t>Definir, validar e manter: Alternativas Existentes</t>
        </is>
      </c>
      <c r="F83" s="10" t="n"/>
      <c r="G83" s="10" t="b">
        <v>1</v>
      </c>
      <c r="H83" s="10" t="b">
        <v>1</v>
      </c>
      <c r="I83" s="10" t="inlineStr">
        <is>
          <t>DERIVED</t>
        </is>
      </c>
      <c r="J83" s="10" t="inlineStr">
        <is>
          <t>PROPOSED</t>
        </is>
      </c>
      <c r="K83" s="10" t="inlineStr">
        <is>
          <t>DERIVED</t>
        </is>
      </c>
      <c r="L83" s="10" t="inlineStr">
        <is>
          <t>baixa</t>
        </is>
      </c>
      <c r="M83" s="10" t="inlineStr">
        <is>
          <t>["D01-DOC-MNE-001.VALUE.ALTERNATIVAS_EXISTENTES"]</t>
        </is>
      </c>
    </row>
    <row r="84">
      <c r="A84" s="10" t="inlineStr">
        <is>
          <t>D01-DOC-MNE-001.OFFERINGS.PRODUTOS</t>
        </is>
      </c>
      <c r="B84" s="10" t="inlineStr">
        <is>
          <t>D01-DOC-MNE-001</t>
        </is>
      </c>
      <c r="C84" s="10" t="inlineStr">
        <is>
          <t>D01-DOC-MNE-001-T03</t>
        </is>
      </c>
      <c r="D84" s="10" t="inlineStr">
        <is>
          <t>produtos</t>
        </is>
      </c>
      <c r="E84" s="10" t="inlineStr">
        <is>
          <t>Definir, validar e manter: Produtos</t>
        </is>
      </c>
      <c r="F84" s="10" t="n"/>
      <c r="G84" s="10" t="b">
        <v>1</v>
      </c>
      <c r="H84" s="10" t="b">
        <v>1</v>
      </c>
      <c r="I84" s="10" t="inlineStr">
        <is>
          <t>DERIVED</t>
        </is>
      </c>
      <c r="J84" s="10" t="inlineStr">
        <is>
          <t>PROPOSED</t>
        </is>
      </c>
      <c r="K84" s="10" t="inlineStr">
        <is>
          <t>DERIVED</t>
        </is>
      </c>
      <c r="L84" s="10" t="inlineStr">
        <is>
          <t>baixa</t>
        </is>
      </c>
      <c r="M84" s="10" t="inlineStr">
        <is>
          <t>["D01-DOC-MNE-001.OFFERINGS.PRODUTOS"]</t>
        </is>
      </c>
    </row>
    <row r="85">
      <c r="A85" s="10" t="inlineStr">
        <is>
          <t>D01-DOC-MNE-001.OFFERINGS.SERVICOS</t>
        </is>
      </c>
      <c r="B85" s="10" t="inlineStr">
        <is>
          <t>D01-DOC-MNE-001</t>
        </is>
      </c>
      <c r="C85" s="10" t="inlineStr">
        <is>
          <t>D01-DOC-MNE-001-T03</t>
        </is>
      </c>
      <c r="D85" s="10" t="inlineStr">
        <is>
          <t>servicos</t>
        </is>
      </c>
      <c r="E85" s="10" t="inlineStr">
        <is>
          <t>Definir, validar e manter: Servicos</t>
        </is>
      </c>
      <c r="F85" s="10" t="n"/>
      <c r="G85" s="10" t="b">
        <v>1</v>
      </c>
      <c r="H85" s="10" t="b">
        <v>1</v>
      </c>
      <c r="I85" s="10" t="inlineStr">
        <is>
          <t>DERIVED</t>
        </is>
      </c>
      <c r="J85" s="10" t="inlineStr">
        <is>
          <t>PROPOSED</t>
        </is>
      </c>
      <c r="K85" s="10" t="inlineStr">
        <is>
          <t>DERIVED</t>
        </is>
      </c>
      <c r="L85" s="10" t="inlineStr">
        <is>
          <t>baixa</t>
        </is>
      </c>
      <c r="M85" s="10" t="inlineStr">
        <is>
          <t>["D01-DOC-MNE-001.OFFERINGS.SERVICOS"]</t>
        </is>
      </c>
    </row>
    <row r="86">
      <c r="A86" s="10" t="inlineStr">
        <is>
          <t>D01-DOC-MNE-001.OFFERINGS.PLANOS</t>
        </is>
      </c>
      <c r="B86" s="10" t="inlineStr">
        <is>
          <t>D01-DOC-MNE-001</t>
        </is>
      </c>
      <c r="C86" s="10" t="inlineStr">
        <is>
          <t>D01-DOC-MNE-001-T03</t>
        </is>
      </c>
      <c r="D86" s="10" t="inlineStr">
        <is>
          <t>planos</t>
        </is>
      </c>
      <c r="E86" s="10" t="inlineStr">
        <is>
          <t>Definir, validar e manter: Planos</t>
        </is>
      </c>
      <c r="F86" s="10" t="n"/>
      <c r="G86" s="10" t="b">
        <v>1</v>
      </c>
      <c r="H86" s="10" t="b">
        <v>1</v>
      </c>
      <c r="I86" s="10" t="inlineStr">
        <is>
          <t>DERIVED</t>
        </is>
      </c>
      <c r="J86" s="10" t="inlineStr">
        <is>
          <t>PROPOSED</t>
        </is>
      </c>
      <c r="K86" s="10" t="inlineStr">
        <is>
          <t>DERIVED</t>
        </is>
      </c>
      <c r="L86" s="10" t="inlineStr">
        <is>
          <t>baixa</t>
        </is>
      </c>
      <c r="M86" s="10" t="inlineStr">
        <is>
          <t>["D01-DOC-MNE-001.OFFERINGS.PLANOS"]</t>
        </is>
      </c>
    </row>
    <row r="87">
      <c r="A87" s="10" t="inlineStr">
        <is>
          <t>D01-DOC-MNE-001.OFFERINGS.OFERTAS</t>
        </is>
      </c>
      <c r="B87" s="10" t="inlineStr">
        <is>
          <t>D01-DOC-MNE-001</t>
        </is>
      </c>
      <c r="C87" s="10" t="inlineStr">
        <is>
          <t>D01-DOC-MNE-001-T03</t>
        </is>
      </c>
      <c r="D87" s="10" t="inlineStr">
        <is>
          <t>ofertas</t>
        </is>
      </c>
      <c r="E87" s="10" t="inlineStr">
        <is>
          <t>Definir, validar e manter: Ofertas</t>
        </is>
      </c>
      <c r="F87" s="10" t="n"/>
      <c r="G87" s="10" t="b">
        <v>1</v>
      </c>
      <c r="H87" s="10" t="b">
        <v>1</v>
      </c>
      <c r="I87" s="10" t="inlineStr">
        <is>
          <t>DERIVED</t>
        </is>
      </c>
      <c r="J87" s="10" t="inlineStr">
        <is>
          <t>PROPOSED</t>
        </is>
      </c>
      <c r="K87" s="10" t="inlineStr">
        <is>
          <t>DERIVED</t>
        </is>
      </c>
      <c r="L87" s="10" t="inlineStr">
        <is>
          <t>baixa</t>
        </is>
      </c>
      <c r="M87" s="10" t="inlineStr">
        <is>
          <t>["D01-DOC-MNE-001.OFFERINGS.OFERTAS"]</t>
        </is>
      </c>
    </row>
    <row r="88">
      <c r="A88" s="10" t="inlineStr">
        <is>
          <t>D01-DOC-MNE-001.CHANNELS.AQUISICAO</t>
        </is>
      </c>
      <c r="B88" s="10" t="inlineStr">
        <is>
          <t>D01-DOC-MNE-001</t>
        </is>
      </c>
      <c r="C88" s="10" t="inlineStr">
        <is>
          <t>D01-DOC-MNE-001-T04</t>
        </is>
      </c>
      <c r="D88" s="10" t="inlineStr">
        <is>
          <t>aquisicao</t>
        </is>
      </c>
      <c r="E88" s="10" t="inlineStr">
        <is>
          <t>Definir, validar e manter: Aquisicao</t>
        </is>
      </c>
      <c r="F88" s="10" t="n"/>
      <c r="G88" s="10" t="b">
        <v>1</v>
      </c>
      <c r="H88" s="10" t="b">
        <v>1</v>
      </c>
      <c r="I88" s="10" t="inlineStr">
        <is>
          <t>DERIVED</t>
        </is>
      </c>
      <c r="J88" s="10" t="inlineStr">
        <is>
          <t>PROPOSED</t>
        </is>
      </c>
      <c r="K88" s="10" t="inlineStr">
        <is>
          <t>DERIVED</t>
        </is>
      </c>
      <c r="L88" s="10" t="inlineStr">
        <is>
          <t>baixa</t>
        </is>
      </c>
      <c r="M88" s="10" t="inlineStr">
        <is>
          <t>["D01-DOC-MNE-001.CHANNELS.AQUISICAO"]</t>
        </is>
      </c>
    </row>
    <row r="89">
      <c r="A89" s="10" t="inlineStr">
        <is>
          <t>D01-DOC-MNE-001.CHANNELS.DISTRIBUICAO</t>
        </is>
      </c>
      <c r="B89" s="10" t="inlineStr">
        <is>
          <t>D01-DOC-MNE-001</t>
        </is>
      </c>
      <c r="C89" s="10" t="inlineStr">
        <is>
          <t>D01-DOC-MNE-001-T04</t>
        </is>
      </c>
      <c r="D89" s="10" t="inlineStr">
        <is>
          <t>distribuicao</t>
        </is>
      </c>
      <c r="E89" s="10" t="inlineStr">
        <is>
          <t>Definir, validar e manter: Distribuicao</t>
        </is>
      </c>
      <c r="F89" s="10" t="n"/>
      <c r="G89" s="10" t="b">
        <v>1</v>
      </c>
      <c r="H89" s="10" t="b">
        <v>1</v>
      </c>
      <c r="I89" s="10" t="inlineStr">
        <is>
          <t>DERIVED</t>
        </is>
      </c>
      <c r="J89" s="10" t="inlineStr">
        <is>
          <t>PROPOSED</t>
        </is>
      </c>
      <c r="K89" s="10" t="inlineStr">
        <is>
          <t>DERIVED</t>
        </is>
      </c>
      <c r="L89" s="10" t="inlineStr">
        <is>
          <t>baixa</t>
        </is>
      </c>
      <c r="M89" s="10" t="inlineStr">
        <is>
          <t>["D01-DOC-MNE-001.CHANNELS.DISTRIBUICAO"]</t>
        </is>
      </c>
    </row>
    <row r="90">
      <c r="A90" s="10" t="inlineStr">
        <is>
          <t>D01-DOC-MNE-001.CHANNELS.ENTREGA</t>
        </is>
      </c>
      <c r="B90" s="10" t="inlineStr">
        <is>
          <t>D01-DOC-MNE-001</t>
        </is>
      </c>
      <c r="C90" s="10" t="inlineStr">
        <is>
          <t>D01-DOC-MNE-001-T04</t>
        </is>
      </c>
      <c r="D90" s="10" t="inlineStr">
        <is>
          <t>entrega</t>
        </is>
      </c>
      <c r="E90" s="10" t="inlineStr">
        <is>
          <t>Definir, validar e manter: Entrega</t>
        </is>
      </c>
      <c r="F90" s="10" t="n"/>
      <c r="G90" s="10" t="b">
        <v>1</v>
      </c>
      <c r="H90" s="10" t="b">
        <v>1</v>
      </c>
      <c r="I90" s="10" t="inlineStr">
        <is>
          <t>DERIVED</t>
        </is>
      </c>
      <c r="J90" s="10" t="inlineStr">
        <is>
          <t>PROPOSED</t>
        </is>
      </c>
      <c r="K90" s="10" t="inlineStr">
        <is>
          <t>DERIVED</t>
        </is>
      </c>
      <c r="L90" s="10" t="inlineStr">
        <is>
          <t>baixa</t>
        </is>
      </c>
      <c r="M90" s="10" t="inlineStr">
        <is>
          <t>["D01-DOC-MNE-001.CHANNELS.ENTREGA"]</t>
        </is>
      </c>
    </row>
    <row r="91">
      <c r="A91" s="10" t="inlineStr">
        <is>
          <t>D01-DOC-MNE-001.RELATIONSHIPS.RELACIONAMENTO_COM_CLIENTE</t>
        </is>
      </c>
      <c r="B91" s="10" t="inlineStr">
        <is>
          <t>D01-DOC-MNE-001</t>
        </is>
      </c>
      <c r="C91" s="10" t="inlineStr">
        <is>
          <t>D01-DOC-MNE-001-T05</t>
        </is>
      </c>
      <c r="D91" s="10" t="inlineStr">
        <is>
          <t>relacionamento_com_cliente</t>
        </is>
      </c>
      <c r="E91" s="10" t="inlineStr">
        <is>
          <t>Definir, validar e manter: Relacionamento Com Cliente</t>
        </is>
      </c>
      <c r="F91" s="10" t="n"/>
      <c r="G91" s="10" t="b">
        <v>1</v>
      </c>
      <c r="H91" s="10" t="b">
        <v>1</v>
      </c>
      <c r="I91" s="10" t="inlineStr">
        <is>
          <t>DERIVED</t>
        </is>
      </c>
      <c r="J91" s="10" t="inlineStr">
        <is>
          <t>PROPOSED</t>
        </is>
      </c>
      <c r="K91" s="10" t="inlineStr">
        <is>
          <t>DERIVED</t>
        </is>
      </c>
      <c r="L91" s="10" t="inlineStr">
        <is>
          <t>baixa</t>
        </is>
      </c>
      <c r="M91" s="10" t="inlineStr">
        <is>
          <t>["D01-DOC-MNE-001.RELATIONSHIPS.RELACIONAMENTO_COM_CLIENTE"]</t>
        </is>
      </c>
    </row>
    <row r="92">
      <c r="A92" s="10" t="inlineStr">
        <is>
          <t>D01-DOC-MNE-001.RELATIONSHIPS.COMUNIDADE</t>
        </is>
      </c>
      <c r="B92" s="10" t="inlineStr">
        <is>
          <t>D01-DOC-MNE-001</t>
        </is>
      </c>
      <c r="C92" s="10" t="inlineStr">
        <is>
          <t>D01-DOC-MNE-001-T05</t>
        </is>
      </c>
      <c r="D92" s="10" t="inlineStr">
        <is>
          <t>comunidade</t>
        </is>
      </c>
      <c r="E92" s="10" t="inlineStr">
        <is>
          <t>Definir, validar e manter: Comunidade</t>
        </is>
      </c>
      <c r="F92" s="10" t="n"/>
      <c r="G92" s="10" t="b">
        <v>1</v>
      </c>
      <c r="H92" s="10" t="b">
        <v>1</v>
      </c>
      <c r="I92" s="10" t="inlineStr">
        <is>
          <t>DERIVED</t>
        </is>
      </c>
      <c r="J92" s="10" t="inlineStr">
        <is>
          <t>PROPOSED</t>
        </is>
      </c>
      <c r="K92" s="10" t="inlineStr">
        <is>
          <t>DERIVED</t>
        </is>
      </c>
      <c r="L92" s="10" t="inlineStr">
        <is>
          <t>baixa</t>
        </is>
      </c>
      <c r="M92" s="10" t="inlineStr">
        <is>
          <t>["D01-DOC-MNE-001.RELATIONSHIPS.COMUNIDADE"]</t>
        </is>
      </c>
    </row>
    <row r="93">
      <c r="A93" s="10" t="inlineStr">
        <is>
          <t>D01-DOC-MNE-001.RELATIONSHIPS.SUPORTE</t>
        </is>
      </c>
      <c r="B93" s="10" t="inlineStr">
        <is>
          <t>D01-DOC-MNE-001</t>
        </is>
      </c>
      <c r="C93" s="10" t="inlineStr">
        <is>
          <t>D01-DOC-MNE-001-T05</t>
        </is>
      </c>
      <c r="D93" s="10" t="inlineStr">
        <is>
          <t>suporte</t>
        </is>
      </c>
      <c r="E93" s="10" t="inlineStr">
        <is>
          <t>Definir, validar e manter: Suporte</t>
        </is>
      </c>
      <c r="F93" s="10" t="n"/>
      <c r="G93" s="10" t="b">
        <v>1</v>
      </c>
      <c r="H93" s="10" t="b">
        <v>1</v>
      </c>
      <c r="I93" s="10" t="inlineStr">
        <is>
          <t>DERIVED</t>
        </is>
      </c>
      <c r="J93" s="10" t="inlineStr">
        <is>
          <t>PROPOSED</t>
        </is>
      </c>
      <c r="K93" s="10" t="inlineStr">
        <is>
          <t>DERIVED</t>
        </is>
      </c>
      <c r="L93" s="10" t="inlineStr">
        <is>
          <t>baixa</t>
        </is>
      </c>
      <c r="M93" s="10" t="inlineStr">
        <is>
          <t>["D01-DOC-MNE-001.RELATIONSHIPS.SUPORTE"]</t>
        </is>
      </c>
    </row>
    <row r="94">
      <c r="A94" s="10" t="inlineStr">
        <is>
          <t>D01-DOC-MNE-001.REVENUE.FONTES_DE_RECEITA</t>
        </is>
      </c>
      <c r="B94" s="10" t="inlineStr">
        <is>
          <t>D01-DOC-MNE-001</t>
        </is>
      </c>
      <c r="C94" s="10" t="inlineStr">
        <is>
          <t>D01-DOC-MNE-001-T06</t>
        </is>
      </c>
      <c r="D94" s="10" t="inlineStr">
        <is>
          <t>fontes_de_receita</t>
        </is>
      </c>
      <c r="E94" s="10" t="inlineStr">
        <is>
          <t>Definir, validar e manter: Fontes De Receita</t>
        </is>
      </c>
      <c r="F94" s="10" t="n"/>
      <c r="G94" s="10" t="b">
        <v>1</v>
      </c>
      <c r="H94" s="10" t="b">
        <v>1</v>
      </c>
      <c r="I94" s="10" t="inlineStr">
        <is>
          <t>DERIVED</t>
        </is>
      </c>
      <c r="J94" s="10" t="inlineStr">
        <is>
          <t>PROPOSED</t>
        </is>
      </c>
      <c r="K94" s="10" t="inlineStr">
        <is>
          <t>DERIVED</t>
        </is>
      </c>
      <c r="L94" s="10" t="inlineStr">
        <is>
          <t>baixa</t>
        </is>
      </c>
      <c r="M94" s="10" t="inlineStr">
        <is>
          <t>["D01-DOC-MNE-001.REVENUE.FONTES_DE_RECEITA"]</t>
        </is>
      </c>
    </row>
    <row r="95">
      <c r="A95" s="10" t="inlineStr">
        <is>
          <t>D01-DOC-MNE-001.REVENUE.PRECIFICACAO</t>
        </is>
      </c>
      <c r="B95" s="10" t="inlineStr">
        <is>
          <t>D01-DOC-MNE-001</t>
        </is>
      </c>
      <c r="C95" s="10" t="inlineStr">
        <is>
          <t>D01-DOC-MNE-001-T06</t>
        </is>
      </c>
      <c r="D95" s="10" t="inlineStr">
        <is>
          <t>precificacao</t>
        </is>
      </c>
      <c r="E95" s="10" t="inlineStr">
        <is>
          <t>Definir, validar e manter: Precificacao</t>
        </is>
      </c>
      <c r="F95" s="10" t="n"/>
      <c r="G95" s="10" t="b">
        <v>1</v>
      </c>
      <c r="H95" s="10" t="b">
        <v>1</v>
      </c>
      <c r="I95" s="10" t="inlineStr">
        <is>
          <t>EXTERNAL</t>
        </is>
      </c>
      <c r="J95" s="10" t="inlineStr">
        <is>
          <t>EXTERNAL_EVIDENCE</t>
        </is>
      </c>
      <c r="K95" s="10" t="inlineStr">
        <is>
          <t>EXTERNAL</t>
        </is>
      </c>
      <c r="L95" s="10" t="inlineStr">
        <is>
          <t>media</t>
        </is>
      </c>
      <c r="M95" s="10" t="inlineStr">
        <is>
          <t>["D01-DOC-MNE-001.REVENUE.PRECIFICACAO"]</t>
        </is>
      </c>
    </row>
    <row r="96">
      <c r="A96" s="10" t="inlineStr">
        <is>
          <t>D01-DOC-MNE-001.REVENUE.RECORRENCIA</t>
        </is>
      </c>
      <c r="B96" s="10" t="inlineStr">
        <is>
          <t>D01-DOC-MNE-001</t>
        </is>
      </c>
      <c r="C96" s="10" t="inlineStr">
        <is>
          <t>D01-DOC-MNE-001-T06</t>
        </is>
      </c>
      <c r="D96" s="10" t="inlineStr">
        <is>
          <t>recorrencia</t>
        </is>
      </c>
      <c r="E96" s="10" t="inlineStr">
        <is>
          <t>Definir, validar e manter: Recorrencia</t>
        </is>
      </c>
      <c r="F96" s="10" t="n"/>
      <c r="G96" s="10" t="b">
        <v>1</v>
      </c>
      <c r="H96" s="10" t="b">
        <v>1</v>
      </c>
      <c r="I96" s="10" t="inlineStr">
        <is>
          <t>EXTERNAL</t>
        </is>
      </c>
      <c r="J96" s="10" t="inlineStr">
        <is>
          <t>EXTERNAL_EVIDENCE</t>
        </is>
      </c>
      <c r="K96" s="10" t="inlineStr">
        <is>
          <t>EXTERNAL</t>
        </is>
      </c>
      <c r="L96" s="10" t="inlineStr">
        <is>
          <t>media</t>
        </is>
      </c>
      <c r="M96" s="10" t="inlineStr">
        <is>
          <t>["D01-DOC-MNE-001.REVENUE.RECORRENCIA"]</t>
        </is>
      </c>
    </row>
    <row r="97">
      <c r="A97" s="10" t="inlineStr">
        <is>
          <t>D01-DOC-MNE-001.COSTS.ESTRUTURA_DE_CUSTOS</t>
        </is>
      </c>
      <c r="B97" s="10" t="inlineStr">
        <is>
          <t>D01-DOC-MNE-001</t>
        </is>
      </c>
      <c r="C97" s="10" t="inlineStr">
        <is>
          <t>D01-DOC-MNE-001-T07</t>
        </is>
      </c>
      <c r="D97" s="10" t="inlineStr">
        <is>
          <t>estrutura_de_custos</t>
        </is>
      </c>
      <c r="E97" s="10" t="inlineStr">
        <is>
          <t>Definir, validar e manter: Estrutura De Custos</t>
        </is>
      </c>
      <c r="F97" s="10" t="n"/>
      <c r="G97" s="10" t="b">
        <v>1</v>
      </c>
      <c r="H97" s="10" t="b">
        <v>1</v>
      </c>
      <c r="I97" s="10" t="inlineStr">
        <is>
          <t>DERIVED</t>
        </is>
      </c>
      <c r="J97" s="10" t="inlineStr">
        <is>
          <t>PROPOSED</t>
        </is>
      </c>
      <c r="K97" s="10" t="inlineStr">
        <is>
          <t>DERIVED</t>
        </is>
      </c>
      <c r="L97" s="10" t="inlineStr">
        <is>
          <t>baixa</t>
        </is>
      </c>
      <c r="M97" s="10" t="inlineStr">
        <is>
          <t>["D01-DOC-MNE-001.COSTS.ESTRUTURA_DE_CUSTOS"]</t>
        </is>
      </c>
    </row>
    <row r="98">
      <c r="A98" s="10" t="inlineStr">
        <is>
          <t>D01-DOC-MNE-001.COSTS.CAPEX</t>
        </is>
      </c>
      <c r="B98" s="10" t="inlineStr">
        <is>
          <t>D01-DOC-MNE-001</t>
        </is>
      </c>
      <c r="C98" s="10" t="inlineStr">
        <is>
          <t>D01-DOC-MNE-001-T07</t>
        </is>
      </c>
      <c r="D98" s="10" t="inlineStr">
        <is>
          <t>capex</t>
        </is>
      </c>
      <c r="E98" s="10" t="inlineStr">
        <is>
          <t>Definir, validar e manter: Capex</t>
        </is>
      </c>
      <c r="F98" s="10" t="n"/>
      <c r="G98" s="10" t="b">
        <v>1</v>
      </c>
      <c r="H98" s="10" t="b">
        <v>1</v>
      </c>
      <c r="I98" s="10" t="inlineStr">
        <is>
          <t>DERIVED</t>
        </is>
      </c>
      <c r="J98" s="10" t="inlineStr">
        <is>
          <t>PROPOSED</t>
        </is>
      </c>
      <c r="K98" s="10" t="inlineStr">
        <is>
          <t>DERIVED</t>
        </is>
      </c>
      <c r="L98" s="10" t="inlineStr">
        <is>
          <t>baixa</t>
        </is>
      </c>
      <c r="M98" s="10" t="inlineStr">
        <is>
          <t>["D01-DOC-MNE-001.COSTS.CAPEX"]</t>
        </is>
      </c>
    </row>
    <row r="99">
      <c r="A99" s="10" t="inlineStr">
        <is>
          <t>D01-DOC-MNE-001.COSTS.OPEX</t>
        </is>
      </c>
      <c r="B99" s="10" t="inlineStr">
        <is>
          <t>D01-DOC-MNE-001</t>
        </is>
      </c>
      <c r="C99" s="10" t="inlineStr">
        <is>
          <t>D01-DOC-MNE-001-T07</t>
        </is>
      </c>
      <c r="D99" s="10" t="inlineStr">
        <is>
          <t>opex</t>
        </is>
      </c>
      <c r="E99" s="10" t="inlineStr">
        <is>
          <t>Definir, validar e manter: Opex</t>
        </is>
      </c>
      <c r="F99" s="10" t="n"/>
      <c r="G99" s="10" t="b">
        <v>1</v>
      </c>
      <c r="H99" s="10" t="b">
        <v>1</v>
      </c>
      <c r="I99" s="10" t="inlineStr">
        <is>
          <t>DERIVED</t>
        </is>
      </c>
      <c r="J99" s="10" t="inlineStr">
        <is>
          <t>PROPOSED</t>
        </is>
      </c>
      <c r="K99" s="10" t="inlineStr">
        <is>
          <t>DERIVED</t>
        </is>
      </c>
      <c r="L99" s="10" t="inlineStr">
        <is>
          <t>baixa</t>
        </is>
      </c>
      <c r="M99" s="10" t="inlineStr">
        <is>
          <t>["D01-DOC-MNE-001.COSTS.OPEX"]</t>
        </is>
      </c>
    </row>
    <row r="100">
      <c r="A100" s="10" t="inlineStr">
        <is>
          <t>D01-DOC-MNE-001.RESOURCES.RECURSOS_CHAVE</t>
        </is>
      </c>
      <c r="B100" s="10" t="inlineStr">
        <is>
          <t>D01-DOC-MNE-001</t>
        </is>
      </c>
      <c r="C100" s="10" t="inlineStr">
        <is>
          <t>D01-DOC-MNE-001-T08</t>
        </is>
      </c>
      <c r="D100" s="10" t="inlineStr">
        <is>
          <t>recursos_chave</t>
        </is>
      </c>
      <c r="E100" s="10" t="inlineStr">
        <is>
          <t>Definir, validar e manter: Recursos Chave</t>
        </is>
      </c>
      <c r="F100" s="10" t="n"/>
      <c r="G100" s="10" t="b">
        <v>1</v>
      </c>
      <c r="H100" s="10" t="b">
        <v>1</v>
      </c>
      <c r="I100" s="10" t="inlineStr">
        <is>
          <t>DERIVED</t>
        </is>
      </c>
      <c r="J100" s="10" t="inlineStr">
        <is>
          <t>PROPOSED</t>
        </is>
      </c>
      <c r="K100" s="10" t="inlineStr">
        <is>
          <t>DERIVED</t>
        </is>
      </c>
      <c r="L100" s="10" t="inlineStr">
        <is>
          <t>baixa</t>
        </is>
      </c>
      <c r="M100" s="10" t="inlineStr">
        <is>
          <t>["D01-DOC-MNE-001.RESOURCES.RECURSOS_CHAVE"]</t>
        </is>
      </c>
    </row>
    <row r="101">
      <c r="A101" s="10" t="inlineStr">
        <is>
          <t>D01-DOC-MNE-001.RESOURCES.CAPACIDADES_CHAVE</t>
        </is>
      </c>
      <c r="B101" s="10" t="inlineStr">
        <is>
          <t>D01-DOC-MNE-001</t>
        </is>
      </c>
      <c r="C101" s="10" t="inlineStr">
        <is>
          <t>D01-DOC-MNE-001-T08</t>
        </is>
      </c>
      <c r="D101" s="10" t="inlineStr">
        <is>
          <t>capacidades_chave</t>
        </is>
      </c>
      <c r="E101" s="10" t="inlineStr">
        <is>
          <t>Definir, validar e manter: Capacidades Chave</t>
        </is>
      </c>
      <c r="F101" s="10" t="n"/>
      <c r="G101" s="10" t="b">
        <v>1</v>
      </c>
      <c r="H101" s="10" t="b">
        <v>1</v>
      </c>
      <c r="I101" s="10" t="inlineStr">
        <is>
          <t>DERIVED</t>
        </is>
      </c>
      <c r="J101" s="10" t="inlineStr">
        <is>
          <t>PROPOSED</t>
        </is>
      </c>
      <c r="K101" s="10" t="inlineStr">
        <is>
          <t>DERIVED</t>
        </is>
      </c>
      <c r="L101" s="10" t="inlineStr">
        <is>
          <t>baixa</t>
        </is>
      </c>
      <c r="M101" s="10" t="inlineStr">
        <is>
          <t>["D01-DOC-MNE-001.RESOURCES.CAPACIDADES_CHAVE"]</t>
        </is>
      </c>
    </row>
    <row r="102">
      <c r="A102" s="10" t="inlineStr">
        <is>
          <t>D01-DOC-MNE-001.ACTIVITIES.ATIVIDADES_CHAVE</t>
        </is>
      </c>
      <c r="B102" s="10" t="inlineStr">
        <is>
          <t>D01-DOC-MNE-001</t>
        </is>
      </c>
      <c r="C102" s="10" t="inlineStr">
        <is>
          <t>D01-DOC-MNE-001-T09</t>
        </is>
      </c>
      <c r="D102" s="10" t="inlineStr">
        <is>
          <t>atividades_chave</t>
        </is>
      </c>
      <c r="E102" s="10" t="inlineStr">
        <is>
          <t>Definir, validar e manter: Atividades Chave</t>
        </is>
      </c>
      <c r="F102" s="10" t="n"/>
      <c r="G102" s="10" t="b">
        <v>1</v>
      </c>
      <c r="H102" s="10" t="b">
        <v>1</v>
      </c>
      <c r="I102" s="10" t="inlineStr">
        <is>
          <t>DERIVED</t>
        </is>
      </c>
      <c r="J102" s="10" t="inlineStr">
        <is>
          <t>PROPOSED</t>
        </is>
      </c>
      <c r="K102" s="10" t="inlineStr">
        <is>
          <t>DERIVED</t>
        </is>
      </c>
      <c r="L102" s="10" t="inlineStr">
        <is>
          <t>baixa</t>
        </is>
      </c>
      <c r="M102" s="10" t="inlineStr">
        <is>
          <t>["D01-DOC-MNE-001.ACTIVITIES.ATIVIDADES_CHAVE"]</t>
        </is>
      </c>
    </row>
    <row r="103">
      <c r="A103" s="10" t="inlineStr">
        <is>
          <t>D01-DOC-MNE-001.PARTNERS.PARCEIROS</t>
        </is>
      </c>
      <c r="B103" s="10" t="inlineStr">
        <is>
          <t>D01-DOC-MNE-001</t>
        </is>
      </c>
      <c r="C103" s="10" t="inlineStr">
        <is>
          <t>D01-DOC-MNE-001-T10</t>
        </is>
      </c>
      <c r="D103" s="10" t="inlineStr">
        <is>
          <t>parceiros</t>
        </is>
      </c>
      <c r="E103" s="10" t="inlineStr">
        <is>
          <t>Definir, validar e manter: Parceiros</t>
        </is>
      </c>
      <c r="F103" s="10" t="n"/>
      <c r="G103" s="10" t="b">
        <v>1</v>
      </c>
      <c r="H103" s="10" t="b">
        <v>1</v>
      </c>
      <c r="I103" s="10" t="inlineStr">
        <is>
          <t>DERIVED</t>
        </is>
      </c>
      <c r="J103" s="10" t="inlineStr">
        <is>
          <t>PROPOSED</t>
        </is>
      </c>
      <c r="K103" s="10" t="inlineStr">
        <is>
          <t>DERIVED</t>
        </is>
      </c>
      <c r="L103" s="10" t="inlineStr">
        <is>
          <t>baixa</t>
        </is>
      </c>
      <c r="M103" s="10" t="inlineStr">
        <is>
          <t>["D01-DOC-MNE-001.PARTNERS.PARCEIROS"]</t>
        </is>
      </c>
    </row>
    <row r="104">
      <c r="A104" s="10" t="inlineStr">
        <is>
          <t>D01-DOC-MNE-001.PARTNERS.FORNECEDORES</t>
        </is>
      </c>
      <c r="B104" s="10" t="inlineStr">
        <is>
          <t>D01-DOC-MNE-001</t>
        </is>
      </c>
      <c r="C104" s="10" t="inlineStr">
        <is>
          <t>D01-DOC-MNE-001-T10</t>
        </is>
      </c>
      <c r="D104" s="10" t="inlineStr">
        <is>
          <t>fornecedores</t>
        </is>
      </c>
      <c r="E104" s="10" t="inlineStr">
        <is>
          <t>Definir, validar e manter: Fornecedores</t>
        </is>
      </c>
      <c r="F104" s="10" t="n"/>
      <c r="G104" s="10" t="b">
        <v>1</v>
      </c>
      <c r="H104" s="10" t="b">
        <v>1</v>
      </c>
      <c r="I104" s="10" t="inlineStr">
        <is>
          <t>DERIVED</t>
        </is>
      </c>
      <c r="J104" s="10" t="inlineStr">
        <is>
          <t>PROPOSED</t>
        </is>
      </c>
      <c r="K104" s="10" t="inlineStr">
        <is>
          <t>DERIVED</t>
        </is>
      </c>
      <c r="L104" s="10" t="inlineStr">
        <is>
          <t>baixa</t>
        </is>
      </c>
      <c r="M104" s="10" t="inlineStr">
        <is>
          <t>["D01-DOC-MNE-001.PARTNERS.FORNECEDORES"]</t>
        </is>
      </c>
    </row>
    <row r="105">
      <c r="A105" s="10" t="inlineStr">
        <is>
          <t>D01-DOC-MNE-001.ECONOMICS.MARGEM</t>
        </is>
      </c>
      <c r="B105" s="10" t="inlineStr">
        <is>
          <t>D01-DOC-MNE-001</t>
        </is>
      </c>
      <c r="C105" s="10" t="inlineStr">
        <is>
          <t>D01-DOC-MNE-001-T11</t>
        </is>
      </c>
      <c r="D105" s="10" t="inlineStr">
        <is>
          <t>margem</t>
        </is>
      </c>
      <c r="E105" s="10" t="inlineStr">
        <is>
          <t>Definir, validar e manter: Margem</t>
        </is>
      </c>
      <c r="F105" s="10" t="n"/>
      <c r="G105" s="10" t="b">
        <v>1</v>
      </c>
      <c r="H105" s="10" t="b">
        <v>1</v>
      </c>
      <c r="I105" s="10" t="inlineStr">
        <is>
          <t>EXTERNAL</t>
        </is>
      </c>
      <c r="J105" s="10" t="inlineStr">
        <is>
          <t>EXTERNAL_EVIDENCE</t>
        </is>
      </c>
      <c r="K105" s="10" t="inlineStr">
        <is>
          <t>EXTERNAL</t>
        </is>
      </c>
      <c r="L105" s="10" t="inlineStr">
        <is>
          <t>media</t>
        </is>
      </c>
      <c r="M105" s="10" t="inlineStr">
        <is>
          <t>["D01-DOC-MNE-001.ECONOMICS.MARGEM"]</t>
        </is>
      </c>
    </row>
    <row r="106">
      <c r="A106" s="10" t="inlineStr">
        <is>
          <t>D01-DOC-MNE-001.ECONOMICS.CAC</t>
        </is>
      </c>
      <c r="B106" s="10" t="inlineStr">
        <is>
          <t>D01-DOC-MNE-001</t>
        </is>
      </c>
      <c r="C106" s="10" t="inlineStr">
        <is>
          <t>D01-DOC-MNE-001-T11</t>
        </is>
      </c>
      <c r="D106" s="10" t="inlineStr">
        <is>
          <t>cac</t>
        </is>
      </c>
      <c r="E106" s="10" t="inlineStr">
        <is>
          <t>Definir, validar e manter: Cac</t>
        </is>
      </c>
      <c r="F106" s="10" t="n"/>
      <c r="G106" s="10" t="b">
        <v>1</v>
      </c>
      <c r="H106" s="10" t="b">
        <v>1</v>
      </c>
      <c r="I106" s="10" t="inlineStr">
        <is>
          <t>EXTERNAL</t>
        </is>
      </c>
      <c r="J106" s="10" t="inlineStr">
        <is>
          <t>EXTERNAL_EVIDENCE</t>
        </is>
      </c>
      <c r="K106" s="10" t="inlineStr">
        <is>
          <t>EXTERNAL</t>
        </is>
      </c>
      <c r="L106" s="10" t="inlineStr">
        <is>
          <t>media</t>
        </is>
      </c>
      <c r="M106" s="10" t="inlineStr">
        <is>
          <t>["D01-DOC-MNE-001.ECONOMICS.CAC"]</t>
        </is>
      </c>
    </row>
    <row r="107">
      <c r="A107" s="10" t="inlineStr">
        <is>
          <t>D01-DOC-MNE-001.ECONOMICS.LTV</t>
        </is>
      </c>
      <c r="B107" s="10" t="inlineStr">
        <is>
          <t>D01-DOC-MNE-001</t>
        </is>
      </c>
      <c r="C107" s="10" t="inlineStr">
        <is>
          <t>D01-DOC-MNE-001-T11</t>
        </is>
      </c>
      <c r="D107" s="10" t="inlineStr">
        <is>
          <t>ltv</t>
        </is>
      </c>
      <c r="E107" s="10" t="inlineStr">
        <is>
          <t>Definir, validar e manter: Ltv</t>
        </is>
      </c>
      <c r="F107" s="10" t="n"/>
      <c r="G107" s="10" t="b">
        <v>1</v>
      </c>
      <c r="H107" s="10" t="b">
        <v>1</v>
      </c>
      <c r="I107" s="10" t="inlineStr">
        <is>
          <t>EXTERNAL</t>
        </is>
      </c>
      <c r="J107" s="10" t="inlineStr">
        <is>
          <t>EXTERNAL_EVIDENCE</t>
        </is>
      </c>
      <c r="K107" s="10" t="inlineStr">
        <is>
          <t>EXTERNAL</t>
        </is>
      </c>
      <c r="L107" s="10" t="inlineStr">
        <is>
          <t>media</t>
        </is>
      </c>
      <c r="M107" s="10" t="inlineStr">
        <is>
          <t>["D01-DOC-MNE-001.ECONOMICS.LTV"]</t>
        </is>
      </c>
    </row>
    <row r="108">
      <c r="A108" s="10" t="inlineStr">
        <is>
          <t>D01-DOC-MNE-001.ECONOMICS.BREAK_EVEN</t>
        </is>
      </c>
      <c r="B108" s="10" t="inlineStr">
        <is>
          <t>D01-DOC-MNE-001</t>
        </is>
      </c>
      <c r="C108" s="10" t="inlineStr">
        <is>
          <t>D01-DOC-MNE-001-T11</t>
        </is>
      </c>
      <c r="D108" s="10" t="inlineStr">
        <is>
          <t>break_even</t>
        </is>
      </c>
      <c r="E108" s="10" t="inlineStr">
        <is>
          <t>Definir, validar e manter: Break Even</t>
        </is>
      </c>
      <c r="F108" s="10" t="n"/>
      <c r="G108" s="10" t="b">
        <v>1</v>
      </c>
      <c r="H108" s="10" t="b">
        <v>1</v>
      </c>
      <c r="I108" s="10" t="inlineStr">
        <is>
          <t>EXTERNAL</t>
        </is>
      </c>
      <c r="J108" s="10" t="inlineStr">
        <is>
          <t>EXTERNAL_EVIDENCE</t>
        </is>
      </c>
      <c r="K108" s="10" t="inlineStr">
        <is>
          <t>EXTERNAL</t>
        </is>
      </c>
      <c r="L108" s="10" t="inlineStr">
        <is>
          <t>media</t>
        </is>
      </c>
      <c r="M108" s="10" t="inlineStr">
        <is>
          <t>["D01-DOC-MNE-001.ECONOMICS.BREAK_EVEN"]</t>
        </is>
      </c>
    </row>
    <row r="109">
      <c r="A109" s="10" t="inlineStr">
        <is>
          <t>D01-DOC-MNE-001.ASSUMPTIONS.HIPOTESES</t>
        </is>
      </c>
      <c r="B109" s="10" t="inlineStr">
        <is>
          <t>D01-DOC-MNE-001</t>
        </is>
      </c>
      <c r="C109" s="10" t="inlineStr">
        <is>
          <t>D01-DOC-MNE-001-T12</t>
        </is>
      </c>
      <c r="D109" s="10" t="inlineStr">
        <is>
          <t>hipoteses</t>
        </is>
      </c>
      <c r="E109" s="10" t="inlineStr">
        <is>
          <t>Definir, validar e manter: Hipoteses</t>
        </is>
      </c>
      <c r="F109" s="10" t="n"/>
      <c r="G109" s="10" t="b">
        <v>1</v>
      </c>
      <c r="H109" s="10" t="b">
        <v>1</v>
      </c>
      <c r="I109" s="10" t="inlineStr">
        <is>
          <t>DERIVED</t>
        </is>
      </c>
      <c r="J109" s="10" t="inlineStr">
        <is>
          <t>PROPOSED</t>
        </is>
      </c>
      <c r="K109" s="10" t="inlineStr">
        <is>
          <t>DERIVED</t>
        </is>
      </c>
      <c r="L109" s="10" t="inlineStr">
        <is>
          <t>baixa</t>
        </is>
      </c>
      <c r="M109" s="10" t="inlineStr">
        <is>
          <t>["D01-DOC-MNE-001.ASSUMPTIONS.HIPOTESES"]</t>
        </is>
      </c>
    </row>
    <row r="110">
      <c r="A110" s="10" t="inlineStr">
        <is>
          <t>D01-DOC-MNE-001.ASSUMPTIONS.VALIDACOES_PENDENTES</t>
        </is>
      </c>
      <c r="B110" s="10" t="inlineStr">
        <is>
          <t>D01-DOC-MNE-001</t>
        </is>
      </c>
      <c r="C110" s="10" t="inlineStr">
        <is>
          <t>D01-DOC-MNE-001-T12</t>
        </is>
      </c>
      <c r="D110" s="10" t="inlineStr">
        <is>
          <t>validacoes_pendentes</t>
        </is>
      </c>
      <c r="E110" s="10" t="inlineStr">
        <is>
          <t>Definir, validar e manter: Validacoes Pendentes</t>
        </is>
      </c>
      <c r="F110" s="10" t="n"/>
      <c r="G110" s="10" t="b">
        <v>1</v>
      </c>
      <c r="H110" s="10" t="b">
        <v>1</v>
      </c>
      <c r="I110" s="10" t="inlineStr">
        <is>
          <t>DERIVED</t>
        </is>
      </c>
      <c r="J110" s="10" t="inlineStr">
        <is>
          <t>PROPOSED</t>
        </is>
      </c>
      <c r="K110" s="10" t="inlineStr">
        <is>
          <t>DERIVED</t>
        </is>
      </c>
      <c r="L110" s="10" t="inlineStr">
        <is>
          <t>baixa</t>
        </is>
      </c>
      <c r="M110" s="10" t="inlineStr">
        <is>
          <t>["D01-DOC-MNE-001.ASSUMPTIONS.VALIDACOES_PENDENTES"]</t>
        </is>
      </c>
    </row>
    <row r="111">
      <c r="A111" s="10" t="inlineStr">
        <is>
          <t>D01-DOC-MRE-001.NODES.COMPONENTES</t>
        </is>
      </c>
      <c r="B111" s="10" t="inlineStr">
        <is>
          <t>D01-DOC-MRE-001</t>
        </is>
      </c>
      <c r="C111" s="10" t="inlineStr">
        <is>
          <t>D01-DOC-MRE-001-T01</t>
        </is>
      </c>
      <c r="D111" s="10" t="inlineStr">
        <is>
          <t>componentes</t>
        </is>
      </c>
      <c r="E111" s="10" t="inlineStr">
        <is>
          <t>Definir, validar e manter: Componentes</t>
        </is>
      </c>
      <c r="F111" s="10" t="n"/>
      <c r="G111" s="10" t="b">
        <v>1</v>
      </c>
      <c r="H111" s="10" t="b">
        <v>1</v>
      </c>
      <c r="I111" s="10" t="inlineStr">
        <is>
          <t>DERIVED</t>
        </is>
      </c>
      <c r="J111" s="10" t="inlineStr">
        <is>
          <t>PROPOSED</t>
        </is>
      </c>
      <c r="K111" s="10" t="inlineStr">
        <is>
          <t>DERIVED</t>
        </is>
      </c>
      <c r="L111" s="10" t="inlineStr">
        <is>
          <t>baixa</t>
        </is>
      </c>
      <c r="M111" s="10" t="inlineStr">
        <is>
          <t>["D01-DOC-MRE-001.NODES.COMPONENTES"]</t>
        </is>
      </c>
    </row>
    <row r="112">
      <c r="A112" s="10" t="inlineStr">
        <is>
          <t>D01-DOC-MRE-001.NODES.PRODUTOS</t>
        </is>
      </c>
      <c r="B112" s="10" t="inlineStr">
        <is>
          <t>D01-DOC-MRE-001</t>
        </is>
      </c>
      <c r="C112" s="10" t="inlineStr">
        <is>
          <t>D01-DOC-MRE-001-T01</t>
        </is>
      </c>
      <c r="D112" s="10" t="inlineStr">
        <is>
          <t>produtos</t>
        </is>
      </c>
      <c r="E112" s="10" t="inlineStr">
        <is>
          <t>Definir, validar e manter: Produtos</t>
        </is>
      </c>
      <c r="F112" s="10" t="n"/>
      <c r="G112" s="10" t="b">
        <v>1</v>
      </c>
      <c r="H112" s="10" t="b">
        <v>1</v>
      </c>
      <c r="I112" s="10" t="inlineStr">
        <is>
          <t>DERIVED</t>
        </is>
      </c>
      <c r="J112" s="10" t="inlineStr">
        <is>
          <t>PROPOSED</t>
        </is>
      </c>
      <c r="K112" s="10" t="inlineStr">
        <is>
          <t>DERIVED</t>
        </is>
      </c>
      <c r="L112" s="10" t="inlineStr">
        <is>
          <t>baixa</t>
        </is>
      </c>
      <c r="M112" s="10" t="inlineStr">
        <is>
          <t>["D01-DOC-MRE-001.NODES.PRODUTOS"]</t>
        </is>
      </c>
    </row>
    <row r="113">
      <c r="A113" s="10" t="inlineStr">
        <is>
          <t>D01-DOC-MRE-001.NODES.SERVICOS</t>
        </is>
      </c>
      <c r="B113" s="10" t="inlineStr">
        <is>
          <t>D01-DOC-MRE-001</t>
        </is>
      </c>
      <c r="C113" s="10" t="inlineStr">
        <is>
          <t>D01-DOC-MRE-001-T01</t>
        </is>
      </c>
      <c r="D113" s="10" t="inlineStr">
        <is>
          <t>servicos</t>
        </is>
      </c>
      <c r="E113" s="10" t="inlineStr">
        <is>
          <t>Definir, validar e manter: Servicos</t>
        </is>
      </c>
      <c r="F113" s="10" t="n"/>
      <c r="G113" s="10" t="b">
        <v>1</v>
      </c>
      <c r="H113" s="10" t="b">
        <v>1</v>
      </c>
      <c r="I113" s="10" t="inlineStr">
        <is>
          <t>DERIVED</t>
        </is>
      </c>
      <c r="J113" s="10" t="inlineStr">
        <is>
          <t>PROPOSED</t>
        </is>
      </c>
      <c r="K113" s="10" t="inlineStr">
        <is>
          <t>DERIVED</t>
        </is>
      </c>
      <c r="L113" s="10" t="inlineStr">
        <is>
          <t>baixa</t>
        </is>
      </c>
      <c r="M113" s="10" t="inlineStr">
        <is>
          <t>["D01-DOC-MRE-001.NODES.SERVICOS"]</t>
        </is>
      </c>
    </row>
    <row r="114">
      <c r="A114" s="10" t="inlineStr">
        <is>
          <t>D01-DOC-MRE-001.NODES.AGENTES</t>
        </is>
      </c>
      <c r="B114" s="10" t="inlineStr">
        <is>
          <t>D01-DOC-MRE-001</t>
        </is>
      </c>
      <c r="C114" s="10" t="inlineStr">
        <is>
          <t>D01-DOC-MRE-001-T01</t>
        </is>
      </c>
      <c r="D114" s="10" t="inlineStr">
        <is>
          <t>agentes</t>
        </is>
      </c>
      <c r="E114" s="10" t="inlineStr">
        <is>
          <t>Definir, validar e manter: Agentes</t>
        </is>
      </c>
      <c r="F114" s="10" t="n"/>
      <c r="G114" s="10" t="b">
        <v>1</v>
      </c>
      <c r="H114" s="10" t="b">
        <v>1</v>
      </c>
      <c r="I114" s="10" t="inlineStr">
        <is>
          <t>DERIVED</t>
        </is>
      </c>
      <c r="J114" s="10" t="inlineStr">
        <is>
          <t>PROPOSED</t>
        </is>
      </c>
      <c r="K114" s="10" t="inlineStr">
        <is>
          <t>DERIVED</t>
        </is>
      </c>
      <c r="L114" s="10" t="inlineStr">
        <is>
          <t>baixa</t>
        </is>
      </c>
      <c r="M114" s="10" t="inlineStr">
        <is>
          <t>["D01-DOC-MRE-001.NODES.AGENTES"]</t>
        </is>
      </c>
    </row>
    <row r="115">
      <c r="A115" s="10" t="inlineStr">
        <is>
          <t>D01-DOC-MRE-001.NODES.PLATAFORMAS</t>
        </is>
      </c>
      <c r="B115" s="10" t="inlineStr">
        <is>
          <t>D01-DOC-MRE-001</t>
        </is>
      </c>
      <c r="C115" s="10" t="inlineStr">
        <is>
          <t>D01-DOC-MRE-001-T01</t>
        </is>
      </c>
      <c r="D115" s="10" t="inlineStr">
        <is>
          <t>plataformas</t>
        </is>
      </c>
      <c r="E115" s="10" t="inlineStr">
        <is>
          <t>Definir, validar e manter: Plataformas</t>
        </is>
      </c>
      <c r="F115" s="10" t="n"/>
      <c r="G115" s="10" t="b">
        <v>1</v>
      </c>
      <c r="H115" s="10" t="b">
        <v>1</v>
      </c>
      <c r="I115" s="10" t="inlineStr">
        <is>
          <t>DERIVED</t>
        </is>
      </c>
      <c r="J115" s="10" t="inlineStr">
        <is>
          <t>PROPOSED</t>
        </is>
      </c>
      <c r="K115" s="10" t="inlineStr">
        <is>
          <t>DERIVED</t>
        </is>
      </c>
      <c r="L115" s="10" t="inlineStr">
        <is>
          <t>baixa</t>
        </is>
      </c>
      <c r="M115" s="10" t="inlineStr">
        <is>
          <t>["D01-DOC-MRE-001.NODES.PLATAFORMAS"]</t>
        </is>
      </c>
    </row>
    <row r="116">
      <c r="A116" s="10" t="inlineStr">
        <is>
          <t>D01-DOC-MRE-001.RELATIONSHIPS.ORIGEM</t>
        </is>
      </c>
      <c r="B116" s="10" t="inlineStr">
        <is>
          <t>D01-DOC-MRE-001</t>
        </is>
      </c>
      <c r="C116" s="10" t="inlineStr">
        <is>
          <t>D01-DOC-MRE-001-T02</t>
        </is>
      </c>
      <c r="D116" s="10" t="inlineStr">
        <is>
          <t>origem</t>
        </is>
      </c>
      <c r="E116" s="10" t="inlineStr">
        <is>
          <t>Definir, validar e manter: Origem</t>
        </is>
      </c>
      <c r="F116" s="10" t="n"/>
      <c r="G116" s="10" t="b">
        <v>1</v>
      </c>
      <c r="H116" s="10" t="b">
        <v>1</v>
      </c>
      <c r="I116" s="10" t="inlineStr">
        <is>
          <t>DERIVED</t>
        </is>
      </c>
      <c r="J116" s="10" t="inlineStr">
        <is>
          <t>PROPOSED</t>
        </is>
      </c>
      <c r="K116" s="10" t="inlineStr">
        <is>
          <t>DERIVED</t>
        </is>
      </c>
      <c r="L116" s="10" t="inlineStr">
        <is>
          <t>baixa</t>
        </is>
      </c>
      <c r="M116" s="10" t="inlineStr">
        <is>
          <t>["D01-DOC-MRE-001.RELATIONSHIPS.ORIGEM"]</t>
        </is>
      </c>
    </row>
    <row r="117">
      <c r="A117" s="10" t="inlineStr">
        <is>
          <t>D01-DOC-MRE-001.RELATIONSHIPS.DESTINO</t>
        </is>
      </c>
      <c r="B117" s="10" t="inlineStr">
        <is>
          <t>D01-DOC-MRE-001</t>
        </is>
      </c>
      <c r="C117" s="10" t="inlineStr">
        <is>
          <t>D01-DOC-MRE-001-T02</t>
        </is>
      </c>
      <c r="D117" s="10" t="inlineStr">
        <is>
          <t>destino</t>
        </is>
      </c>
      <c r="E117" s="10" t="inlineStr">
        <is>
          <t>Definir, validar e manter: Destino</t>
        </is>
      </c>
      <c r="F117" s="10" t="n"/>
      <c r="G117" s="10" t="b">
        <v>1</v>
      </c>
      <c r="H117" s="10" t="b">
        <v>1</v>
      </c>
      <c r="I117" s="10" t="inlineStr">
        <is>
          <t>DERIVED</t>
        </is>
      </c>
      <c r="J117" s="10" t="inlineStr">
        <is>
          <t>PROPOSED</t>
        </is>
      </c>
      <c r="K117" s="10" t="inlineStr">
        <is>
          <t>DERIVED</t>
        </is>
      </c>
      <c r="L117" s="10" t="inlineStr">
        <is>
          <t>baixa</t>
        </is>
      </c>
      <c r="M117" s="10" t="inlineStr">
        <is>
          <t>["D01-DOC-MRE-001.RELATIONSHIPS.DESTINO"]</t>
        </is>
      </c>
    </row>
    <row r="118">
      <c r="A118" s="10" t="inlineStr">
        <is>
          <t>D01-DOC-MRE-001.RELATIONSHIPS.TIPO_DE_RELACAO</t>
        </is>
      </c>
      <c r="B118" s="10" t="inlineStr">
        <is>
          <t>D01-DOC-MRE-001</t>
        </is>
      </c>
      <c r="C118" s="10" t="inlineStr">
        <is>
          <t>D01-DOC-MRE-001-T02</t>
        </is>
      </c>
      <c r="D118" s="10" t="inlineStr">
        <is>
          <t>tipo_de_relacao</t>
        </is>
      </c>
      <c r="E118" s="10" t="inlineStr">
        <is>
          <t>Definir, validar e manter: Tipo De Relacao</t>
        </is>
      </c>
      <c r="F118" s="10" t="n"/>
      <c r="G118" s="10" t="b">
        <v>1</v>
      </c>
      <c r="H118" s="10" t="b">
        <v>1</v>
      </c>
      <c r="I118" s="10" t="inlineStr">
        <is>
          <t>DERIVED</t>
        </is>
      </c>
      <c r="J118" s="10" t="inlineStr">
        <is>
          <t>PROPOSED</t>
        </is>
      </c>
      <c r="K118" s="10" t="inlineStr">
        <is>
          <t>DERIVED</t>
        </is>
      </c>
      <c r="L118" s="10" t="inlineStr">
        <is>
          <t>baixa</t>
        </is>
      </c>
      <c r="M118" s="10" t="inlineStr">
        <is>
          <t>["D01-DOC-MRE-001.RELATIONSHIPS.TIPO_DE_RELACAO"]</t>
        </is>
      </c>
    </row>
    <row r="119">
      <c r="A119" s="10" t="inlineStr">
        <is>
          <t>D01-DOC-MRE-001.RELATIONSHIPS.OBJETIVO</t>
        </is>
      </c>
      <c r="B119" s="10" t="inlineStr">
        <is>
          <t>D01-DOC-MRE-001</t>
        </is>
      </c>
      <c r="C119" s="10" t="inlineStr">
        <is>
          <t>D01-DOC-MRE-001-T02</t>
        </is>
      </c>
      <c r="D119" s="10" t="inlineStr">
        <is>
          <t>objetivo</t>
        </is>
      </c>
      <c r="E119" s="10" t="inlineStr">
        <is>
          <t>Definir, validar e manter: Objetivo</t>
        </is>
      </c>
      <c r="F119" s="10" t="n"/>
      <c r="G119" s="10" t="b">
        <v>1</v>
      </c>
      <c r="H119" s="10" t="b">
        <v>1</v>
      </c>
      <c r="I119" s="10" t="inlineStr">
        <is>
          <t>DERIVED</t>
        </is>
      </c>
      <c r="J119" s="10" t="inlineStr">
        <is>
          <t>PROPOSED</t>
        </is>
      </c>
      <c r="K119" s="10" t="inlineStr">
        <is>
          <t>DERIVED</t>
        </is>
      </c>
      <c r="L119" s="10" t="inlineStr">
        <is>
          <t>baixa</t>
        </is>
      </c>
      <c r="M119" s="10" t="inlineStr">
        <is>
          <t>["D01-DOC-MRE-001.RELATIONSHIPS.OBJETIVO"]</t>
        </is>
      </c>
    </row>
    <row r="120">
      <c r="A120" s="10" t="inlineStr">
        <is>
          <t>D01-DOC-MRE-001.FLOWS.FLUXO_DE_VALOR</t>
        </is>
      </c>
      <c r="B120" s="10" t="inlineStr">
        <is>
          <t>D01-DOC-MRE-001</t>
        </is>
      </c>
      <c r="C120" s="10" t="inlineStr">
        <is>
          <t>D01-DOC-MRE-001-T03</t>
        </is>
      </c>
      <c r="D120" s="10" t="inlineStr">
        <is>
          <t>fluxo_de_valor</t>
        </is>
      </c>
      <c r="E120" s="10" t="inlineStr">
        <is>
          <t>Definir, validar e manter: Fluxo De Valor</t>
        </is>
      </c>
      <c r="F120" s="10" t="n"/>
      <c r="G120" s="10" t="b">
        <v>1</v>
      </c>
      <c r="H120" s="10" t="b">
        <v>1</v>
      </c>
      <c r="I120" s="10" t="inlineStr">
        <is>
          <t>DERIVED</t>
        </is>
      </c>
      <c r="J120" s="10" t="inlineStr">
        <is>
          <t>PROPOSED</t>
        </is>
      </c>
      <c r="K120" s="10" t="inlineStr">
        <is>
          <t>DERIVED</t>
        </is>
      </c>
      <c r="L120" s="10" t="inlineStr">
        <is>
          <t>baixa</t>
        </is>
      </c>
      <c r="M120" s="10" t="inlineStr">
        <is>
          <t>["D01-DOC-MRE-001.FLOWS.FLUXO_DE_VALOR"]</t>
        </is>
      </c>
    </row>
    <row r="121">
      <c r="A121" s="10" t="inlineStr">
        <is>
          <t>D01-DOC-MRE-001.FLOWS.FLUXO_DE_DADOS</t>
        </is>
      </c>
      <c r="B121" s="10" t="inlineStr">
        <is>
          <t>D01-DOC-MRE-001</t>
        </is>
      </c>
      <c r="C121" s="10" t="inlineStr">
        <is>
          <t>D01-DOC-MRE-001-T03</t>
        </is>
      </c>
      <c r="D121" s="10" t="inlineStr">
        <is>
          <t>fluxo_de_dados</t>
        </is>
      </c>
      <c r="E121" s="10" t="inlineStr">
        <is>
          <t>Definir, validar e manter: Fluxo De Dados</t>
        </is>
      </c>
      <c r="F121" s="10" t="n"/>
      <c r="G121" s="10" t="b">
        <v>1</v>
      </c>
      <c r="H121" s="10" t="b">
        <v>1</v>
      </c>
      <c r="I121" s="10" t="inlineStr">
        <is>
          <t>DERIVED</t>
        </is>
      </c>
      <c r="J121" s="10" t="inlineStr">
        <is>
          <t>PROPOSED</t>
        </is>
      </c>
      <c r="K121" s="10" t="inlineStr">
        <is>
          <t>DERIVED</t>
        </is>
      </c>
      <c r="L121" s="10" t="inlineStr">
        <is>
          <t>baixa</t>
        </is>
      </c>
      <c r="M121" s="10" t="inlineStr">
        <is>
          <t>["D01-DOC-MRE-001.FLOWS.FLUXO_DE_DADOS"]</t>
        </is>
      </c>
    </row>
    <row r="122">
      <c r="A122" s="10" t="inlineStr">
        <is>
          <t>D01-DOC-MRE-001.FLOWS.FLUXO_DE_CONHECIMENTO</t>
        </is>
      </c>
      <c r="B122" s="10" t="inlineStr">
        <is>
          <t>D01-DOC-MRE-001</t>
        </is>
      </c>
      <c r="C122" s="10" t="inlineStr">
        <is>
          <t>D01-DOC-MRE-001-T03</t>
        </is>
      </c>
      <c r="D122" s="10" t="inlineStr">
        <is>
          <t>fluxo_de_conhecimento</t>
        </is>
      </c>
      <c r="E122" s="10" t="inlineStr">
        <is>
          <t>Definir, validar e manter: Fluxo De Conhecimento</t>
        </is>
      </c>
      <c r="F122" s="10" t="n"/>
      <c r="G122" s="10" t="b">
        <v>1</v>
      </c>
      <c r="H122" s="10" t="b">
        <v>1</v>
      </c>
      <c r="I122" s="10" t="inlineStr">
        <is>
          <t>DERIVED</t>
        </is>
      </c>
      <c r="J122" s="10" t="inlineStr">
        <is>
          <t>PROPOSED</t>
        </is>
      </c>
      <c r="K122" s="10" t="inlineStr">
        <is>
          <t>DERIVED</t>
        </is>
      </c>
      <c r="L122" s="10" t="inlineStr">
        <is>
          <t>baixa</t>
        </is>
      </c>
      <c r="M122" s="10" t="inlineStr">
        <is>
          <t>["D01-DOC-MRE-001.FLOWS.FLUXO_DE_CONHECIMENTO"]</t>
        </is>
      </c>
    </row>
    <row r="123">
      <c r="A123" s="10" t="inlineStr">
        <is>
          <t>D01-DOC-MRE-001.FLOWS.FLUXO_COMERCIAL</t>
        </is>
      </c>
      <c r="B123" s="10" t="inlineStr">
        <is>
          <t>D01-DOC-MRE-001</t>
        </is>
      </c>
      <c r="C123" s="10" t="inlineStr">
        <is>
          <t>D01-DOC-MRE-001-T03</t>
        </is>
      </c>
      <c r="D123" s="10" t="inlineStr">
        <is>
          <t>fluxo_comercial</t>
        </is>
      </c>
      <c r="E123" s="10" t="inlineStr">
        <is>
          <t>Definir, validar e manter: Fluxo Comercial</t>
        </is>
      </c>
      <c r="F123" s="10" t="n"/>
      <c r="G123" s="10" t="b">
        <v>1</v>
      </c>
      <c r="H123" s="10" t="b">
        <v>1</v>
      </c>
      <c r="I123" s="10" t="inlineStr">
        <is>
          <t>DERIVED</t>
        </is>
      </c>
      <c r="J123" s="10" t="inlineStr">
        <is>
          <t>PROPOSED</t>
        </is>
      </c>
      <c r="K123" s="10" t="inlineStr">
        <is>
          <t>DERIVED</t>
        </is>
      </c>
      <c r="L123" s="10" t="inlineStr">
        <is>
          <t>baixa</t>
        </is>
      </c>
      <c r="M123" s="10" t="inlineStr">
        <is>
          <t>["D01-DOC-MRE-001.FLOWS.FLUXO_COMERCIAL"]</t>
        </is>
      </c>
    </row>
    <row r="124">
      <c r="A124" s="10" t="inlineStr">
        <is>
          <t>D01-DOC-MRE-001.FLOWS.FLUXO_DE_FEEDBACK</t>
        </is>
      </c>
      <c r="B124" s="10" t="inlineStr">
        <is>
          <t>D01-DOC-MRE-001</t>
        </is>
      </c>
      <c r="C124" s="10" t="inlineStr">
        <is>
          <t>D01-DOC-MRE-001-T03</t>
        </is>
      </c>
      <c r="D124" s="10" t="inlineStr">
        <is>
          <t>fluxo_de_feedback</t>
        </is>
      </c>
      <c r="E124" s="10" t="inlineStr">
        <is>
          <t>Definir, validar e manter: Fluxo De Feedback</t>
        </is>
      </c>
      <c r="F124" s="10" t="n"/>
      <c r="G124" s="10" t="b">
        <v>1</v>
      </c>
      <c r="H124" s="10" t="b">
        <v>1</v>
      </c>
      <c r="I124" s="10" t="inlineStr">
        <is>
          <t>DERIVED</t>
        </is>
      </c>
      <c r="J124" s="10" t="inlineStr">
        <is>
          <t>PROPOSED</t>
        </is>
      </c>
      <c r="K124" s="10" t="inlineStr">
        <is>
          <t>DERIVED</t>
        </is>
      </c>
      <c r="L124" s="10" t="inlineStr">
        <is>
          <t>baixa</t>
        </is>
      </c>
      <c r="M124" s="10" t="inlineStr">
        <is>
          <t>["D01-DOC-MRE-001.FLOWS.FLUXO_DE_FEEDBACK"]</t>
        </is>
      </c>
    </row>
    <row r="125">
      <c r="A125" s="10" t="inlineStr">
        <is>
          <t>D01-DOC-MRE-001.INTERFACES.ENTRADAS</t>
        </is>
      </c>
      <c r="B125" s="10" t="inlineStr">
        <is>
          <t>D01-DOC-MRE-001</t>
        </is>
      </c>
      <c r="C125" s="10" t="inlineStr">
        <is>
          <t>D01-DOC-MRE-001-T04</t>
        </is>
      </c>
      <c r="D125" s="10" t="inlineStr">
        <is>
          <t>entradas</t>
        </is>
      </c>
      <c r="E125" s="10" t="inlineStr">
        <is>
          <t>Definir, validar e manter: Entradas</t>
        </is>
      </c>
      <c r="F125" s="10" t="n"/>
      <c r="G125" s="10" t="b">
        <v>1</v>
      </c>
      <c r="H125" s="10" t="b">
        <v>1</v>
      </c>
      <c r="I125" s="10" t="inlineStr">
        <is>
          <t>DERIVED</t>
        </is>
      </c>
      <c r="J125" s="10" t="inlineStr">
        <is>
          <t>PROPOSED</t>
        </is>
      </c>
      <c r="K125" s="10" t="inlineStr">
        <is>
          <t>DERIVED</t>
        </is>
      </c>
      <c r="L125" s="10" t="inlineStr">
        <is>
          <t>baixa</t>
        </is>
      </c>
      <c r="M125" s="10" t="inlineStr">
        <is>
          <t>["D01-DOC-MRE-001.INTERFACES.ENTRADAS"]</t>
        </is>
      </c>
    </row>
    <row r="126">
      <c r="A126" s="10" t="inlineStr">
        <is>
          <t>D01-DOC-MRE-001.INTERFACES.SAIDAS</t>
        </is>
      </c>
      <c r="B126" s="10" t="inlineStr">
        <is>
          <t>D01-DOC-MRE-001</t>
        </is>
      </c>
      <c r="C126" s="10" t="inlineStr">
        <is>
          <t>D01-DOC-MRE-001-T04</t>
        </is>
      </c>
      <c r="D126" s="10" t="inlineStr">
        <is>
          <t>saidas</t>
        </is>
      </c>
      <c r="E126" s="10" t="inlineStr">
        <is>
          <t>Definir, validar e manter: Saidas</t>
        </is>
      </c>
      <c r="F126" s="10" t="n"/>
      <c r="G126" s="10" t="b">
        <v>1</v>
      </c>
      <c r="H126" s="10" t="b">
        <v>1</v>
      </c>
      <c r="I126" s="10" t="inlineStr">
        <is>
          <t>DERIVED</t>
        </is>
      </c>
      <c r="J126" s="10" t="inlineStr">
        <is>
          <t>PROPOSED</t>
        </is>
      </c>
      <c r="K126" s="10" t="inlineStr">
        <is>
          <t>DERIVED</t>
        </is>
      </c>
      <c r="L126" s="10" t="inlineStr">
        <is>
          <t>baixa</t>
        </is>
      </c>
      <c r="M126" s="10" t="inlineStr">
        <is>
          <t>["D01-DOC-MRE-001.INTERFACES.SAIDAS"]</t>
        </is>
      </c>
    </row>
    <row r="127">
      <c r="A127" s="10" t="inlineStr">
        <is>
          <t>D01-DOC-MRE-001.INTERFACES.HANDOFFS</t>
        </is>
      </c>
      <c r="B127" s="10" t="inlineStr">
        <is>
          <t>D01-DOC-MRE-001</t>
        </is>
      </c>
      <c r="C127" s="10" t="inlineStr">
        <is>
          <t>D01-DOC-MRE-001-T04</t>
        </is>
      </c>
      <c r="D127" s="10" t="inlineStr">
        <is>
          <t>handoffs</t>
        </is>
      </c>
      <c r="E127" s="10" t="inlineStr">
        <is>
          <t>Definir, validar e manter: Handoffs</t>
        </is>
      </c>
      <c r="F127" s="10" t="n"/>
      <c r="G127" s="10" t="b">
        <v>1</v>
      </c>
      <c r="H127" s="10" t="b">
        <v>1</v>
      </c>
      <c r="I127" s="10" t="inlineStr">
        <is>
          <t>DERIVED</t>
        </is>
      </c>
      <c r="J127" s="10" t="inlineStr">
        <is>
          <t>PROPOSED</t>
        </is>
      </c>
      <c r="K127" s="10" t="inlineStr">
        <is>
          <t>DERIVED</t>
        </is>
      </c>
      <c r="L127" s="10" t="inlineStr">
        <is>
          <t>baixa</t>
        </is>
      </c>
      <c r="M127" s="10" t="inlineStr">
        <is>
          <t>["D01-DOC-MRE-001.INTERFACES.HANDOFFS"]</t>
        </is>
      </c>
    </row>
    <row r="128">
      <c r="A128" s="10" t="inlineStr">
        <is>
          <t>D01-DOC-MRE-001.DEPENDENCIES.DEPENDENCIAS</t>
        </is>
      </c>
      <c r="B128" s="10" t="inlineStr">
        <is>
          <t>D01-DOC-MRE-001</t>
        </is>
      </c>
      <c r="C128" s="10" t="inlineStr">
        <is>
          <t>D01-DOC-MRE-001-T05</t>
        </is>
      </c>
      <c r="D128" s="10" t="inlineStr">
        <is>
          <t>dependencias</t>
        </is>
      </c>
      <c r="E128" s="10" t="inlineStr">
        <is>
          <t>Definir, validar e manter: Dependencias</t>
        </is>
      </c>
      <c r="F128" s="10" t="n"/>
      <c r="G128" s="10" t="b">
        <v>1</v>
      </c>
      <c r="H128" s="10" t="b">
        <v>1</v>
      </c>
      <c r="I128" s="10" t="inlineStr">
        <is>
          <t>DERIVED</t>
        </is>
      </c>
      <c r="J128" s="10" t="inlineStr">
        <is>
          <t>PROPOSED</t>
        </is>
      </c>
      <c r="K128" s="10" t="inlineStr">
        <is>
          <t>DERIVED</t>
        </is>
      </c>
      <c r="L128" s="10" t="inlineStr">
        <is>
          <t>baixa</t>
        </is>
      </c>
      <c r="M128" s="10" t="inlineStr">
        <is>
          <t>["D01-DOC-MRE-001.DEPENDENCIES.DEPENDENCIAS"]</t>
        </is>
      </c>
    </row>
    <row r="129">
      <c r="A129" s="10" t="inlineStr">
        <is>
          <t>D01-DOC-MRE-001.DEPENDENCIES.GARGALOS</t>
        </is>
      </c>
      <c r="B129" s="10" t="inlineStr">
        <is>
          <t>D01-DOC-MRE-001</t>
        </is>
      </c>
      <c r="C129" s="10" t="inlineStr">
        <is>
          <t>D01-DOC-MRE-001-T05</t>
        </is>
      </c>
      <c r="D129" s="10" t="inlineStr">
        <is>
          <t>gargalos</t>
        </is>
      </c>
      <c r="E129" s="10" t="inlineStr">
        <is>
          <t>Definir, validar e manter: Gargalos</t>
        </is>
      </c>
      <c r="F129" s="10" t="n"/>
      <c r="G129" s="10" t="b">
        <v>1</v>
      </c>
      <c r="H129" s="10" t="b">
        <v>1</v>
      </c>
      <c r="I129" s="10" t="inlineStr">
        <is>
          <t>DERIVED</t>
        </is>
      </c>
      <c r="J129" s="10" t="inlineStr">
        <is>
          <t>PROPOSED</t>
        </is>
      </c>
      <c r="K129" s="10" t="inlineStr">
        <is>
          <t>DERIVED</t>
        </is>
      </c>
      <c r="L129" s="10" t="inlineStr">
        <is>
          <t>baixa</t>
        </is>
      </c>
      <c r="M129" s="10" t="inlineStr">
        <is>
          <t>["D01-DOC-MRE-001.DEPENDENCIES.GARGALOS"]</t>
        </is>
      </c>
    </row>
    <row r="130">
      <c r="A130" s="10" t="inlineStr">
        <is>
          <t>D01-DOC-MRE-001.LOOPS.CICLOS_DE_APRENDIZADO</t>
        </is>
      </c>
      <c r="B130" s="10" t="inlineStr">
        <is>
          <t>D01-DOC-MRE-001</t>
        </is>
      </c>
      <c r="C130" s="10" t="inlineStr">
        <is>
          <t>D01-DOC-MRE-001-T06</t>
        </is>
      </c>
      <c r="D130" s="10" t="inlineStr">
        <is>
          <t>ciclos_de_aprendizado</t>
        </is>
      </c>
      <c r="E130" s="10" t="inlineStr">
        <is>
          <t>Definir, validar e manter: Ciclos De Aprendizado</t>
        </is>
      </c>
      <c r="F130" s="10" t="n"/>
      <c r="G130" s="10" t="b">
        <v>1</v>
      </c>
      <c r="H130" s="10" t="b">
        <v>1</v>
      </c>
      <c r="I130" s="10" t="inlineStr">
        <is>
          <t>DERIVED</t>
        </is>
      </c>
      <c r="J130" s="10" t="inlineStr">
        <is>
          <t>PROPOSED</t>
        </is>
      </c>
      <c r="K130" s="10" t="inlineStr">
        <is>
          <t>DERIVED</t>
        </is>
      </c>
      <c r="L130" s="10" t="inlineStr">
        <is>
          <t>baixa</t>
        </is>
      </c>
      <c r="M130" s="10" t="inlineStr">
        <is>
          <t>["D01-DOC-MRE-001.LOOPS.CICLOS_DE_APRENDIZADO"]</t>
        </is>
      </c>
    </row>
    <row r="131">
      <c r="A131" s="10" t="inlineStr">
        <is>
          <t>D01-DOC-MRE-001.LOOPS.RETROALIMENTACAO</t>
        </is>
      </c>
      <c r="B131" s="10" t="inlineStr">
        <is>
          <t>D01-DOC-MRE-001</t>
        </is>
      </c>
      <c r="C131" s="10" t="inlineStr">
        <is>
          <t>D01-DOC-MRE-001-T06</t>
        </is>
      </c>
      <c r="D131" s="10" t="inlineStr">
        <is>
          <t>retroalimentacao</t>
        </is>
      </c>
      <c r="E131" s="10" t="inlineStr">
        <is>
          <t>Definir, validar e manter: Retroalimentacao</t>
        </is>
      </c>
      <c r="F131" s="10" t="n"/>
      <c r="G131" s="10" t="b">
        <v>1</v>
      </c>
      <c r="H131" s="10" t="b">
        <v>1</v>
      </c>
      <c r="I131" s="10" t="inlineStr">
        <is>
          <t>DERIVED</t>
        </is>
      </c>
      <c r="J131" s="10" t="inlineStr">
        <is>
          <t>PROPOSED</t>
        </is>
      </c>
      <c r="K131" s="10" t="inlineStr">
        <is>
          <t>DERIVED</t>
        </is>
      </c>
      <c r="L131" s="10" t="inlineStr">
        <is>
          <t>baixa</t>
        </is>
      </c>
      <c r="M131" s="10" t="inlineStr">
        <is>
          <t>["D01-DOC-MRE-001.LOOPS.RETROALIMENTACAO"]</t>
        </is>
      </c>
    </row>
    <row r="132">
      <c r="A132" s="10" t="inlineStr">
        <is>
          <t>D01-DOC-MRE-001.RISKS.FALHAS_DE_INTEGRACAO</t>
        </is>
      </c>
      <c r="B132" s="10" t="inlineStr">
        <is>
          <t>D01-DOC-MRE-001</t>
        </is>
      </c>
      <c r="C132" s="10" t="inlineStr">
        <is>
          <t>D01-DOC-MRE-001-T07</t>
        </is>
      </c>
      <c r="D132" s="10" t="inlineStr">
        <is>
          <t>falhas_de_integracao</t>
        </is>
      </c>
      <c r="E132" s="10" t="inlineStr">
        <is>
          <t>Definir, validar e manter: Falhas De Integracao</t>
        </is>
      </c>
      <c r="F132" s="10" t="n"/>
      <c r="G132" s="10" t="b">
        <v>1</v>
      </c>
      <c r="H132" s="10" t="b">
        <v>1</v>
      </c>
      <c r="I132" s="10" t="inlineStr">
        <is>
          <t>DERIVED</t>
        </is>
      </c>
      <c r="J132" s="10" t="inlineStr">
        <is>
          <t>PROPOSED</t>
        </is>
      </c>
      <c r="K132" s="10" t="inlineStr">
        <is>
          <t>DERIVED</t>
        </is>
      </c>
      <c r="L132" s="10" t="inlineStr">
        <is>
          <t>baixa</t>
        </is>
      </c>
      <c r="M132" s="10" t="inlineStr">
        <is>
          <t>["D01-DOC-MRE-001.RISKS.FALHAS_DE_INTEGRACAO"]</t>
        </is>
      </c>
    </row>
    <row r="133">
      <c r="A133" s="10" t="inlineStr">
        <is>
          <t>D01-DOC-MRE-001.RISKS.PONTOS_UNICOS_DE_FALHA</t>
        </is>
      </c>
      <c r="B133" s="10" t="inlineStr">
        <is>
          <t>D01-DOC-MRE-001</t>
        </is>
      </c>
      <c r="C133" s="10" t="inlineStr">
        <is>
          <t>D01-DOC-MRE-001-T07</t>
        </is>
      </c>
      <c r="D133" s="10" t="inlineStr">
        <is>
          <t>pontos_unicos_de_falha</t>
        </is>
      </c>
      <c r="E133" s="10" t="inlineStr">
        <is>
          <t>Definir, validar e manter: Pontos Unicos De Falha</t>
        </is>
      </c>
      <c r="F133" s="10" t="n"/>
      <c r="G133" s="10" t="b">
        <v>1</v>
      </c>
      <c r="H133" s="10" t="b">
        <v>1</v>
      </c>
      <c r="I133" s="10" t="inlineStr">
        <is>
          <t>DERIVED</t>
        </is>
      </c>
      <c r="J133" s="10" t="inlineStr">
        <is>
          <t>PROPOSED</t>
        </is>
      </c>
      <c r="K133" s="10" t="inlineStr">
        <is>
          <t>DERIVED</t>
        </is>
      </c>
      <c r="L133" s="10" t="inlineStr">
        <is>
          <t>baixa</t>
        </is>
      </c>
      <c r="M133" s="10" t="inlineStr">
        <is>
          <t>["D01-DOC-MRE-001.RISKS.PONTOS_UNICOS_DE_FALHA"]</t>
        </is>
      </c>
    </row>
    <row r="134">
      <c r="A134" s="10" t="inlineStr">
        <is>
          <t>D02-DOC-DGRC-001.GOVERNANCE.ESTRUTURA_JURIDICA</t>
        </is>
      </c>
      <c r="B134" s="10" t="inlineStr">
        <is>
          <t>D02-DOC-DGRC-001</t>
        </is>
      </c>
      <c r="C134" s="10" t="inlineStr">
        <is>
          <t>D02-DOC-DGRC-001-T01</t>
        </is>
      </c>
      <c r="D134" s="10" t="inlineStr">
        <is>
          <t>estrutura_juridica</t>
        </is>
      </c>
      <c r="E134" s="10" t="inlineStr">
        <is>
          <t>Definir, validar e manter: Estrutura Juridica</t>
        </is>
      </c>
      <c r="F134" s="10" t="n"/>
      <c r="G134" s="10" t="b">
        <v>1</v>
      </c>
      <c r="H134" s="10" t="b">
        <v>1</v>
      </c>
      <c r="I134" s="10" t="inlineStr">
        <is>
          <t>DERIVED</t>
        </is>
      </c>
      <c r="J134" s="10" t="inlineStr">
        <is>
          <t>PROPOSED</t>
        </is>
      </c>
      <c r="K134" s="10" t="inlineStr">
        <is>
          <t>DERIVED</t>
        </is>
      </c>
      <c r="L134" s="10" t="inlineStr">
        <is>
          <t>baixa</t>
        </is>
      </c>
      <c r="M134" s="10" t="inlineStr">
        <is>
          <t>["D02-DOC-DGRC-001.GOVERNANCE.ESTRUTURA_JURIDICA"]</t>
        </is>
      </c>
    </row>
    <row r="135">
      <c r="A135" s="10" t="inlineStr">
        <is>
          <t>D02-DOC-DGRC-001.GOVERNANCE.PAPEIS</t>
        </is>
      </c>
      <c r="B135" s="10" t="inlineStr">
        <is>
          <t>D02-DOC-DGRC-001</t>
        </is>
      </c>
      <c r="C135" s="10" t="inlineStr">
        <is>
          <t>D02-DOC-DGRC-001-T01</t>
        </is>
      </c>
      <c r="D135" s="10" t="inlineStr">
        <is>
          <t>papeis</t>
        </is>
      </c>
      <c r="E135" s="10" t="inlineStr">
        <is>
          <t>Definir, validar e manter: Papeis</t>
        </is>
      </c>
      <c r="F135" s="10" t="n"/>
      <c r="G135" s="10" t="b">
        <v>1</v>
      </c>
      <c r="H135" s="10" t="b">
        <v>1</v>
      </c>
      <c r="I135" s="10" t="inlineStr">
        <is>
          <t>DERIVED</t>
        </is>
      </c>
      <c r="J135" s="10" t="inlineStr">
        <is>
          <t>PROPOSED</t>
        </is>
      </c>
      <c r="K135" s="10" t="inlineStr">
        <is>
          <t>DERIVED</t>
        </is>
      </c>
      <c r="L135" s="10" t="inlineStr">
        <is>
          <t>baixa</t>
        </is>
      </c>
      <c r="M135" s="10" t="inlineStr">
        <is>
          <t>["D02-DOC-DGRC-001.GOVERNANCE.PAPEIS"]</t>
        </is>
      </c>
    </row>
    <row r="136">
      <c r="A136" s="10" t="inlineStr">
        <is>
          <t>D02-DOC-DGRC-001.GOVERNANCE.AUTORIDADES</t>
        </is>
      </c>
      <c r="B136" s="10" t="inlineStr">
        <is>
          <t>D02-DOC-DGRC-001</t>
        </is>
      </c>
      <c r="C136" s="10" t="inlineStr">
        <is>
          <t>D02-DOC-DGRC-001-T01</t>
        </is>
      </c>
      <c r="D136" s="10" t="inlineStr">
        <is>
          <t>autoridades</t>
        </is>
      </c>
      <c r="E136" s="10" t="inlineStr">
        <is>
          <t>Definir, validar e manter: Autoridades</t>
        </is>
      </c>
      <c r="F136" s="10" t="n"/>
      <c r="G136" s="10" t="b">
        <v>1</v>
      </c>
      <c r="H136" s="10" t="b">
        <v>1</v>
      </c>
      <c r="I136" s="10" t="inlineStr">
        <is>
          <t>DERIVED</t>
        </is>
      </c>
      <c r="J136" s="10" t="inlineStr">
        <is>
          <t>PROPOSED</t>
        </is>
      </c>
      <c r="K136" s="10" t="inlineStr">
        <is>
          <t>DERIVED</t>
        </is>
      </c>
      <c r="L136" s="10" t="inlineStr">
        <is>
          <t>baixa</t>
        </is>
      </c>
      <c r="M136" s="10" t="inlineStr">
        <is>
          <t>["D02-DOC-DGRC-001.GOVERNANCE.AUTORIDADES"]</t>
        </is>
      </c>
    </row>
    <row r="137">
      <c r="A137" s="10" t="inlineStr">
        <is>
          <t>D02-DOC-DGRC-001.GOVERNANCE.POLITICAS</t>
        </is>
      </c>
      <c r="B137" s="10" t="inlineStr">
        <is>
          <t>D02-DOC-DGRC-001</t>
        </is>
      </c>
      <c r="C137" s="10" t="inlineStr">
        <is>
          <t>D02-DOC-DGRC-001-T01</t>
        </is>
      </c>
      <c r="D137" s="10" t="inlineStr">
        <is>
          <t>politicas</t>
        </is>
      </c>
      <c r="E137" s="10" t="inlineStr">
        <is>
          <t>Definir, validar e manter: Politicas</t>
        </is>
      </c>
      <c r="F137" s="10" t="n"/>
      <c r="G137" s="10" t="b">
        <v>1</v>
      </c>
      <c r="H137" s="10" t="b">
        <v>1</v>
      </c>
      <c r="I137" s="10" t="inlineStr">
        <is>
          <t>DERIVED</t>
        </is>
      </c>
      <c r="J137" s="10" t="inlineStr">
        <is>
          <t>PROPOSED</t>
        </is>
      </c>
      <c r="K137" s="10" t="inlineStr">
        <is>
          <t>DERIVED</t>
        </is>
      </c>
      <c r="L137" s="10" t="inlineStr">
        <is>
          <t>baixa</t>
        </is>
      </c>
      <c r="M137" s="10" t="inlineStr">
        <is>
          <t>["D02-DOC-DGRC-001.GOVERNANCE.POLITICAS"]</t>
        </is>
      </c>
    </row>
    <row r="138">
      <c r="A138" s="10" t="inlineStr">
        <is>
          <t>D02-DOC-DGRC-001.OBLIGATIONS.LEIS_APLICAVEIS</t>
        </is>
      </c>
      <c r="B138" s="10" t="inlineStr">
        <is>
          <t>D02-DOC-DGRC-001</t>
        </is>
      </c>
      <c r="C138" s="10" t="inlineStr">
        <is>
          <t>D02-DOC-DGRC-001-T02</t>
        </is>
      </c>
      <c r="D138" s="10" t="inlineStr">
        <is>
          <t>leis_aplicaveis</t>
        </is>
      </c>
      <c r="E138" s="10" t="inlineStr">
        <is>
          <t>Definir, validar e manter: Leis Aplicaveis</t>
        </is>
      </c>
      <c r="F138" s="10" t="n"/>
      <c r="G138" s="10" t="b">
        <v>1</v>
      </c>
      <c r="H138" s="10" t="b">
        <v>1</v>
      </c>
      <c r="I138" s="10" t="inlineStr">
        <is>
          <t>DERIVED</t>
        </is>
      </c>
      <c r="J138" s="10" t="inlineStr">
        <is>
          <t>PROPOSED</t>
        </is>
      </c>
      <c r="K138" s="10" t="inlineStr">
        <is>
          <t>DERIVED</t>
        </is>
      </c>
      <c r="L138" s="10" t="inlineStr">
        <is>
          <t>baixa</t>
        </is>
      </c>
      <c r="M138" s="10" t="inlineStr">
        <is>
          <t>["D02-DOC-DGRC-001.OBLIGATIONS.LEIS_APLICAVEIS"]</t>
        </is>
      </c>
    </row>
    <row r="139">
      <c r="A139" s="10" t="inlineStr">
        <is>
          <t>D02-DOC-DGRC-001.OBLIGATIONS.REGULAMENTOS</t>
        </is>
      </c>
      <c r="B139" s="10" t="inlineStr">
        <is>
          <t>D02-DOC-DGRC-001</t>
        </is>
      </c>
      <c r="C139" s="10" t="inlineStr">
        <is>
          <t>D02-DOC-DGRC-001-T02</t>
        </is>
      </c>
      <c r="D139" s="10" t="inlineStr">
        <is>
          <t>regulamentos</t>
        </is>
      </c>
      <c r="E139" s="10" t="inlineStr">
        <is>
          <t>Definir, validar e manter: Regulamentos</t>
        </is>
      </c>
      <c r="F139" s="10" t="n"/>
      <c r="G139" s="10" t="b">
        <v>1</v>
      </c>
      <c r="H139" s="10" t="b">
        <v>1</v>
      </c>
      <c r="I139" s="10" t="inlineStr">
        <is>
          <t>DERIVED</t>
        </is>
      </c>
      <c r="J139" s="10" t="inlineStr">
        <is>
          <t>PROPOSED</t>
        </is>
      </c>
      <c r="K139" s="10" t="inlineStr">
        <is>
          <t>DERIVED</t>
        </is>
      </c>
      <c r="L139" s="10" t="inlineStr">
        <is>
          <t>baixa</t>
        </is>
      </c>
      <c r="M139" s="10" t="inlineStr">
        <is>
          <t>["D02-DOC-DGRC-001.OBLIGATIONS.REGULAMENTOS"]</t>
        </is>
      </c>
    </row>
    <row r="140">
      <c r="A140" s="10" t="inlineStr">
        <is>
          <t>D02-DOC-DGRC-001.OBLIGATIONS.OBRIGACOES</t>
        </is>
      </c>
      <c r="B140" s="10" t="inlineStr">
        <is>
          <t>D02-DOC-DGRC-001</t>
        </is>
      </c>
      <c r="C140" s="10" t="inlineStr">
        <is>
          <t>D02-DOC-DGRC-001-T02</t>
        </is>
      </c>
      <c r="D140" s="10" t="inlineStr">
        <is>
          <t>obrigacoes</t>
        </is>
      </c>
      <c r="E140" s="10" t="inlineStr">
        <is>
          <t>Definir, validar e manter: Obrigacoes</t>
        </is>
      </c>
      <c r="F140" s="10" t="n"/>
      <c r="G140" s="10" t="b">
        <v>1</v>
      </c>
      <c r="H140" s="10" t="b">
        <v>1</v>
      </c>
      <c r="I140" s="10" t="inlineStr">
        <is>
          <t>DERIVED</t>
        </is>
      </c>
      <c r="J140" s="10" t="inlineStr">
        <is>
          <t>PROPOSED</t>
        </is>
      </c>
      <c r="K140" s="10" t="inlineStr">
        <is>
          <t>DERIVED</t>
        </is>
      </c>
      <c r="L140" s="10" t="inlineStr">
        <is>
          <t>baixa</t>
        </is>
      </c>
      <c r="M140" s="10" t="inlineStr">
        <is>
          <t>["D02-DOC-DGRC-001.OBLIGATIONS.OBRIGACOES"]</t>
        </is>
      </c>
    </row>
    <row r="141">
      <c r="A141" s="10" t="inlineStr">
        <is>
          <t>D02-DOC-DGRC-001.OBLIGATIONS.LICENCAS</t>
        </is>
      </c>
      <c r="B141" s="10" t="inlineStr">
        <is>
          <t>D02-DOC-DGRC-001</t>
        </is>
      </c>
      <c r="C141" s="10" t="inlineStr">
        <is>
          <t>D02-DOC-DGRC-001-T02</t>
        </is>
      </c>
      <c r="D141" s="10" t="inlineStr">
        <is>
          <t>licencas</t>
        </is>
      </c>
      <c r="E141" s="10" t="inlineStr">
        <is>
          <t>Definir, validar e manter: Licencas</t>
        </is>
      </c>
      <c r="F141" s="10" t="n"/>
      <c r="G141" s="10" t="b">
        <v>1</v>
      </c>
      <c r="H141" s="10" t="b">
        <v>1</v>
      </c>
      <c r="I141" s="10" t="inlineStr">
        <is>
          <t>DERIVED</t>
        </is>
      </c>
      <c r="J141" s="10" t="inlineStr">
        <is>
          <t>PROPOSED</t>
        </is>
      </c>
      <c r="K141" s="10" t="inlineStr">
        <is>
          <t>DERIVED</t>
        </is>
      </c>
      <c r="L141" s="10" t="inlineStr">
        <is>
          <t>baixa</t>
        </is>
      </c>
      <c r="M141" s="10" t="inlineStr">
        <is>
          <t>["D02-DOC-DGRC-001.OBLIGATIONS.LICENCAS"]</t>
        </is>
      </c>
    </row>
    <row r="142">
      <c r="A142" s="10" t="inlineStr">
        <is>
          <t>D02-DOC-DGRC-001.CONTRACTS.CONTRATOS_EXISTENTES</t>
        </is>
      </c>
      <c r="B142" s="10" t="inlineStr">
        <is>
          <t>D02-DOC-DGRC-001</t>
        </is>
      </c>
      <c r="C142" s="10" t="inlineStr">
        <is>
          <t>D02-DOC-DGRC-001-T03</t>
        </is>
      </c>
      <c r="D142" s="10" t="inlineStr">
        <is>
          <t>contratos_existentes</t>
        </is>
      </c>
      <c r="E142" s="10" t="inlineStr">
        <is>
          <t>Definir, validar e manter: Contratos Existentes</t>
        </is>
      </c>
      <c r="F142" s="10" t="n"/>
      <c r="G142" s="10" t="b">
        <v>1</v>
      </c>
      <c r="H142" s="10" t="b">
        <v>1</v>
      </c>
      <c r="I142" s="10" t="inlineStr">
        <is>
          <t>DERIVED</t>
        </is>
      </c>
      <c r="J142" s="10" t="inlineStr">
        <is>
          <t>PROPOSED</t>
        </is>
      </c>
      <c r="K142" s="10" t="inlineStr">
        <is>
          <t>DERIVED</t>
        </is>
      </c>
      <c r="L142" s="10" t="inlineStr">
        <is>
          <t>baixa</t>
        </is>
      </c>
      <c r="M142" s="10" t="inlineStr">
        <is>
          <t>["D02-DOC-DGRC-001.CONTRACTS.CONTRATOS_EXISTENTES"]</t>
        </is>
      </c>
    </row>
    <row r="143">
      <c r="A143" s="10" t="inlineStr">
        <is>
          <t>D02-DOC-DGRC-001.CONTRACTS.CONTRATOS_NECESSARIOS</t>
        </is>
      </c>
      <c r="B143" s="10" t="inlineStr">
        <is>
          <t>D02-DOC-DGRC-001</t>
        </is>
      </c>
      <c r="C143" s="10" t="inlineStr">
        <is>
          <t>D02-DOC-DGRC-001-T03</t>
        </is>
      </c>
      <c r="D143" s="10" t="inlineStr">
        <is>
          <t>contratos_necessarios</t>
        </is>
      </c>
      <c r="E143" s="10" t="inlineStr">
        <is>
          <t>Definir, validar e manter: Contratos Necessarios</t>
        </is>
      </c>
      <c r="F143" s="10" t="n"/>
      <c r="G143" s="10" t="b">
        <v>1</v>
      </c>
      <c r="H143" s="10" t="b">
        <v>1</v>
      </c>
      <c r="I143" s="10" t="inlineStr">
        <is>
          <t>DERIVED</t>
        </is>
      </c>
      <c r="J143" s="10" t="inlineStr">
        <is>
          <t>PROPOSED</t>
        </is>
      </c>
      <c r="K143" s="10" t="inlineStr">
        <is>
          <t>DERIVED</t>
        </is>
      </c>
      <c r="L143" s="10" t="inlineStr">
        <is>
          <t>baixa</t>
        </is>
      </c>
      <c r="M143" s="10" t="inlineStr">
        <is>
          <t>["D02-DOC-DGRC-001.CONTRACTS.CONTRATOS_NECESSARIOS"]</t>
        </is>
      </c>
    </row>
    <row r="144">
      <c r="A144" s="10" t="inlineStr">
        <is>
          <t>D02-DOC-DGRC-001.CONTRACTS.OBRIGACOES_CONTRATUAIS</t>
        </is>
      </c>
      <c r="B144" s="10" t="inlineStr">
        <is>
          <t>D02-DOC-DGRC-001</t>
        </is>
      </c>
      <c r="C144" s="10" t="inlineStr">
        <is>
          <t>D02-DOC-DGRC-001-T03</t>
        </is>
      </c>
      <c r="D144" s="10" t="inlineStr">
        <is>
          <t>obrigacoes_contratuais</t>
        </is>
      </c>
      <c r="E144" s="10" t="inlineStr">
        <is>
          <t>Definir, validar e manter: Obrigacoes Contratuais</t>
        </is>
      </c>
      <c r="F144" s="10" t="n"/>
      <c r="G144" s="10" t="b">
        <v>1</v>
      </c>
      <c r="H144" s="10" t="b">
        <v>1</v>
      </c>
      <c r="I144" s="10" t="inlineStr">
        <is>
          <t>DERIVED</t>
        </is>
      </c>
      <c r="J144" s="10" t="inlineStr">
        <is>
          <t>PROPOSED</t>
        </is>
      </c>
      <c r="K144" s="10" t="inlineStr">
        <is>
          <t>DERIVED</t>
        </is>
      </c>
      <c r="L144" s="10" t="inlineStr">
        <is>
          <t>baixa</t>
        </is>
      </c>
      <c r="M144" s="10" t="inlineStr">
        <is>
          <t>["D02-DOC-DGRC-001.CONTRACTS.OBRIGACOES_CONTRATUAIS"]</t>
        </is>
      </c>
    </row>
    <row r="145">
      <c r="A145" s="10" t="inlineStr">
        <is>
          <t>D02-DOC-DGRC-001.PRIVACY.DADOS_PESSOAIS</t>
        </is>
      </c>
      <c r="B145" s="10" t="inlineStr">
        <is>
          <t>D02-DOC-DGRC-001</t>
        </is>
      </c>
      <c r="C145" s="10" t="inlineStr">
        <is>
          <t>D02-DOC-DGRC-001-T04</t>
        </is>
      </c>
      <c r="D145" s="10" t="inlineStr">
        <is>
          <t>dados_pessoais</t>
        </is>
      </c>
      <c r="E145" s="10" t="inlineStr">
        <is>
          <t>Definir, validar e manter: Dados Pessoais</t>
        </is>
      </c>
      <c r="F145" s="10" t="n"/>
      <c r="G145" s="10" t="b">
        <v>1</v>
      </c>
      <c r="H145" s="10" t="b">
        <v>1</v>
      </c>
      <c r="I145" s="10" t="inlineStr">
        <is>
          <t>EXTERNAL</t>
        </is>
      </c>
      <c r="J145" s="10" t="inlineStr">
        <is>
          <t>EXTERNAL_EVIDENCE</t>
        </is>
      </c>
      <c r="K145" s="10" t="inlineStr">
        <is>
          <t>EXTERNAL</t>
        </is>
      </c>
      <c r="L145" s="10" t="inlineStr">
        <is>
          <t>media</t>
        </is>
      </c>
      <c r="M145" s="10" t="inlineStr">
        <is>
          <t>["D02-DOC-DGRC-001.PRIVACY.DADOS_PESSOAIS"]</t>
        </is>
      </c>
    </row>
    <row r="146">
      <c r="A146" s="10" t="inlineStr">
        <is>
          <t>D02-DOC-DGRC-001.PRIVACY.FINALIDADES</t>
        </is>
      </c>
      <c r="B146" s="10" t="inlineStr">
        <is>
          <t>D02-DOC-DGRC-001</t>
        </is>
      </c>
      <c r="C146" s="10" t="inlineStr">
        <is>
          <t>D02-DOC-DGRC-001-T04</t>
        </is>
      </c>
      <c r="D146" s="10" t="inlineStr">
        <is>
          <t>finalidades</t>
        </is>
      </c>
      <c r="E146" s="10" t="inlineStr">
        <is>
          <t>Definir, validar e manter: Finalidades</t>
        </is>
      </c>
      <c r="F146" s="10" t="n"/>
      <c r="G146" s="10" t="b">
        <v>1</v>
      </c>
      <c r="H146" s="10" t="b">
        <v>1</v>
      </c>
      <c r="I146" s="10" t="inlineStr">
        <is>
          <t>DERIVED</t>
        </is>
      </c>
      <c r="J146" s="10" t="inlineStr">
        <is>
          <t>PROPOSED</t>
        </is>
      </c>
      <c r="K146" s="10" t="inlineStr">
        <is>
          <t>DERIVED</t>
        </is>
      </c>
      <c r="L146" s="10" t="inlineStr">
        <is>
          <t>baixa</t>
        </is>
      </c>
      <c r="M146" s="10" t="inlineStr">
        <is>
          <t>["D02-DOC-DGRC-001.PRIVACY.FINALIDADES"]</t>
        </is>
      </c>
    </row>
    <row r="147">
      <c r="A147" s="10" t="inlineStr">
        <is>
          <t>D02-DOC-DGRC-001.PRIVACY.BASES_LEGAIS</t>
        </is>
      </c>
      <c r="B147" s="10" t="inlineStr">
        <is>
          <t>D02-DOC-DGRC-001</t>
        </is>
      </c>
      <c r="C147" s="10" t="inlineStr">
        <is>
          <t>D02-DOC-DGRC-001-T04</t>
        </is>
      </c>
      <c r="D147" s="10" t="inlineStr">
        <is>
          <t>bases_legais</t>
        </is>
      </c>
      <c r="E147" s="10" t="inlineStr">
        <is>
          <t>Definir, validar e manter: Bases Legais</t>
        </is>
      </c>
      <c r="F147" s="10" t="n"/>
      <c r="G147" s="10" t="b">
        <v>1</v>
      </c>
      <c r="H147" s="10" t="b">
        <v>1</v>
      </c>
      <c r="I147" s="10" t="inlineStr">
        <is>
          <t>DERIVED</t>
        </is>
      </c>
      <c r="J147" s="10" t="inlineStr">
        <is>
          <t>PROPOSED</t>
        </is>
      </c>
      <c r="K147" s="10" t="inlineStr">
        <is>
          <t>DERIVED</t>
        </is>
      </c>
      <c r="L147" s="10" t="inlineStr">
        <is>
          <t>baixa</t>
        </is>
      </c>
      <c r="M147" s="10" t="inlineStr">
        <is>
          <t>["D02-DOC-DGRC-001.PRIVACY.BASES_LEGAIS"]</t>
        </is>
      </c>
    </row>
    <row r="148">
      <c r="A148" s="10" t="inlineStr">
        <is>
          <t>D02-DOC-DGRC-001.PRIVACY.DIREITOS</t>
        </is>
      </c>
      <c r="B148" s="10" t="inlineStr">
        <is>
          <t>D02-DOC-DGRC-001</t>
        </is>
      </c>
      <c r="C148" s="10" t="inlineStr">
        <is>
          <t>D02-DOC-DGRC-001-T04</t>
        </is>
      </c>
      <c r="D148" s="10" t="inlineStr">
        <is>
          <t>direitos</t>
        </is>
      </c>
      <c r="E148" s="10" t="inlineStr">
        <is>
          <t>Definir, validar e manter: Direitos</t>
        </is>
      </c>
      <c r="F148" s="10" t="n"/>
      <c r="G148" s="10" t="b">
        <v>1</v>
      </c>
      <c r="H148" s="10" t="b">
        <v>1</v>
      </c>
      <c r="I148" s="10" t="inlineStr">
        <is>
          <t>DERIVED</t>
        </is>
      </c>
      <c r="J148" s="10" t="inlineStr">
        <is>
          <t>PROPOSED</t>
        </is>
      </c>
      <c r="K148" s="10" t="inlineStr">
        <is>
          <t>DERIVED</t>
        </is>
      </c>
      <c r="L148" s="10" t="inlineStr">
        <is>
          <t>baixa</t>
        </is>
      </c>
      <c r="M148" s="10" t="inlineStr">
        <is>
          <t>["D02-DOC-DGRC-001.PRIVACY.DIREITOS"]</t>
        </is>
      </c>
    </row>
    <row r="149">
      <c r="A149" s="10" t="inlineStr">
        <is>
          <t>D02-DOC-DGRC-001.PRIVACY.RETENCAO</t>
        </is>
      </c>
      <c r="B149" s="10" t="inlineStr">
        <is>
          <t>D02-DOC-DGRC-001</t>
        </is>
      </c>
      <c r="C149" s="10" t="inlineStr">
        <is>
          <t>D02-DOC-DGRC-001-T04</t>
        </is>
      </c>
      <c r="D149" s="10" t="inlineStr">
        <is>
          <t>retencao</t>
        </is>
      </c>
      <c r="E149" s="10" t="inlineStr">
        <is>
          <t>Definir, validar e manter: Retencao</t>
        </is>
      </c>
      <c r="F149" s="10" t="n"/>
      <c r="G149" s="10" t="b">
        <v>1</v>
      </c>
      <c r="H149" s="10" t="b">
        <v>1</v>
      </c>
      <c r="I149" s="10" t="inlineStr">
        <is>
          <t>EXTERNAL</t>
        </is>
      </c>
      <c r="J149" s="10" t="inlineStr">
        <is>
          <t>EXTERNAL_EVIDENCE</t>
        </is>
      </c>
      <c r="K149" s="10" t="inlineStr">
        <is>
          <t>EXTERNAL</t>
        </is>
      </c>
      <c r="L149" s="10" t="inlineStr">
        <is>
          <t>media</t>
        </is>
      </c>
      <c r="M149" s="10" t="inlineStr">
        <is>
          <t>["D02-DOC-DGRC-001.PRIVACY.RETENCAO"]</t>
        </is>
      </c>
    </row>
    <row r="150">
      <c r="A150" s="10" t="inlineStr">
        <is>
          <t>D02-DOC-DGRC-001.INTELLECTUAL_PROPERTY.MARCAS</t>
        </is>
      </c>
      <c r="B150" s="10" t="inlineStr">
        <is>
          <t>D02-DOC-DGRC-001</t>
        </is>
      </c>
      <c r="C150" s="10" t="inlineStr">
        <is>
          <t>D02-DOC-DGRC-001-T05</t>
        </is>
      </c>
      <c r="D150" s="10" t="inlineStr">
        <is>
          <t>marcas</t>
        </is>
      </c>
      <c r="E150" s="10" t="inlineStr">
        <is>
          <t>Definir, validar e manter: Marcas</t>
        </is>
      </c>
      <c r="F150" s="10" t="n"/>
      <c r="G150" s="10" t="b">
        <v>1</v>
      </c>
      <c r="H150" s="10" t="b">
        <v>1</v>
      </c>
      <c r="I150" s="10" t="inlineStr">
        <is>
          <t>DERIVED</t>
        </is>
      </c>
      <c r="J150" s="10" t="inlineStr">
        <is>
          <t>PROPOSED</t>
        </is>
      </c>
      <c r="K150" s="10" t="inlineStr">
        <is>
          <t>DERIVED</t>
        </is>
      </c>
      <c r="L150" s="10" t="inlineStr">
        <is>
          <t>baixa</t>
        </is>
      </c>
      <c r="M150" s="10" t="inlineStr">
        <is>
          <t>["D02-DOC-DGRC-001.INTELLECTUAL_PROPERTY.MARCAS"]</t>
        </is>
      </c>
    </row>
    <row r="151">
      <c r="A151" s="10" t="inlineStr">
        <is>
          <t>D02-DOC-DGRC-001.INTELLECTUAL_PROPERTY.DIREITOS_AUTORAIS</t>
        </is>
      </c>
      <c r="B151" s="10" t="inlineStr">
        <is>
          <t>D02-DOC-DGRC-001</t>
        </is>
      </c>
      <c r="C151" s="10" t="inlineStr">
        <is>
          <t>D02-DOC-DGRC-001-T05</t>
        </is>
      </c>
      <c r="D151" s="10" t="inlineStr">
        <is>
          <t>direitos_autorais</t>
        </is>
      </c>
      <c r="E151" s="10" t="inlineStr">
        <is>
          <t>Definir, validar e manter: Direitos Autorais</t>
        </is>
      </c>
      <c r="F151" s="10" t="n"/>
      <c r="G151" s="10" t="b">
        <v>1</v>
      </c>
      <c r="H151" s="10" t="b">
        <v>1</v>
      </c>
      <c r="I151" s="10" t="inlineStr">
        <is>
          <t>DERIVED</t>
        </is>
      </c>
      <c r="J151" s="10" t="inlineStr">
        <is>
          <t>PROPOSED</t>
        </is>
      </c>
      <c r="K151" s="10" t="inlineStr">
        <is>
          <t>DERIVED</t>
        </is>
      </c>
      <c r="L151" s="10" t="inlineStr">
        <is>
          <t>baixa</t>
        </is>
      </c>
      <c r="M151" s="10" t="inlineStr">
        <is>
          <t>["D02-DOC-DGRC-001.INTELLECTUAL_PROPERTY.DIREITOS_AUTORAIS"]</t>
        </is>
      </c>
    </row>
    <row r="152">
      <c r="A152" s="10" t="inlineStr">
        <is>
          <t>D02-DOC-DGRC-001.INTELLECTUAL_PROPERTY.SOFTWARE</t>
        </is>
      </c>
      <c r="B152" s="10" t="inlineStr">
        <is>
          <t>D02-DOC-DGRC-001</t>
        </is>
      </c>
      <c r="C152" s="10" t="inlineStr">
        <is>
          <t>D02-DOC-DGRC-001-T05</t>
        </is>
      </c>
      <c r="D152" s="10" t="inlineStr">
        <is>
          <t>software</t>
        </is>
      </c>
      <c r="E152" s="10" t="inlineStr">
        <is>
          <t>Definir, validar e manter: Software</t>
        </is>
      </c>
      <c r="F152" s="10" t="n"/>
      <c r="G152" s="10" t="b">
        <v>1</v>
      </c>
      <c r="H152" s="10" t="b">
        <v>1</v>
      </c>
      <c r="I152" s="10" t="inlineStr">
        <is>
          <t>DERIVED</t>
        </is>
      </c>
      <c r="J152" s="10" t="inlineStr">
        <is>
          <t>PROPOSED</t>
        </is>
      </c>
      <c r="K152" s="10" t="inlineStr">
        <is>
          <t>DERIVED</t>
        </is>
      </c>
      <c r="L152" s="10" t="inlineStr">
        <is>
          <t>baixa</t>
        </is>
      </c>
      <c r="M152" s="10" t="inlineStr">
        <is>
          <t>["D02-DOC-DGRC-001.INTELLECTUAL_PROPERTY.SOFTWARE"]</t>
        </is>
      </c>
    </row>
    <row r="153">
      <c r="A153" s="10" t="inlineStr">
        <is>
          <t>D02-DOC-DGRC-001.INTELLECTUAL_PROPERTY.LICENCAS</t>
        </is>
      </c>
      <c r="B153" s="10" t="inlineStr">
        <is>
          <t>D02-DOC-DGRC-001</t>
        </is>
      </c>
      <c r="C153" s="10" t="inlineStr">
        <is>
          <t>D02-DOC-DGRC-001-T05</t>
        </is>
      </c>
      <c r="D153" s="10" t="inlineStr">
        <is>
          <t>licencas</t>
        </is>
      </c>
      <c r="E153" s="10" t="inlineStr">
        <is>
          <t>Definir, validar e manter: Licencas</t>
        </is>
      </c>
      <c r="F153" s="10" t="n"/>
      <c r="G153" s="10" t="b">
        <v>1</v>
      </c>
      <c r="H153" s="10" t="b">
        <v>1</v>
      </c>
      <c r="I153" s="10" t="inlineStr">
        <is>
          <t>DERIVED</t>
        </is>
      </c>
      <c r="J153" s="10" t="inlineStr">
        <is>
          <t>PROPOSED</t>
        </is>
      </c>
      <c r="K153" s="10" t="inlineStr">
        <is>
          <t>DERIVED</t>
        </is>
      </c>
      <c r="L153" s="10" t="inlineStr">
        <is>
          <t>baixa</t>
        </is>
      </c>
      <c r="M153" s="10" t="inlineStr">
        <is>
          <t>["D02-DOC-DGRC-001.INTELLECTUAL_PROPERTY.LICENCAS"]</t>
        </is>
      </c>
    </row>
    <row r="154">
      <c r="A154" s="10" t="inlineStr">
        <is>
          <t>D02-DOC-DGRC-001.RISK_MANAGEMENT.RISCOS</t>
        </is>
      </c>
      <c r="B154" s="10" t="inlineStr">
        <is>
          <t>D02-DOC-DGRC-001</t>
        </is>
      </c>
      <c r="C154" s="10" t="inlineStr">
        <is>
          <t>D02-DOC-DGRC-001-T06</t>
        </is>
      </c>
      <c r="D154" s="10" t="inlineStr">
        <is>
          <t>riscos</t>
        </is>
      </c>
      <c r="E154" s="10" t="inlineStr">
        <is>
          <t>Definir, validar e manter: Riscos</t>
        </is>
      </c>
      <c r="F154" s="10" t="n"/>
      <c r="G154" s="10" t="b">
        <v>1</v>
      </c>
      <c r="H154" s="10" t="b">
        <v>1</v>
      </c>
      <c r="I154" s="10" t="inlineStr">
        <is>
          <t>DERIVED</t>
        </is>
      </c>
      <c r="J154" s="10" t="inlineStr">
        <is>
          <t>PROPOSED</t>
        </is>
      </c>
      <c r="K154" s="10" t="inlineStr">
        <is>
          <t>DERIVED</t>
        </is>
      </c>
      <c r="L154" s="10" t="inlineStr">
        <is>
          <t>baixa</t>
        </is>
      </c>
      <c r="M154" s="10" t="inlineStr">
        <is>
          <t>["D02-DOC-DGRC-001.RISK_MANAGEMENT.RISCOS"]</t>
        </is>
      </c>
    </row>
    <row r="155">
      <c r="A155" s="10" t="inlineStr">
        <is>
          <t>D02-DOC-DGRC-001.RISK_MANAGEMENT.CONTROLES</t>
        </is>
      </c>
      <c r="B155" s="10" t="inlineStr">
        <is>
          <t>D02-DOC-DGRC-001</t>
        </is>
      </c>
      <c r="C155" s="10" t="inlineStr">
        <is>
          <t>D02-DOC-DGRC-001-T06</t>
        </is>
      </c>
      <c r="D155" s="10" t="inlineStr">
        <is>
          <t>controles</t>
        </is>
      </c>
      <c r="E155" s="10" t="inlineStr">
        <is>
          <t>Definir, validar e manter: Controles</t>
        </is>
      </c>
      <c r="F155" s="10" t="n"/>
      <c r="G155" s="10" t="b">
        <v>1</v>
      </c>
      <c r="H155" s="10" t="b">
        <v>1</v>
      </c>
      <c r="I155" s="10" t="inlineStr">
        <is>
          <t>DERIVED</t>
        </is>
      </c>
      <c r="J155" s="10" t="inlineStr">
        <is>
          <t>PROPOSED</t>
        </is>
      </c>
      <c r="K155" s="10" t="inlineStr">
        <is>
          <t>DERIVED</t>
        </is>
      </c>
      <c r="L155" s="10" t="inlineStr">
        <is>
          <t>baixa</t>
        </is>
      </c>
      <c r="M155" s="10" t="inlineStr">
        <is>
          <t>["D02-DOC-DGRC-001.RISK_MANAGEMENT.CONTROLES"]</t>
        </is>
      </c>
    </row>
    <row r="156">
      <c r="A156" s="10" t="inlineStr">
        <is>
          <t>D02-DOC-DGRC-001.RISK_MANAGEMENT.OWNERS</t>
        </is>
      </c>
      <c r="B156" s="10" t="inlineStr">
        <is>
          <t>D02-DOC-DGRC-001</t>
        </is>
      </c>
      <c r="C156" s="10" t="inlineStr">
        <is>
          <t>D02-DOC-DGRC-001-T06</t>
        </is>
      </c>
      <c r="D156" s="10" t="inlineStr">
        <is>
          <t>owners</t>
        </is>
      </c>
      <c r="E156" s="10" t="inlineStr">
        <is>
          <t>Definir, validar e manter: Owners</t>
        </is>
      </c>
      <c r="F156" s="10" t="n"/>
      <c r="G156" s="10" t="b">
        <v>1</v>
      </c>
      <c r="H156" s="10" t="b">
        <v>1</v>
      </c>
      <c r="I156" s="10" t="inlineStr">
        <is>
          <t>DERIVED</t>
        </is>
      </c>
      <c r="J156" s="10" t="inlineStr">
        <is>
          <t>PROPOSED</t>
        </is>
      </c>
      <c r="K156" s="10" t="inlineStr">
        <is>
          <t>DERIVED</t>
        </is>
      </c>
      <c r="L156" s="10" t="inlineStr">
        <is>
          <t>baixa</t>
        </is>
      </c>
      <c r="M156" s="10" t="inlineStr">
        <is>
          <t>["D02-DOC-DGRC-001.RISK_MANAGEMENT.OWNERS"]</t>
        </is>
      </c>
    </row>
    <row r="157">
      <c r="A157" s="10" t="inlineStr">
        <is>
          <t>D02-DOC-DGRC-001.RISK_MANAGEMENT.RESPOSTA</t>
        </is>
      </c>
      <c r="B157" s="10" t="inlineStr">
        <is>
          <t>D02-DOC-DGRC-001</t>
        </is>
      </c>
      <c r="C157" s="10" t="inlineStr">
        <is>
          <t>D02-DOC-DGRC-001-T06</t>
        </is>
      </c>
      <c r="D157" s="10" t="inlineStr">
        <is>
          <t>resposta</t>
        </is>
      </c>
      <c r="E157" s="10" t="inlineStr">
        <is>
          <t>Definir, validar e manter: Resposta</t>
        </is>
      </c>
      <c r="F157" s="10" t="n"/>
      <c r="G157" s="10" t="b">
        <v>1</v>
      </c>
      <c r="H157" s="10" t="b">
        <v>1</v>
      </c>
      <c r="I157" s="10" t="inlineStr">
        <is>
          <t>DERIVED</t>
        </is>
      </c>
      <c r="J157" s="10" t="inlineStr">
        <is>
          <t>PROPOSED</t>
        </is>
      </c>
      <c r="K157" s="10" t="inlineStr">
        <is>
          <t>DERIVED</t>
        </is>
      </c>
      <c r="L157" s="10" t="inlineStr">
        <is>
          <t>baixa</t>
        </is>
      </c>
      <c r="M157" s="10" t="inlineStr">
        <is>
          <t>["D02-DOC-DGRC-001.RISK_MANAGEMENT.RESPOSTA"]</t>
        </is>
      </c>
    </row>
    <row r="158">
      <c r="A158" s="10" t="inlineStr">
        <is>
          <t>D02-DOC-DGRC-001.COMPLIANCE.CONTROLES</t>
        </is>
      </c>
      <c r="B158" s="10" t="inlineStr">
        <is>
          <t>D02-DOC-DGRC-001</t>
        </is>
      </c>
      <c r="C158" s="10" t="inlineStr">
        <is>
          <t>D02-DOC-DGRC-001-T07</t>
        </is>
      </c>
      <c r="D158" s="10" t="inlineStr">
        <is>
          <t>controles</t>
        </is>
      </c>
      <c r="E158" s="10" t="inlineStr">
        <is>
          <t>Definir, validar e manter: Controles</t>
        </is>
      </c>
      <c r="F158" s="10" t="n"/>
      <c r="G158" s="10" t="b">
        <v>1</v>
      </c>
      <c r="H158" s="10" t="b">
        <v>1</v>
      </c>
      <c r="I158" s="10" t="inlineStr">
        <is>
          <t>DERIVED</t>
        </is>
      </c>
      <c r="J158" s="10" t="inlineStr">
        <is>
          <t>PROPOSED</t>
        </is>
      </c>
      <c r="K158" s="10" t="inlineStr">
        <is>
          <t>DERIVED</t>
        </is>
      </c>
      <c r="L158" s="10" t="inlineStr">
        <is>
          <t>baixa</t>
        </is>
      </c>
      <c r="M158" s="10" t="inlineStr">
        <is>
          <t>["D02-DOC-DGRC-001.COMPLIANCE.CONTROLES"]</t>
        </is>
      </c>
    </row>
    <row r="159">
      <c r="A159" s="10" t="inlineStr">
        <is>
          <t>D02-DOC-DGRC-001.COMPLIANCE.AUDITORIAS</t>
        </is>
      </c>
      <c r="B159" s="10" t="inlineStr">
        <is>
          <t>D02-DOC-DGRC-001</t>
        </is>
      </c>
      <c r="C159" s="10" t="inlineStr">
        <is>
          <t>D02-DOC-DGRC-001-T07</t>
        </is>
      </c>
      <c r="D159" s="10" t="inlineStr">
        <is>
          <t>auditorias</t>
        </is>
      </c>
      <c r="E159" s="10" t="inlineStr">
        <is>
          <t>Definir, validar e manter: Auditorias</t>
        </is>
      </c>
      <c r="F159" s="10" t="n"/>
      <c r="G159" s="10" t="b">
        <v>1</v>
      </c>
      <c r="H159" s="10" t="b">
        <v>1</v>
      </c>
      <c r="I159" s="10" t="inlineStr">
        <is>
          <t>DERIVED</t>
        </is>
      </c>
      <c r="J159" s="10" t="inlineStr">
        <is>
          <t>PROPOSED</t>
        </is>
      </c>
      <c r="K159" s="10" t="inlineStr">
        <is>
          <t>DERIVED</t>
        </is>
      </c>
      <c r="L159" s="10" t="inlineStr">
        <is>
          <t>baixa</t>
        </is>
      </c>
      <c r="M159" s="10" t="inlineStr">
        <is>
          <t>["D02-DOC-DGRC-001.COMPLIANCE.AUDITORIAS"]</t>
        </is>
      </c>
    </row>
    <row r="160">
      <c r="A160" s="10" t="inlineStr">
        <is>
          <t>D02-DOC-DGRC-001.COMPLIANCE.EVIDENCIAS</t>
        </is>
      </c>
      <c r="B160" s="10" t="inlineStr">
        <is>
          <t>D02-DOC-DGRC-001</t>
        </is>
      </c>
      <c r="C160" s="10" t="inlineStr">
        <is>
          <t>D02-DOC-DGRC-001-T07</t>
        </is>
      </c>
      <c r="D160" s="10" t="inlineStr">
        <is>
          <t>evidencias</t>
        </is>
      </c>
      <c r="E160" s="10" t="inlineStr">
        <is>
          <t>Definir, validar e manter: Evidencias</t>
        </is>
      </c>
      <c r="F160" s="10" t="n"/>
      <c r="G160" s="10" t="b">
        <v>1</v>
      </c>
      <c r="H160" s="10" t="b">
        <v>1</v>
      </c>
      <c r="I160" s="10" t="inlineStr">
        <is>
          <t>DERIVED</t>
        </is>
      </c>
      <c r="J160" s="10" t="inlineStr">
        <is>
          <t>PROPOSED</t>
        </is>
      </c>
      <c r="K160" s="10" t="inlineStr">
        <is>
          <t>DERIVED</t>
        </is>
      </c>
      <c r="L160" s="10" t="inlineStr">
        <is>
          <t>baixa</t>
        </is>
      </c>
      <c r="M160" s="10" t="inlineStr">
        <is>
          <t>["D02-DOC-DGRC-001.COMPLIANCE.EVIDENCIAS"]</t>
        </is>
      </c>
    </row>
    <row r="161">
      <c r="A161" s="10" t="inlineStr">
        <is>
          <t>D02-DOC-DGRC-001.COMPLIANCE.PERIODICIDADE</t>
        </is>
      </c>
      <c r="B161" s="10" t="inlineStr">
        <is>
          <t>D02-DOC-DGRC-001</t>
        </is>
      </c>
      <c r="C161" s="10" t="inlineStr">
        <is>
          <t>D02-DOC-DGRC-001-T07</t>
        </is>
      </c>
      <c r="D161" s="10" t="inlineStr">
        <is>
          <t>periodicidade</t>
        </is>
      </c>
      <c r="E161" s="10" t="inlineStr">
        <is>
          <t>Definir, validar e manter: Periodicidade</t>
        </is>
      </c>
      <c r="F161" s="10" t="n"/>
      <c r="G161" s="10" t="b">
        <v>1</v>
      </c>
      <c r="H161" s="10" t="b">
        <v>1</v>
      </c>
      <c r="I161" s="10" t="inlineStr">
        <is>
          <t>DERIVED</t>
        </is>
      </c>
      <c r="J161" s="10" t="inlineStr">
        <is>
          <t>PROPOSED</t>
        </is>
      </c>
      <c r="K161" s="10" t="inlineStr">
        <is>
          <t>DERIVED</t>
        </is>
      </c>
      <c r="L161" s="10" t="inlineStr">
        <is>
          <t>baixa</t>
        </is>
      </c>
      <c r="M161" s="10" t="inlineStr">
        <is>
          <t>["D02-DOC-DGRC-001.COMPLIANCE.PERIODICIDADE"]</t>
        </is>
      </c>
    </row>
    <row r="162">
      <c r="A162" s="10" t="inlineStr">
        <is>
          <t>D02-DOC-DGRC-001.INCIDENTS.EVENTOS_REPORTAVEIS</t>
        </is>
      </c>
      <c r="B162" s="10" t="inlineStr">
        <is>
          <t>D02-DOC-DGRC-001</t>
        </is>
      </c>
      <c r="C162" s="10" t="inlineStr">
        <is>
          <t>D02-DOC-DGRC-001-T08</t>
        </is>
      </c>
      <c r="D162" s="10" t="inlineStr">
        <is>
          <t>eventos_reportaveis</t>
        </is>
      </c>
      <c r="E162" s="10" t="inlineStr">
        <is>
          <t>Definir, validar e manter: Eventos Reportaveis</t>
        </is>
      </c>
      <c r="F162" s="10" t="n"/>
      <c r="G162" s="10" t="b">
        <v>1</v>
      </c>
      <c r="H162" s="10" t="b">
        <v>1</v>
      </c>
      <c r="I162" s="10" t="inlineStr">
        <is>
          <t>DERIVED</t>
        </is>
      </c>
      <c r="J162" s="10" t="inlineStr">
        <is>
          <t>PROPOSED</t>
        </is>
      </c>
      <c r="K162" s="10" t="inlineStr">
        <is>
          <t>DERIVED</t>
        </is>
      </c>
      <c r="L162" s="10" t="inlineStr">
        <is>
          <t>baixa</t>
        </is>
      </c>
      <c r="M162" s="10" t="inlineStr">
        <is>
          <t>["D02-DOC-DGRC-001.INCIDENTS.EVENTOS_REPORTAVEIS"]</t>
        </is>
      </c>
    </row>
    <row r="163">
      <c r="A163" s="10" t="inlineStr">
        <is>
          <t>D02-DOC-DGRC-001.INCIDENTS.RESPOSTA</t>
        </is>
      </c>
      <c r="B163" s="10" t="inlineStr">
        <is>
          <t>D02-DOC-DGRC-001</t>
        </is>
      </c>
      <c r="C163" s="10" t="inlineStr">
        <is>
          <t>D02-DOC-DGRC-001-T08</t>
        </is>
      </c>
      <c r="D163" s="10" t="inlineStr">
        <is>
          <t>resposta</t>
        </is>
      </c>
      <c r="E163" s="10" t="inlineStr">
        <is>
          <t>Definir, validar e manter: Resposta</t>
        </is>
      </c>
      <c r="F163" s="10" t="n"/>
      <c r="G163" s="10" t="b">
        <v>1</v>
      </c>
      <c r="H163" s="10" t="b">
        <v>1</v>
      </c>
      <c r="I163" s="10" t="inlineStr">
        <is>
          <t>DERIVED</t>
        </is>
      </c>
      <c r="J163" s="10" t="inlineStr">
        <is>
          <t>PROPOSED</t>
        </is>
      </c>
      <c r="K163" s="10" t="inlineStr">
        <is>
          <t>DERIVED</t>
        </is>
      </c>
      <c r="L163" s="10" t="inlineStr">
        <is>
          <t>baixa</t>
        </is>
      </c>
      <c r="M163" s="10" t="inlineStr">
        <is>
          <t>["D02-DOC-DGRC-001.INCIDENTS.RESPOSTA"]</t>
        </is>
      </c>
    </row>
    <row r="164">
      <c r="A164" s="10" t="inlineStr">
        <is>
          <t>D02-DOC-DGRC-001.INCIDENTS.ESCALACAO</t>
        </is>
      </c>
      <c r="B164" s="10" t="inlineStr">
        <is>
          <t>D02-DOC-DGRC-001</t>
        </is>
      </c>
      <c r="C164" s="10" t="inlineStr">
        <is>
          <t>D02-DOC-DGRC-001-T08</t>
        </is>
      </c>
      <c r="D164" s="10" t="inlineStr">
        <is>
          <t>escalacao</t>
        </is>
      </c>
      <c r="E164" s="10" t="inlineStr">
        <is>
          <t>Definir, validar e manter: Escalacao</t>
        </is>
      </c>
      <c r="F164" s="10" t="n"/>
      <c r="G164" s="10" t="b">
        <v>1</v>
      </c>
      <c r="H164" s="10" t="b">
        <v>1</v>
      </c>
      <c r="I164" s="10" t="inlineStr">
        <is>
          <t>EXTERNAL</t>
        </is>
      </c>
      <c r="J164" s="10" t="inlineStr">
        <is>
          <t>EXTERNAL_EVIDENCE</t>
        </is>
      </c>
      <c r="K164" s="10" t="inlineStr">
        <is>
          <t>EXTERNAL</t>
        </is>
      </c>
      <c r="L164" s="10" t="inlineStr">
        <is>
          <t>media</t>
        </is>
      </c>
      <c r="M164" s="10" t="inlineStr">
        <is>
          <t>["D02-DOC-DGRC-001.INCIDENTS.ESCALACAO"]</t>
        </is>
      </c>
    </row>
    <row r="165">
      <c r="A165" s="10" t="inlineStr">
        <is>
          <t>D02-DOC-DGRC-001.APPROVALS.APROVADORES</t>
        </is>
      </c>
      <c r="B165" s="10" t="inlineStr">
        <is>
          <t>D02-DOC-DGRC-001</t>
        </is>
      </c>
      <c r="C165" s="10" t="inlineStr">
        <is>
          <t>D02-DOC-DGRC-001-T09</t>
        </is>
      </c>
      <c r="D165" s="10" t="inlineStr">
        <is>
          <t>aprovadores</t>
        </is>
      </c>
      <c r="E165" s="10" t="inlineStr">
        <is>
          <t>Definir, validar e manter: Aprovadores</t>
        </is>
      </c>
      <c r="F165" s="10" t="n"/>
      <c r="G165" s="10" t="b">
        <v>1</v>
      </c>
      <c r="H165" s="10" t="b">
        <v>1</v>
      </c>
      <c r="I165" s="10" t="inlineStr">
        <is>
          <t>EXTERNAL</t>
        </is>
      </c>
      <c r="J165" s="10" t="inlineStr">
        <is>
          <t>EXTERNAL_EVIDENCE</t>
        </is>
      </c>
      <c r="K165" s="10" t="inlineStr">
        <is>
          <t>EXTERNAL</t>
        </is>
      </c>
      <c r="L165" s="10" t="inlineStr">
        <is>
          <t>media</t>
        </is>
      </c>
      <c r="M165" s="10" t="inlineStr">
        <is>
          <t>["D02-DOC-DGRC-001.APPROVALS.APROVADORES"]</t>
        </is>
      </c>
    </row>
    <row r="166">
      <c r="A166" s="10" t="inlineStr">
        <is>
          <t>D02-DOC-DGRC-001.APPROVALS.GATES_JURIDICOS</t>
        </is>
      </c>
      <c r="B166" s="10" t="inlineStr">
        <is>
          <t>D02-DOC-DGRC-001</t>
        </is>
      </c>
      <c r="C166" s="10" t="inlineStr">
        <is>
          <t>D02-DOC-DGRC-001-T09</t>
        </is>
      </c>
      <c r="D166" s="10" t="inlineStr">
        <is>
          <t>gates_juridicos</t>
        </is>
      </c>
      <c r="E166" s="10" t="inlineStr">
        <is>
          <t>Definir, validar e manter: Gates Juridicos</t>
        </is>
      </c>
      <c r="F166" s="10" t="n"/>
      <c r="G166" s="10" t="b">
        <v>1</v>
      </c>
      <c r="H166" s="10" t="b">
        <v>1</v>
      </c>
      <c r="I166" s="10" t="inlineStr">
        <is>
          <t>DERIVED</t>
        </is>
      </c>
      <c r="J166" s="10" t="inlineStr">
        <is>
          <t>PROPOSED</t>
        </is>
      </c>
      <c r="K166" s="10" t="inlineStr">
        <is>
          <t>DERIVED</t>
        </is>
      </c>
      <c r="L166" s="10" t="inlineStr">
        <is>
          <t>baixa</t>
        </is>
      </c>
      <c r="M166" s="10" t="inlineStr">
        <is>
          <t>["D02-DOC-DGRC-001.APPROVALS.GATES_JURIDICOS"]</t>
        </is>
      </c>
    </row>
    <row r="167">
      <c r="A167" s="10" t="inlineStr">
        <is>
          <t>D02-DOC-MRC-001.SCHEMA.RISK_ID</t>
        </is>
      </c>
      <c r="B167" s="10" t="inlineStr">
        <is>
          <t>D02-DOC-MRC-001</t>
        </is>
      </c>
      <c r="C167" s="10" t="inlineStr">
        <is>
          <t>D02-DOC-MRC-001-T01</t>
        </is>
      </c>
      <c r="D167" s="10" t="inlineStr">
        <is>
          <t>risk_id</t>
        </is>
      </c>
      <c r="E167" s="10" t="inlineStr">
        <is>
          <t>Definir, validar e manter: Risk ID</t>
        </is>
      </c>
      <c r="F167" s="10" t="n"/>
      <c r="G167" s="10" t="b">
        <v>1</v>
      </c>
      <c r="H167" s="10" t="b">
        <v>1</v>
      </c>
      <c r="I167" s="10" t="inlineStr">
        <is>
          <t>DERIVED</t>
        </is>
      </c>
      <c r="J167" s="10" t="inlineStr">
        <is>
          <t>PROPOSED</t>
        </is>
      </c>
      <c r="K167" s="10" t="inlineStr">
        <is>
          <t>DERIVED</t>
        </is>
      </c>
      <c r="L167" s="10" t="inlineStr">
        <is>
          <t>baixa</t>
        </is>
      </c>
      <c r="M167" s="10" t="inlineStr">
        <is>
          <t>["D02-DOC-MRC-001.SCHEMA.RISK_ID"]</t>
        </is>
      </c>
    </row>
    <row r="168">
      <c r="A168" s="10" t="inlineStr">
        <is>
          <t>D02-DOC-MRC-001.SCHEMA.CATEGORIA</t>
        </is>
      </c>
      <c r="B168" s="10" t="inlineStr">
        <is>
          <t>D02-DOC-MRC-001</t>
        </is>
      </c>
      <c r="C168" s="10" t="inlineStr">
        <is>
          <t>D02-DOC-MRC-001-T01</t>
        </is>
      </c>
      <c r="D168" s="10" t="inlineStr">
        <is>
          <t>categoria</t>
        </is>
      </c>
      <c r="E168" s="10" t="inlineStr">
        <is>
          <t>Definir, validar e manter: Categoria</t>
        </is>
      </c>
      <c r="F168" s="10" t="n"/>
      <c r="G168" s="10" t="b">
        <v>1</v>
      </c>
      <c r="H168" s="10" t="b">
        <v>1</v>
      </c>
      <c r="I168" s="10" t="inlineStr">
        <is>
          <t>DERIVED</t>
        </is>
      </c>
      <c r="J168" s="10" t="inlineStr">
        <is>
          <t>PROPOSED</t>
        </is>
      </c>
      <c r="K168" s="10" t="inlineStr">
        <is>
          <t>DERIVED</t>
        </is>
      </c>
      <c r="L168" s="10" t="inlineStr">
        <is>
          <t>baixa</t>
        </is>
      </c>
      <c r="M168" s="10" t="inlineStr">
        <is>
          <t>["D02-DOC-MRC-001.SCHEMA.CATEGORIA"]</t>
        </is>
      </c>
    </row>
    <row r="169">
      <c r="A169" s="10" t="inlineStr">
        <is>
          <t>D02-DOC-MRC-001.SCHEMA.ATIVO_PROCESSO_AFETADO</t>
        </is>
      </c>
      <c r="B169" s="10" t="inlineStr">
        <is>
          <t>D02-DOC-MRC-001</t>
        </is>
      </c>
      <c r="C169" s="10" t="inlineStr">
        <is>
          <t>D02-DOC-MRC-001-T01</t>
        </is>
      </c>
      <c r="D169" s="10" t="inlineStr">
        <is>
          <t>ativo_processo_afetado</t>
        </is>
      </c>
      <c r="E169" s="10" t="inlineStr">
        <is>
          <t>Definir, validar e manter: Ativo Processo Afetado</t>
        </is>
      </c>
      <c r="F169" s="10" t="n"/>
      <c r="G169" s="10" t="b">
        <v>1</v>
      </c>
      <c r="H169" s="10" t="b">
        <v>1</v>
      </c>
      <c r="I169" s="10" t="inlineStr">
        <is>
          <t>DERIVED</t>
        </is>
      </c>
      <c r="J169" s="10" t="inlineStr">
        <is>
          <t>PROPOSED</t>
        </is>
      </c>
      <c r="K169" s="10" t="inlineStr">
        <is>
          <t>DERIVED</t>
        </is>
      </c>
      <c r="L169" s="10" t="inlineStr">
        <is>
          <t>baixa</t>
        </is>
      </c>
      <c r="M169" s="10" t="inlineStr">
        <is>
          <t>["D02-DOC-MRC-001.SCHEMA.ATIVO_PROCESSO_AFETADO"]</t>
        </is>
      </c>
    </row>
    <row r="170">
      <c r="A170" s="10" t="inlineStr">
        <is>
          <t>D02-DOC-MRC-001.SCHEMA.EVENTO_DE_RISCO</t>
        </is>
      </c>
      <c r="B170" s="10" t="inlineStr">
        <is>
          <t>D02-DOC-MRC-001</t>
        </is>
      </c>
      <c r="C170" s="10" t="inlineStr">
        <is>
          <t>D02-DOC-MRC-001-T01</t>
        </is>
      </c>
      <c r="D170" s="10" t="inlineStr">
        <is>
          <t>evento_de_risco</t>
        </is>
      </c>
      <c r="E170" s="10" t="inlineStr">
        <is>
          <t>Definir, validar e manter: Evento De Risco</t>
        </is>
      </c>
      <c r="F170" s="10" t="n"/>
      <c r="G170" s="10" t="b">
        <v>1</v>
      </c>
      <c r="H170" s="10" t="b">
        <v>1</v>
      </c>
      <c r="I170" s="10" t="inlineStr">
        <is>
          <t>DERIVED</t>
        </is>
      </c>
      <c r="J170" s="10" t="inlineStr">
        <is>
          <t>PROPOSED</t>
        </is>
      </c>
      <c r="K170" s="10" t="inlineStr">
        <is>
          <t>DERIVED</t>
        </is>
      </c>
      <c r="L170" s="10" t="inlineStr">
        <is>
          <t>baixa</t>
        </is>
      </c>
      <c r="M170" s="10" t="inlineStr">
        <is>
          <t>["D02-DOC-MRC-001.SCHEMA.EVENTO_DE_RISCO"]</t>
        </is>
      </c>
    </row>
    <row r="171">
      <c r="A171" s="10" t="inlineStr">
        <is>
          <t>D02-DOC-MRC-001.SCHEMA.CAUSA</t>
        </is>
      </c>
      <c r="B171" s="10" t="inlineStr">
        <is>
          <t>D02-DOC-MRC-001</t>
        </is>
      </c>
      <c r="C171" s="10" t="inlineStr">
        <is>
          <t>D02-DOC-MRC-001-T01</t>
        </is>
      </c>
      <c r="D171" s="10" t="inlineStr">
        <is>
          <t>causa</t>
        </is>
      </c>
      <c r="E171" s="10" t="inlineStr">
        <is>
          <t>Definir, validar e manter: Causa</t>
        </is>
      </c>
      <c r="F171" s="10" t="n"/>
      <c r="G171" s="10" t="b">
        <v>1</v>
      </c>
      <c r="H171" s="10" t="b">
        <v>1</v>
      </c>
      <c r="I171" s="10" t="inlineStr">
        <is>
          <t>DERIVED</t>
        </is>
      </c>
      <c r="J171" s="10" t="inlineStr">
        <is>
          <t>PROPOSED</t>
        </is>
      </c>
      <c r="K171" s="10" t="inlineStr">
        <is>
          <t>DERIVED</t>
        </is>
      </c>
      <c r="L171" s="10" t="inlineStr">
        <is>
          <t>baixa</t>
        </is>
      </c>
      <c r="M171" s="10" t="inlineStr">
        <is>
          <t>["D02-DOC-MRC-001.SCHEMA.CAUSA"]</t>
        </is>
      </c>
    </row>
    <row r="172">
      <c r="A172" s="10" t="inlineStr">
        <is>
          <t>D02-DOC-MRC-001.SCHEMA.IMPACTO</t>
        </is>
      </c>
      <c r="B172" s="10" t="inlineStr">
        <is>
          <t>D02-DOC-MRC-001</t>
        </is>
      </c>
      <c r="C172" s="10" t="inlineStr">
        <is>
          <t>D02-DOC-MRC-001-T01</t>
        </is>
      </c>
      <c r="D172" s="10" t="inlineStr">
        <is>
          <t>impacto</t>
        </is>
      </c>
      <c r="E172" s="10" t="inlineStr">
        <is>
          <t>Definir, validar e manter: Impacto</t>
        </is>
      </c>
      <c r="F172" s="10" t="n"/>
      <c r="G172" s="10" t="b">
        <v>1</v>
      </c>
      <c r="H172" s="10" t="b">
        <v>1</v>
      </c>
      <c r="I172" s="10" t="inlineStr">
        <is>
          <t>DERIVED</t>
        </is>
      </c>
      <c r="J172" s="10" t="inlineStr">
        <is>
          <t>PROPOSED</t>
        </is>
      </c>
      <c r="K172" s="10" t="inlineStr">
        <is>
          <t>DERIVED</t>
        </is>
      </c>
      <c r="L172" s="10" t="inlineStr">
        <is>
          <t>baixa</t>
        </is>
      </c>
      <c r="M172" s="10" t="inlineStr">
        <is>
          <t>["D02-DOC-MRC-001.SCHEMA.IMPACTO"]</t>
        </is>
      </c>
    </row>
    <row r="173">
      <c r="A173" s="10" t="inlineStr">
        <is>
          <t>D02-DOC-MRC-001.SCHEMA.PROBABILIDADE</t>
        </is>
      </c>
      <c r="B173" s="10" t="inlineStr">
        <is>
          <t>D02-DOC-MRC-001</t>
        </is>
      </c>
      <c r="C173" s="10" t="inlineStr">
        <is>
          <t>D02-DOC-MRC-001-T01</t>
        </is>
      </c>
      <c r="D173" s="10" t="inlineStr">
        <is>
          <t>probabilidade</t>
        </is>
      </c>
      <c r="E173" s="10" t="inlineStr">
        <is>
          <t>Definir, validar e manter: Probabilidade</t>
        </is>
      </c>
      <c r="F173" s="10" t="n"/>
      <c r="G173" s="10" t="b">
        <v>1</v>
      </c>
      <c r="H173" s="10" t="b">
        <v>1</v>
      </c>
      <c r="I173" s="10" t="inlineStr">
        <is>
          <t>DERIVED</t>
        </is>
      </c>
      <c r="J173" s="10" t="inlineStr">
        <is>
          <t>PROPOSED</t>
        </is>
      </c>
      <c r="K173" s="10" t="inlineStr">
        <is>
          <t>DERIVED</t>
        </is>
      </c>
      <c r="L173" s="10" t="inlineStr">
        <is>
          <t>baixa</t>
        </is>
      </c>
      <c r="M173" s="10" t="inlineStr">
        <is>
          <t>["D02-DOC-MRC-001.SCHEMA.PROBABILIDADE"]</t>
        </is>
      </c>
    </row>
    <row r="174">
      <c r="A174" s="10" t="inlineStr">
        <is>
          <t>D02-DOC-MRC-001.SCHEMA.SEVERIDADE</t>
        </is>
      </c>
      <c r="B174" s="10" t="inlineStr">
        <is>
          <t>D02-DOC-MRC-001</t>
        </is>
      </c>
      <c r="C174" s="10" t="inlineStr">
        <is>
          <t>D02-DOC-MRC-001-T01</t>
        </is>
      </c>
      <c r="D174" s="10" t="inlineStr">
        <is>
          <t>severidade</t>
        </is>
      </c>
      <c r="E174" s="10" t="inlineStr">
        <is>
          <t>Definir, validar e manter: Severidade</t>
        </is>
      </c>
      <c r="F174" s="10" t="n"/>
      <c r="G174" s="10" t="b">
        <v>1</v>
      </c>
      <c r="H174" s="10" t="b">
        <v>1</v>
      </c>
      <c r="I174" s="10" t="inlineStr">
        <is>
          <t>DERIVED</t>
        </is>
      </c>
      <c r="J174" s="10" t="inlineStr">
        <is>
          <t>PROPOSED</t>
        </is>
      </c>
      <c r="K174" s="10" t="inlineStr">
        <is>
          <t>DERIVED</t>
        </is>
      </c>
      <c r="L174" s="10" t="inlineStr">
        <is>
          <t>baixa</t>
        </is>
      </c>
      <c r="M174" s="10" t="inlineStr">
        <is>
          <t>["D02-DOC-MRC-001.SCHEMA.SEVERIDADE"]</t>
        </is>
      </c>
    </row>
    <row r="175">
      <c r="A175" s="10" t="inlineStr">
        <is>
          <t>D02-DOC-MRC-001.SCHEMA.RISCO_INERENTE</t>
        </is>
      </c>
      <c r="B175" s="10" t="inlineStr">
        <is>
          <t>D02-DOC-MRC-001</t>
        </is>
      </c>
      <c r="C175" s="10" t="inlineStr">
        <is>
          <t>D02-DOC-MRC-001-T01</t>
        </is>
      </c>
      <c r="D175" s="10" t="inlineStr">
        <is>
          <t>risco_inerente</t>
        </is>
      </c>
      <c r="E175" s="10" t="inlineStr">
        <is>
          <t>Definir, validar e manter: Risco Inerente</t>
        </is>
      </c>
      <c r="F175" s="10" t="n"/>
      <c r="G175" s="10" t="b">
        <v>1</v>
      </c>
      <c r="H175" s="10" t="b">
        <v>1</v>
      </c>
      <c r="I175" s="10" t="inlineStr">
        <is>
          <t>DERIVED</t>
        </is>
      </c>
      <c r="J175" s="10" t="inlineStr">
        <is>
          <t>PROPOSED</t>
        </is>
      </c>
      <c r="K175" s="10" t="inlineStr">
        <is>
          <t>DERIVED</t>
        </is>
      </c>
      <c r="L175" s="10" t="inlineStr">
        <is>
          <t>baixa</t>
        </is>
      </c>
      <c r="M175" s="10" t="inlineStr">
        <is>
          <t>["D02-DOC-MRC-001.SCHEMA.RISCO_INERENTE"]</t>
        </is>
      </c>
    </row>
    <row r="176">
      <c r="A176" s="10" t="inlineStr">
        <is>
          <t>D02-DOC-MRC-001.SCHEMA.CONTROLES_EXISTENTES</t>
        </is>
      </c>
      <c r="B176" s="10" t="inlineStr">
        <is>
          <t>D02-DOC-MRC-001</t>
        </is>
      </c>
      <c r="C176" s="10" t="inlineStr">
        <is>
          <t>D02-DOC-MRC-001-T01</t>
        </is>
      </c>
      <c r="D176" s="10" t="inlineStr">
        <is>
          <t>controles_existentes</t>
        </is>
      </c>
      <c r="E176" s="10" t="inlineStr">
        <is>
          <t>Definir, validar e manter: Controles Existentes</t>
        </is>
      </c>
      <c r="F176" s="10" t="n"/>
      <c r="G176" s="10" t="b">
        <v>1</v>
      </c>
      <c r="H176" s="10" t="b">
        <v>1</v>
      </c>
      <c r="I176" s="10" t="inlineStr">
        <is>
          <t>DERIVED</t>
        </is>
      </c>
      <c r="J176" s="10" t="inlineStr">
        <is>
          <t>PROPOSED</t>
        </is>
      </c>
      <c r="K176" s="10" t="inlineStr">
        <is>
          <t>DERIVED</t>
        </is>
      </c>
      <c r="L176" s="10" t="inlineStr">
        <is>
          <t>baixa</t>
        </is>
      </c>
      <c r="M176" s="10" t="inlineStr">
        <is>
          <t>["D02-DOC-MRC-001.SCHEMA.CONTROLES_EXISTENTES"]</t>
        </is>
      </c>
    </row>
    <row r="177">
      <c r="A177" s="10" t="inlineStr">
        <is>
          <t>D02-DOC-MRC-001.SCHEMA.EFETIVIDADE_CONTROLE</t>
        </is>
      </c>
      <c r="B177" s="10" t="inlineStr">
        <is>
          <t>D02-DOC-MRC-001</t>
        </is>
      </c>
      <c r="C177" s="10" t="inlineStr">
        <is>
          <t>D02-DOC-MRC-001-T01</t>
        </is>
      </c>
      <c r="D177" s="10" t="inlineStr">
        <is>
          <t>efetividade_controle</t>
        </is>
      </c>
      <c r="E177" s="10" t="inlineStr">
        <is>
          <t>Definir, validar e manter: Efetividade Controle</t>
        </is>
      </c>
      <c r="F177" s="10" t="n"/>
      <c r="G177" s="10" t="b">
        <v>1</v>
      </c>
      <c r="H177" s="10" t="b">
        <v>1</v>
      </c>
      <c r="I177" s="10" t="inlineStr">
        <is>
          <t>DERIVED</t>
        </is>
      </c>
      <c r="J177" s="10" t="inlineStr">
        <is>
          <t>PROPOSED</t>
        </is>
      </c>
      <c r="K177" s="10" t="inlineStr">
        <is>
          <t>DERIVED</t>
        </is>
      </c>
      <c r="L177" s="10" t="inlineStr">
        <is>
          <t>baixa</t>
        </is>
      </c>
      <c r="M177" s="10" t="inlineStr">
        <is>
          <t>["D02-DOC-MRC-001.SCHEMA.EFETIVIDADE_CONTROLE"]</t>
        </is>
      </c>
    </row>
    <row r="178">
      <c r="A178" s="10" t="inlineStr">
        <is>
          <t>D02-DOC-MRC-001.SCHEMA.RISCO_RESIDUAL</t>
        </is>
      </c>
      <c r="B178" s="10" t="inlineStr">
        <is>
          <t>D02-DOC-MRC-001</t>
        </is>
      </c>
      <c r="C178" s="10" t="inlineStr">
        <is>
          <t>D02-DOC-MRC-001-T01</t>
        </is>
      </c>
      <c r="D178" s="10" t="inlineStr">
        <is>
          <t>risco_residual</t>
        </is>
      </c>
      <c r="E178" s="10" t="inlineStr">
        <is>
          <t>Definir, validar e manter: Risco Residual</t>
        </is>
      </c>
      <c r="F178" s="10" t="n"/>
      <c r="G178" s="10" t="b">
        <v>1</v>
      </c>
      <c r="H178" s="10" t="b">
        <v>1</v>
      </c>
      <c r="I178" s="10" t="inlineStr">
        <is>
          <t>DERIVED</t>
        </is>
      </c>
      <c r="J178" s="10" t="inlineStr">
        <is>
          <t>PROPOSED</t>
        </is>
      </c>
      <c r="K178" s="10" t="inlineStr">
        <is>
          <t>DERIVED</t>
        </is>
      </c>
      <c r="L178" s="10" t="inlineStr">
        <is>
          <t>baixa</t>
        </is>
      </c>
      <c r="M178" s="10" t="inlineStr">
        <is>
          <t>["D02-DOC-MRC-001.SCHEMA.RISCO_RESIDUAL"]</t>
        </is>
      </c>
    </row>
    <row r="179">
      <c r="A179" s="10" t="inlineStr">
        <is>
          <t>D02-DOC-MRC-001.SCHEMA.RESPOSTA</t>
        </is>
      </c>
      <c r="B179" s="10" t="inlineStr">
        <is>
          <t>D02-DOC-MRC-001</t>
        </is>
      </c>
      <c r="C179" s="10" t="inlineStr">
        <is>
          <t>D02-DOC-MRC-001-T01</t>
        </is>
      </c>
      <c r="D179" s="10" t="inlineStr">
        <is>
          <t>resposta</t>
        </is>
      </c>
      <c r="E179" s="10" t="inlineStr">
        <is>
          <t>Definir, validar e manter: Resposta</t>
        </is>
      </c>
      <c r="F179" s="10" t="n"/>
      <c r="G179" s="10" t="b">
        <v>1</v>
      </c>
      <c r="H179" s="10" t="b">
        <v>1</v>
      </c>
      <c r="I179" s="10" t="inlineStr">
        <is>
          <t>DERIVED</t>
        </is>
      </c>
      <c r="J179" s="10" t="inlineStr">
        <is>
          <t>PROPOSED</t>
        </is>
      </c>
      <c r="K179" s="10" t="inlineStr">
        <is>
          <t>DERIVED</t>
        </is>
      </c>
      <c r="L179" s="10" t="inlineStr">
        <is>
          <t>baixa</t>
        </is>
      </c>
      <c r="M179" s="10" t="inlineStr">
        <is>
          <t>["D02-DOC-MRC-001.SCHEMA.RESPOSTA"]</t>
        </is>
      </c>
    </row>
    <row r="180">
      <c r="A180" s="10" t="inlineStr">
        <is>
          <t>D02-DOC-MRC-001.SCHEMA.OWNER</t>
        </is>
      </c>
      <c r="B180" s="10" t="inlineStr">
        <is>
          <t>D02-DOC-MRC-001</t>
        </is>
      </c>
      <c r="C180" s="10" t="inlineStr">
        <is>
          <t>D02-DOC-MRC-001-T01</t>
        </is>
      </c>
      <c r="D180" s="10" t="inlineStr">
        <is>
          <t>owner</t>
        </is>
      </c>
      <c r="E180" s="10" t="inlineStr">
        <is>
          <t>Definir, validar e manter: Owner</t>
        </is>
      </c>
      <c r="F180" s="10" t="n"/>
      <c r="G180" s="10" t="b">
        <v>1</v>
      </c>
      <c r="H180" s="10" t="b">
        <v>1</v>
      </c>
      <c r="I180" s="10" t="inlineStr">
        <is>
          <t>DERIVED</t>
        </is>
      </c>
      <c r="J180" s="10" t="inlineStr">
        <is>
          <t>PROPOSED</t>
        </is>
      </c>
      <c r="K180" s="10" t="inlineStr">
        <is>
          <t>DERIVED</t>
        </is>
      </c>
      <c r="L180" s="10" t="inlineStr">
        <is>
          <t>baixa</t>
        </is>
      </c>
      <c r="M180" s="10" t="inlineStr">
        <is>
          <t>["D02-DOC-MRC-001.SCHEMA.OWNER"]</t>
        </is>
      </c>
    </row>
    <row r="181">
      <c r="A181" s="10" t="inlineStr">
        <is>
          <t>D02-DOC-MRC-001.SCHEMA.TRIGGER</t>
        </is>
      </c>
      <c r="B181" s="10" t="inlineStr">
        <is>
          <t>D02-DOC-MRC-001</t>
        </is>
      </c>
      <c r="C181" s="10" t="inlineStr">
        <is>
          <t>D02-DOC-MRC-001-T01</t>
        </is>
      </c>
      <c r="D181" s="10" t="inlineStr">
        <is>
          <t>trigger</t>
        </is>
      </c>
      <c r="E181" s="10" t="inlineStr">
        <is>
          <t>Definir, validar e manter: Trigger</t>
        </is>
      </c>
      <c r="F181" s="10" t="n"/>
      <c r="G181" s="10" t="b">
        <v>1</v>
      </c>
      <c r="H181" s="10" t="b">
        <v>1</v>
      </c>
      <c r="I181" s="10" t="inlineStr">
        <is>
          <t>DERIVED</t>
        </is>
      </c>
      <c r="J181" s="10" t="inlineStr">
        <is>
          <t>PROPOSED</t>
        </is>
      </c>
      <c r="K181" s="10" t="inlineStr">
        <is>
          <t>DERIVED</t>
        </is>
      </c>
      <c r="L181" s="10" t="inlineStr">
        <is>
          <t>baixa</t>
        </is>
      </c>
      <c r="M181" s="10" t="inlineStr">
        <is>
          <t>["D02-DOC-MRC-001.SCHEMA.TRIGGER"]</t>
        </is>
      </c>
    </row>
    <row r="182">
      <c r="A182" s="10" t="inlineStr">
        <is>
          <t>D02-DOC-MRC-001.SCHEMA.PRAZO</t>
        </is>
      </c>
      <c r="B182" s="10" t="inlineStr">
        <is>
          <t>D02-DOC-MRC-001</t>
        </is>
      </c>
      <c r="C182" s="10" t="inlineStr">
        <is>
          <t>D02-DOC-MRC-001-T01</t>
        </is>
      </c>
      <c r="D182" s="10" t="inlineStr">
        <is>
          <t>prazo</t>
        </is>
      </c>
      <c r="E182" s="10" t="inlineStr">
        <is>
          <t>Definir, validar e manter: Prazo</t>
        </is>
      </c>
      <c r="F182" s="10" t="n"/>
      <c r="G182" s="10" t="b">
        <v>1</v>
      </c>
      <c r="H182" s="10" t="b">
        <v>1</v>
      </c>
      <c r="I182" s="10" t="inlineStr">
        <is>
          <t>DERIVED</t>
        </is>
      </c>
      <c r="J182" s="10" t="inlineStr">
        <is>
          <t>PROPOSED</t>
        </is>
      </c>
      <c r="K182" s="10" t="inlineStr">
        <is>
          <t>DERIVED</t>
        </is>
      </c>
      <c r="L182" s="10" t="inlineStr">
        <is>
          <t>baixa</t>
        </is>
      </c>
      <c r="M182" s="10" t="inlineStr">
        <is>
          <t>["D02-DOC-MRC-001.SCHEMA.PRAZO"]</t>
        </is>
      </c>
    </row>
    <row r="183">
      <c r="A183" s="10" t="inlineStr">
        <is>
          <t>D02-DOC-MRC-001.SCHEMA.EVIDENCIA</t>
        </is>
      </c>
      <c r="B183" s="10" t="inlineStr">
        <is>
          <t>D02-DOC-MRC-001</t>
        </is>
      </c>
      <c r="C183" s="10" t="inlineStr">
        <is>
          <t>D02-DOC-MRC-001-T01</t>
        </is>
      </c>
      <c r="D183" s="10" t="inlineStr">
        <is>
          <t>evidencia</t>
        </is>
      </c>
      <c r="E183" s="10" t="inlineStr">
        <is>
          <t>Definir, validar e manter: Evidencia</t>
        </is>
      </c>
      <c r="F183" s="10" t="n"/>
      <c r="G183" s="10" t="b">
        <v>1</v>
      </c>
      <c r="H183" s="10" t="b">
        <v>1</v>
      </c>
      <c r="I183" s="10" t="inlineStr">
        <is>
          <t>DERIVED</t>
        </is>
      </c>
      <c r="J183" s="10" t="inlineStr">
        <is>
          <t>PROPOSED</t>
        </is>
      </c>
      <c r="K183" s="10" t="inlineStr">
        <is>
          <t>DERIVED</t>
        </is>
      </c>
      <c r="L183" s="10" t="inlineStr">
        <is>
          <t>baixa</t>
        </is>
      </c>
      <c r="M183" s="10" t="inlineStr">
        <is>
          <t>["D02-DOC-MRC-001.SCHEMA.EVIDENCIA"]</t>
        </is>
      </c>
    </row>
    <row r="184">
      <c r="A184" s="10" t="inlineStr">
        <is>
          <t>D02-DOC-MRC-001.SCHEMA.STATUS</t>
        </is>
      </c>
      <c r="B184" s="10" t="inlineStr">
        <is>
          <t>D02-DOC-MRC-001</t>
        </is>
      </c>
      <c r="C184" s="10" t="inlineStr">
        <is>
          <t>D02-DOC-MRC-001-T01</t>
        </is>
      </c>
      <c r="D184" s="10" t="inlineStr">
        <is>
          <t>status</t>
        </is>
      </c>
      <c r="E184" s="10" t="inlineStr">
        <is>
          <t>Definir, validar e manter: Status</t>
        </is>
      </c>
      <c r="F184" s="10" t="n"/>
      <c r="G184" s="10" t="b">
        <v>1</v>
      </c>
      <c r="H184" s="10" t="b">
        <v>1</v>
      </c>
      <c r="I184" s="10" t="inlineStr">
        <is>
          <t>DERIVED</t>
        </is>
      </c>
      <c r="J184" s="10" t="inlineStr">
        <is>
          <t>PROPOSED</t>
        </is>
      </c>
      <c r="K184" s="10" t="inlineStr">
        <is>
          <t>DERIVED</t>
        </is>
      </c>
      <c r="L184" s="10" t="inlineStr">
        <is>
          <t>baixa</t>
        </is>
      </c>
      <c r="M184" s="10" t="inlineStr">
        <is>
          <t>["D02-DOC-MRC-001.SCHEMA.STATUS"]</t>
        </is>
      </c>
    </row>
    <row r="185">
      <c r="A185" s="10" t="inlineStr">
        <is>
          <t>D02-DOC-PPT-001.ORGANIZATION.CONTROLADOR</t>
        </is>
      </c>
      <c r="B185" s="10" t="inlineStr">
        <is>
          <t>D02-DOC-PPT-001</t>
        </is>
      </c>
      <c r="C185" s="10" t="inlineStr">
        <is>
          <t>D02-DOC-PPT-001-T01</t>
        </is>
      </c>
      <c r="D185" s="10" t="inlineStr">
        <is>
          <t>controlador</t>
        </is>
      </c>
      <c r="E185" s="10" t="inlineStr">
        <is>
          <t>Definir, validar e manter: Controlador</t>
        </is>
      </c>
      <c r="F185" s="10" t="n"/>
      <c r="G185" s="10" t="b">
        <v>1</v>
      </c>
      <c r="H185" s="10" t="b">
        <v>1</v>
      </c>
      <c r="I185" s="10" t="inlineStr">
        <is>
          <t>DERIVED</t>
        </is>
      </c>
      <c r="J185" s="10" t="inlineStr">
        <is>
          <t>PROPOSED</t>
        </is>
      </c>
      <c r="K185" s="10" t="inlineStr">
        <is>
          <t>DERIVED</t>
        </is>
      </c>
      <c r="L185" s="10" t="inlineStr">
        <is>
          <t>baixa</t>
        </is>
      </c>
      <c r="M185" s="10" t="inlineStr">
        <is>
          <t>["D02-DOC-PPT-001.ORGANIZATION.CONTROLADOR"]</t>
        </is>
      </c>
    </row>
    <row r="186">
      <c r="A186" s="10" t="inlineStr">
        <is>
          <t>D02-DOC-PPT-001.ORGANIZATION.OPERADOR</t>
        </is>
      </c>
      <c r="B186" s="10" t="inlineStr">
        <is>
          <t>D02-DOC-PPT-001</t>
        </is>
      </c>
      <c r="C186" s="10" t="inlineStr">
        <is>
          <t>D02-DOC-PPT-001-T01</t>
        </is>
      </c>
      <c r="D186" s="10" t="inlineStr">
        <is>
          <t>operador</t>
        </is>
      </c>
      <c r="E186" s="10" t="inlineStr">
        <is>
          <t>Definir, validar e manter: Operador</t>
        </is>
      </c>
      <c r="F186" s="10" t="n"/>
      <c r="G186" s="10" t="b">
        <v>1</v>
      </c>
      <c r="H186" s="10" t="b">
        <v>1</v>
      </c>
      <c r="I186" s="10" t="inlineStr">
        <is>
          <t>DERIVED</t>
        </is>
      </c>
      <c r="J186" s="10" t="inlineStr">
        <is>
          <t>PROPOSED</t>
        </is>
      </c>
      <c r="K186" s="10" t="inlineStr">
        <is>
          <t>DERIVED</t>
        </is>
      </c>
      <c r="L186" s="10" t="inlineStr">
        <is>
          <t>baixa</t>
        </is>
      </c>
      <c r="M186" s="10" t="inlineStr">
        <is>
          <t>["D02-DOC-PPT-001.ORGANIZATION.OPERADOR"]</t>
        </is>
      </c>
    </row>
    <row r="187">
      <c r="A187" s="10" t="inlineStr">
        <is>
          <t>D02-DOC-PPT-001.ORGANIZATION.CONTATO</t>
        </is>
      </c>
      <c r="B187" s="10" t="inlineStr">
        <is>
          <t>D02-DOC-PPT-001</t>
        </is>
      </c>
      <c r="C187" s="10" t="inlineStr">
        <is>
          <t>D02-DOC-PPT-001-T01</t>
        </is>
      </c>
      <c r="D187" s="10" t="inlineStr">
        <is>
          <t>contato</t>
        </is>
      </c>
      <c r="E187" s="10" t="inlineStr">
        <is>
          <t>Definir, validar e manter: Contato</t>
        </is>
      </c>
      <c r="F187" s="10" t="n"/>
      <c r="G187" s="10" t="b">
        <v>1</v>
      </c>
      <c r="H187" s="10" t="b">
        <v>1</v>
      </c>
      <c r="I187" s="10" t="inlineStr">
        <is>
          <t>DERIVED</t>
        </is>
      </c>
      <c r="J187" s="10" t="inlineStr">
        <is>
          <t>PROPOSED</t>
        </is>
      </c>
      <c r="K187" s="10" t="inlineStr">
        <is>
          <t>DERIVED</t>
        </is>
      </c>
      <c r="L187" s="10" t="inlineStr">
        <is>
          <t>baixa</t>
        </is>
      </c>
      <c r="M187" s="10" t="inlineStr">
        <is>
          <t>["D02-DOC-PPT-001.ORGANIZATION.CONTATO"]</t>
        </is>
      </c>
    </row>
    <row r="188">
      <c r="A188" s="10" t="inlineStr">
        <is>
          <t>D02-DOC-PPT-001.COLLECTED_DATA.CATEGORIAS_DE_DADOS</t>
        </is>
      </c>
      <c r="B188" s="10" t="inlineStr">
        <is>
          <t>D02-DOC-PPT-001</t>
        </is>
      </c>
      <c r="C188" s="10" t="inlineStr">
        <is>
          <t>D02-DOC-PPT-001-T02</t>
        </is>
      </c>
      <c r="D188" s="10" t="inlineStr">
        <is>
          <t>categorias_de_dados</t>
        </is>
      </c>
      <c r="E188" s="10" t="inlineStr">
        <is>
          <t>Definir, validar e manter: Categorias De Dados</t>
        </is>
      </c>
      <c r="F188" s="10" t="n"/>
      <c r="G188" s="10" t="b">
        <v>1</v>
      </c>
      <c r="H188" s="10" t="b">
        <v>1</v>
      </c>
      <c r="I188" s="10" t="inlineStr">
        <is>
          <t>DERIVED</t>
        </is>
      </c>
      <c r="J188" s="10" t="inlineStr">
        <is>
          <t>PROPOSED</t>
        </is>
      </c>
      <c r="K188" s="10" t="inlineStr">
        <is>
          <t>DERIVED</t>
        </is>
      </c>
      <c r="L188" s="10" t="inlineStr">
        <is>
          <t>baixa</t>
        </is>
      </c>
      <c r="M188" s="10" t="inlineStr">
        <is>
          <t>["D02-DOC-PPT-001.COLLECTED_DATA.CATEGORIAS_DE_DADOS"]</t>
        </is>
      </c>
    </row>
    <row r="189">
      <c r="A189" s="10" t="inlineStr">
        <is>
          <t>D02-DOC-PPT-001.COLLECTED_DATA.ORIGEM</t>
        </is>
      </c>
      <c r="B189" s="10" t="inlineStr">
        <is>
          <t>D02-DOC-PPT-001</t>
        </is>
      </c>
      <c r="C189" s="10" t="inlineStr">
        <is>
          <t>D02-DOC-PPT-001-T02</t>
        </is>
      </c>
      <c r="D189" s="10" t="inlineStr">
        <is>
          <t>origem</t>
        </is>
      </c>
      <c r="E189" s="10" t="inlineStr">
        <is>
          <t>Definir, validar e manter: Origem</t>
        </is>
      </c>
      <c r="F189" s="10" t="n"/>
      <c r="G189" s="10" t="b">
        <v>1</v>
      </c>
      <c r="H189" s="10" t="b">
        <v>1</v>
      </c>
      <c r="I189" s="10" t="inlineStr">
        <is>
          <t>DERIVED</t>
        </is>
      </c>
      <c r="J189" s="10" t="inlineStr">
        <is>
          <t>PROPOSED</t>
        </is>
      </c>
      <c r="K189" s="10" t="inlineStr">
        <is>
          <t>DERIVED</t>
        </is>
      </c>
      <c r="L189" s="10" t="inlineStr">
        <is>
          <t>baixa</t>
        </is>
      </c>
      <c r="M189" s="10" t="inlineStr">
        <is>
          <t>["D02-DOC-PPT-001.COLLECTED_DATA.ORIGEM"]</t>
        </is>
      </c>
    </row>
    <row r="190">
      <c r="A190" s="10" t="inlineStr">
        <is>
          <t>D02-DOC-PPT-001.PURPOSES.FINALIDADE</t>
        </is>
      </c>
      <c r="B190" s="10" t="inlineStr">
        <is>
          <t>D02-DOC-PPT-001</t>
        </is>
      </c>
      <c r="C190" s="10" t="inlineStr">
        <is>
          <t>D02-DOC-PPT-001-T03</t>
        </is>
      </c>
      <c r="D190" s="10" t="inlineStr">
        <is>
          <t>finalidade</t>
        </is>
      </c>
      <c r="E190" s="10" t="inlineStr">
        <is>
          <t>Definir, validar e manter: Finalidade</t>
        </is>
      </c>
      <c r="F190" s="10" t="n"/>
      <c r="G190" s="10" t="b">
        <v>1</v>
      </c>
      <c r="H190" s="10" t="b">
        <v>1</v>
      </c>
      <c r="I190" s="10" t="inlineStr">
        <is>
          <t>DERIVED</t>
        </is>
      </c>
      <c r="J190" s="10" t="inlineStr">
        <is>
          <t>PROPOSED</t>
        </is>
      </c>
      <c r="K190" s="10" t="inlineStr">
        <is>
          <t>DERIVED</t>
        </is>
      </c>
      <c r="L190" s="10" t="inlineStr">
        <is>
          <t>baixa</t>
        </is>
      </c>
      <c r="M190" s="10" t="inlineStr">
        <is>
          <t>["D02-DOC-PPT-001.PURPOSES.FINALIDADE"]</t>
        </is>
      </c>
    </row>
    <row r="191">
      <c r="A191" s="10" t="inlineStr">
        <is>
          <t>D02-DOC-PPT-001.PURPOSES.BASE_LEGAL</t>
        </is>
      </c>
      <c r="B191" s="10" t="inlineStr">
        <is>
          <t>D02-DOC-PPT-001</t>
        </is>
      </c>
      <c r="C191" s="10" t="inlineStr">
        <is>
          <t>D02-DOC-PPT-001-T03</t>
        </is>
      </c>
      <c r="D191" s="10" t="inlineStr">
        <is>
          <t>base_legal</t>
        </is>
      </c>
      <c r="E191" s="10" t="inlineStr">
        <is>
          <t>Definir, validar e manter: Base Legal</t>
        </is>
      </c>
      <c r="F191" s="10" t="n"/>
      <c r="G191" s="10" t="b">
        <v>1</v>
      </c>
      <c r="H191" s="10" t="b">
        <v>1</v>
      </c>
      <c r="I191" s="10" t="inlineStr">
        <is>
          <t>EXTERNAL</t>
        </is>
      </c>
      <c r="J191" s="10" t="inlineStr">
        <is>
          <t>EXTERNAL_EVIDENCE</t>
        </is>
      </c>
      <c r="K191" s="10" t="inlineStr">
        <is>
          <t>EXTERNAL</t>
        </is>
      </c>
      <c r="L191" s="10" t="inlineStr">
        <is>
          <t>media</t>
        </is>
      </c>
      <c r="M191" s="10" t="inlineStr">
        <is>
          <t>["D02-DOC-PPT-001.PURPOSES.BASE_LEGAL"]</t>
        </is>
      </c>
    </row>
    <row r="192">
      <c r="A192" s="10" t="inlineStr">
        <is>
          <t>D02-DOC-PPT-001.SHARING.TERCEIROS</t>
        </is>
      </c>
      <c r="B192" s="10" t="inlineStr">
        <is>
          <t>D02-DOC-PPT-001</t>
        </is>
      </c>
      <c r="C192" s="10" t="inlineStr">
        <is>
          <t>D02-DOC-PPT-001-T04</t>
        </is>
      </c>
      <c r="D192" s="10" t="inlineStr">
        <is>
          <t>terceiros</t>
        </is>
      </c>
      <c r="E192" s="10" t="inlineStr">
        <is>
          <t>Definir, validar e manter: Terceiros</t>
        </is>
      </c>
      <c r="F192" s="10" t="n"/>
      <c r="G192" s="10" t="b">
        <v>1</v>
      </c>
      <c r="H192" s="10" t="b">
        <v>1</v>
      </c>
      <c r="I192" s="10" t="inlineStr">
        <is>
          <t>DERIVED</t>
        </is>
      </c>
      <c r="J192" s="10" t="inlineStr">
        <is>
          <t>PROPOSED</t>
        </is>
      </c>
      <c r="K192" s="10" t="inlineStr">
        <is>
          <t>DERIVED</t>
        </is>
      </c>
      <c r="L192" s="10" t="inlineStr">
        <is>
          <t>baixa</t>
        </is>
      </c>
      <c r="M192" s="10" t="inlineStr">
        <is>
          <t>["D02-DOC-PPT-001.SHARING.TERCEIROS"]</t>
        </is>
      </c>
    </row>
    <row r="193">
      <c r="A193" s="10" t="inlineStr">
        <is>
          <t>D02-DOC-PPT-001.SHARING.OPERADORES</t>
        </is>
      </c>
      <c r="B193" s="10" t="inlineStr">
        <is>
          <t>D02-DOC-PPT-001</t>
        </is>
      </c>
      <c r="C193" s="10" t="inlineStr">
        <is>
          <t>D02-DOC-PPT-001-T04</t>
        </is>
      </c>
      <c r="D193" s="10" t="inlineStr">
        <is>
          <t>operadores</t>
        </is>
      </c>
      <c r="E193" s="10" t="inlineStr">
        <is>
          <t>Definir, validar e manter: Operadores</t>
        </is>
      </c>
      <c r="F193" s="10" t="n"/>
      <c r="G193" s="10" t="b">
        <v>1</v>
      </c>
      <c r="H193" s="10" t="b">
        <v>1</v>
      </c>
      <c r="I193" s="10" t="inlineStr">
        <is>
          <t>DERIVED</t>
        </is>
      </c>
      <c r="J193" s="10" t="inlineStr">
        <is>
          <t>PROPOSED</t>
        </is>
      </c>
      <c r="K193" s="10" t="inlineStr">
        <is>
          <t>DERIVED</t>
        </is>
      </c>
      <c r="L193" s="10" t="inlineStr">
        <is>
          <t>baixa</t>
        </is>
      </c>
      <c r="M193" s="10" t="inlineStr">
        <is>
          <t>["D02-DOC-PPT-001.SHARING.OPERADORES"]</t>
        </is>
      </c>
    </row>
    <row r="194">
      <c r="A194" s="10" t="inlineStr">
        <is>
          <t>D02-DOC-PPT-001.SHARING.TRANSFERENCIA</t>
        </is>
      </c>
      <c r="B194" s="10" t="inlineStr">
        <is>
          <t>D02-DOC-PPT-001</t>
        </is>
      </c>
      <c r="C194" s="10" t="inlineStr">
        <is>
          <t>D02-DOC-PPT-001-T04</t>
        </is>
      </c>
      <c r="D194" s="10" t="inlineStr">
        <is>
          <t>transferencia</t>
        </is>
      </c>
      <c r="E194" s="10" t="inlineStr">
        <is>
          <t>Definir, validar e manter: Transferencia</t>
        </is>
      </c>
      <c r="F194" s="10" t="n"/>
      <c r="G194" s="10" t="b">
        <v>1</v>
      </c>
      <c r="H194" s="10" t="b">
        <v>1</v>
      </c>
      <c r="I194" s="10" t="inlineStr">
        <is>
          <t>DERIVED</t>
        </is>
      </c>
      <c r="J194" s="10" t="inlineStr">
        <is>
          <t>PROPOSED</t>
        </is>
      </c>
      <c r="K194" s="10" t="inlineStr">
        <is>
          <t>DERIVED</t>
        </is>
      </c>
      <c r="L194" s="10" t="inlineStr">
        <is>
          <t>baixa</t>
        </is>
      </c>
      <c r="M194" s="10" t="inlineStr">
        <is>
          <t>["D02-DOC-PPT-001.SHARING.TRANSFERENCIA"]</t>
        </is>
      </c>
    </row>
    <row r="195">
      <c r="A195" s="10" t="inlineStr">
        <is>
          <t>D02-DOC-PPT-001.STORAGE.RETENCAO</t>
        </is>
      </c>
      <c r="B195" s="10" t="inlineStr">
        <is>
          <t>D02-DOC-PPT-001</t>
        </is>
      </c>
      <c r="C195" s="10" t="inlineStr">
        <is>
          <t>D02-DOC-PPT-001-T05</t>
        </is>
      </c>
      <c r="D195" s="10" t="inlineStr">
        <is>
          <t>retencao</t>
        </is>
      </c>
      <c r="E195" s="10" t="inlineStr">
        <is>
          <t>Definir, validar e manter: Retencao</t>
        </is>
      </c>
      <c r="F195" s="10" t="n"/>
      <c r="G195" s="10" t="b">
        <v>1</v>
      </c>
      <c r="H195" s="10" t="b">
        <v>1</v>
      </c>
      <c r="I195" s="10" t="inlineStr">
        <is>
          <t>EXTERNAL</t>
        </is>
      </c>
      <c r="J195" s="10" t="inlineStr">
        <is>
          <t>EXTERNAL_EVIDENCE</t>
        </is>
      </c>
      <c r="K195" s="10" t="inlineStr">
        <is>
          <t>EXTERNAL</t>
        </is>
      </c>
      <c r="L195" s="10" t="inlineStr">
        <is>
          <t>media</t>
        </is>
      </c>
      <c r="M195" s="10" t="inlineStr">
        <is>
          <t>["D02-DOC-PPT-001.STORAGE.RETENCAO"]</t>
        </is>
      </c>
    </row>
    <row r="196">
      <c r="A196" s="10" t="inlineStr">
        <is>
          <t>D02-DOC-PPT-001.STORAGE.EXCLUSAO</t>
        </is>
      </c>
      <c r="B196" s="10" t="inlineStr">
        <is>
          <t>D02-DOC-PPT-001</t>
        </is>
      </c>
      <c r="C196" s="10" t="inlineStr">
        <is>
          <t>D02-DOC-PPT-001-T05</t>
        </is>
      </c>
      <c r="D196" s="10" t="inlineStr">
        <is>
          <t>exclusao</t>
        </is>
      </c>
      <c r="E196" s="10" t="inlineStr">
        <is>
          <t>Definir, validar e manter: Exclusao</t>
        </is>
      </c>
      <c r="F196" s="10" t="n"/>
      <c r="G196" s="10" t="b">
        <v>1</v>
      </c>
      <c r="H196" s="10" t="b">
        <v>1</v>
      </c>
      <c r="I196" s="10" t="inlineStr">
        <is>
          <t>DERIVED</t>
        </is>
      </c>
      <c r="J196" s="10" t="inlineStr">
        <is>
          <t>PROPOSED</t>
        </is>
      </c>
      <c r="K196" s="10" t="inlineStr">
        <is>
          <t>DERIVED</t>
        </is>
      </c>
      <c r="L196" s="10" t="inlineStr">
        <is>
          <t>baixa</t>
        </is>
      </c>
      <c r="M196" s="10" t="inlineStr">
        <is>
          <t>["D02-DOC-PPT-001.STORAGE.EXCLUSAO"]</t>
        </is>
      </c>
    </row>
    <row r="197">
      <c r="A197" s="10" t="inlineStr">
        <is>
          <t>D02-DOC-PPT-001.RIGHTS.DIREITOS_DO_TITULAR</t>
        </is>
      </c>
      <c r="B197" s="10" t="inlineStr">
        <is>
          <t>D02-DOC-PPT-001</t>
        </is>
      </c>
      <c r="C197" s="10" t="inlineStr">
        <is>
          <t>D02-DOC-PPT-001-T06</t>
        </is>
      </c>
      <c r="D197" s="10" t="inlineStr">
        <is>
          <t>direitos_do_titular</t>
        </is>
      </c>
      <c r="E197" s="10" t="inlineStr">
        <is>
          <t>Definir, validar e manter: Direitos Do Titular</t>
        </is>
      </c>
      <c r="F197" s="10" t="n"/>
      <c r="G197" s="10" t="b">
        <v>1</v>
      </c>
      <c r="H197" s="10" t="b">
        <v>1</v>
      </c>
      <c r="I197" s="10" t="inlineStr">
        <is>
          <t>EXTERNAL</t>
        </is>
      </c>
      <c r="J197" s="10" t="inlineStr">
        <is>
          <t>EXTERNAL_EVIDENCE</t>
        </is>
      </c>
      <c r="K197" s="10" t="inlineStr">
        <is>
          <t>EXTERNAL</t>
        </is>
      </c>
      <c r="L197" s="10" t="inlineStr">
        <is>
          <t>media</t>
        </is>
      </c>
      <c r="M197" s="10" t="inlineStr">
        <is>
          <t>["D02-DOC-PPT-001.RIGHTS.DIREITOS_DO_TITULAR"]</t>
        </is>
      </c>
    </row>
    <row r="198">
      <c r="A198" s="10" t="inlineStr">
        <is>
          <t>D02-DOC-PPT-001.RIGHTS.CANAL_DE_SOLICITACAO</t>
        </is>
      </c>
      <c r="B198" s="10" t="inlineStr">
        <is>
          <t>D02-DOC-PPT-001</t>
        </is>
      </c>
      <c r="C198" s="10" t="inlineStr">
        <is>
          <t>D02-DOC-PPT-001-T06</t>
        </is>
      </c>
      <c r="D198" s="10" t="inlineStr">
        <is>
          <t>canal_de_solicitacao</t>
        </is>
      </c>
      <c r="E198" s="10" t="inlineStr">
        <is>
          <t>Definir, validar e manter: Canal De Solicitacao</t>
        </is>
      </c>
      <c r="F198" s="10" t="n"/>
      <c r="G198" s="10" t="b">
        <v>1</v>
      </c>
      <c r="H198" s="10" t="b">
        <v>1</v>
      </c>
      <c r="I198" s="10" t="inlineStr">
        <is>
          <t>DERIVED</t>
        </is>
      </c>
      <c r="J198" s="10" t="inlineStr">
        <is>
          <t>PROPOSED</t>
        </is>
      </c>
      <c r="K198" s="10" t="inlineStr">
        <is>
          <t>DERIVED</t>
        </is>
      </c>
      <c r="L198" s="10" t="inlineStr">
        <is>
          <t>baixa</t>
        </is>
      </c>
      <c r="M198" s="10" t="inlineStr">
        <is>
          <t>["D02-DOC-PPT-001.RIGHTS.CANAL_DE_SOLICITACAO"]</t>
        </is>
      </c>
    </row>
    <row r="199">
      <c r="A199" s="10" t="inlineStr">
        <is>
          <t>D02-DOC-PPT-001.COOKIES.COOKIES</t>
        </is>
      </c>
      <c r="B199" s="10" t="inlineStr">
        <is>
          <t>D02-DOC-PPT-001</t>
        </is>
      </c>
      <c r="C199" s="10" t="inlineStr">
        <is>
          <t>D02-DOC-PPT-001-T07</t>
        </is>
      </c>
      <c r="D199" s="10" t="inlineStr">
        <is>
          <t>cookies</t>
        </is>
      </c>
      <c r="E199" s="10" t="inlineStr">
        <is>
          <t>Definir, validar e manter: Cookies</t>
        </is>
      </c>
      <c r="F199" s="10" t="n"/>
      <c r="G199" s="10" t="b">
        <v>1</v>
      </c>
      <c r="H199" s="10" t="b">
        <v>1</v>
      </c>
      <c r="I199" s="10" t="inlineStr">
        <is>
          <t>EXTERNAL</t>
        </is>
      </c>
      <c r="J199" s="10" t="inlineStr">
        <is>
          <t>EXTERNAL_EVIDENCE</t>
        </is>
      </c>
      <c r="K199" s="10" t="inlineStr">
        <is>
          <t>EXTERNAL</t>
        </is>
      </c>
      <c r="L199" s="10" t="inlineStr">
        <is>
          <t>media</t>
        </is>
      </c>
      <c r="M199" s="10" t="inlineStr">
        <is>
          <t>["D02-DOC-PPT-001.COOKIES.COOKIES"]</t>
        </is>
      </c>
    </row>
    <row r="200">
      <c r="A200" s="10" t="inlineStr">
        <is>
          <t>D02-DOC-PPT-001.COOKIES.ANALYTICS</t>
        </is>
      </c>
      <c r="B200" s="10" t="inlineStr">
        <is>
          <t>D02-DOC-PPT-001</t>
        </is>
      </c>
      <c r="C200" s="10" t="inlineStr">
        <is>
          <t>D02-DOC-PPT-001-T07</t>
        </is>
      </c>
      <c r="D200" s="10" t="inlineStr">
        <is>
          <t>analytics</t>
        </is>
      </c>
      <c r="E200" s="10" t="inlineStr">
        <is>
          <t>Definir, validar e manter: Analytics</t>
        </is>
      </c>
      <c r="F200" s="10" t="n"/>
      <c r="G200" s="10" t="b">
        <v>1</v>
      </c>
      <c r="H200" s="10" t="b">
        <v>1</v>
      </c>
      <c r="I200" s="10" t="inlineStr">
        <is>
          <t>DERIVED</t>
        </is>
      </c>
      <c r="J200" s="10" t="inlineStr">
        <is>
          <t>PROPOSED</t>
        </is>
      </c>
      <c r="K200" s="10" t="inlineStr">
        <is>
          <t>DERIVED</t>
        </is>
      </c>
      <c r="L200" s="10" t="inlineStr">
        <is>
          <t>baixa</t>
        </is>
      </c>
      <c r="M200" s="10" t="inlineStr">
        <is>
          <t>["D02-DOC-PPT-001.COOKIES.ANALYTICS"]</t>
        </is>
      </c>
    </row>
    <row r="201">
      <c r="A201" s="10" t="inlineStr">
        <is>
          <t>D02-DOC-PPT-001.COOKIES.PREFERENCIAS</t>
        </is>
      </c>
      <c r="B201" s="10" t="inlineStr">
        <is>
          <t>D02-DOC-PPT-001</t>
        </is>
      </c>
      <c r="C201" s="10" t="inlineStr">
        <is>
          <t>D02-DOC-PPT-001-T07</t>
        </is>
      </c>
      <c r="D201" s="10" t="inlineStr">
        <is>
          <t>preferencias</t>
        </is>
      </c>
      <c r="E201" s="10" t="inlineStr">
        <is>
          <t>Definir, validar e manter: Preferencias</t>
        </is>
      </c>
      <c r="F201" s="10" t="n"/>
      <c r="G201" s="10" t="b">
        <v>1</v>
      </c>
      <c r="H201" s="10" t="b">
        <v>1</v>
      </c>
      <c r="I201" s="10" t="inlineStr">
        <is>
          <t>DERIVED</t>
        </is>
      </c>
      <c r="J201" s="10" t="inlineStr">
        <is>
          <t>PROPOSED</t>
        </is>
      </c>
      <c r="K201" s="10" t="inlineStr">
        <is>
          <t>DERIVED</t>
        </is>
      </c>
      <c r="L201" s="10" t="inlineStr">
        <is>
          <t>baixa</t>
        </is>
      </c>
      <c r="M201" s="10" t="inlineStr">
        <is>
          <t>["D02-DOC-PPT-001.COOKIES.PREFERENCIAS"]</t>
        </is>
      </c>
    </row>
    <row r="202">
      <c r="A202" s="10" t="inlineStr">
        <is>
          <t>D02-DOC-PPT-001.SECURITY.MEDIDAS_DE_SEGURANCA</t>
        </is>
      </c>
      <c r="B202" s="10" t="inlineStr">
        <is>
          <t>D02-DOC-PPT-001</t>
        </is>
      </c>
      <c r="C202" s="10" t="inlineStr">
        <is>
          <t>D02-DOC-PPT-001-T08</t>
        </is>
      </c>
      <c r="D202" s="10" t="inlineStr">
        <is>
          <t>medidas_de_seguranca</t>
        </is>
      </c>
      <c r="E202" s="10" t="inlineStr">
        <is>
          <t>Definir, validar e manter: Medidas De Seguranca</t>
        </is>
      </c>
      <c r="F202" s="10" t="n"/>
      <c r="G202" s="10" t="b">
        <v>1</v>
      </c>
      <c r="H202" s="10" t="b">
        <v>1</v>
      </c>
      <c r="I202" s="10" t="inlineStr">
        <is>
          <t>DERIVED</t>
        </is>
      </c>
      <c r="J202" s="10" t="inlineStr">
        <is>
          <t>PROPOSED</t>
        </is>
      </c>
      <c r="K202" s="10" t="inlineStr">
        <is>
          <t>DERIVED</t>
        </is>
      </c>
      <c r="L202" s="10" t="inlineStr">
        <is>
          <t>baixa</t>
        </is>
      </c>
      <c r="M202" s="10" t="inlineStr">
        <is>
          <t>["D02-DOC-PPT-001.SECURITY.MEDIDAS_DE_SEGURANCA"]</t>
        </is>
      </c>
    </row>
    <row r="203">
      <c r="A203" s="10" t="inlineStr">
        <is>
          <t>D02-DOC-PPT-001.TERMS.ELEGIBILIDADE</t>
        </is>
      </c>
      <c r="B203" s="10" t="inlineStr">
        <is>
          <t>D02-DOC-PPT-001</t>
        </is>
      </c>
      <c r="C203" s="10" t="inlineStr">
        <is>
          <t>D02-DOC-PPT-001-T09</t>
        </is>
      </c>
      <c r="D203" s="10" t="inlineStr">
        <is>
          <t>elegibilidade</t>
        </is>
      </c>
      <c r="E203" s="10" t="inlineStr">
        <is>
          <t>Definir, validar e manter: Elegibilidade</t>
        </is>
      </c>
      <c r="F203" s="10" t="n"/>
      <c r="G203" s="10" t="b">
        <v>1</v>
      </c>
      <c r="H203" s="10" t="b">
        <v>1</v>
      </c>
      <c r="I203" s="10" t="inlineStr">
        <is>
          <t>DERIVED</t>
        </is>
      </c>
      <c r="J203" s="10" t="inlineStr">
        <is>
          <t>PROPOSED</t>
        </is>
      </c>
      <c r="K203" s="10" t="inlineStr">
        <is>
          <t>DERIVED</t>
        </is>
      </c>
      <c r="L203" s="10" t="inlineStr">
        <is>
          <t>baixa</t>
        </is>
      </c>
      <c r="M203" s="10" t="inlineStr">
        <is>
          <t>["D02-DOC-PPT-001.TERMS.ELEGIBILIDADE"]</t>
        </is>
      </c>
    </row>
    <row r="204">
      <c r="A204" s="10" t="inlineStr">
        <is>
          <t>D02-DOC-PPT-001.TERMS.USO_PERMITIDO</t>
        </is>
      </c>
      <c r="B204" s="10" t="inlineStr">
        <is>
          <t>D02-DOC-PPT-001</t>
        </is>
      </c>
      <c r="C204" s="10" t="inlineStr">
        <is>
          <t>D02-DOC-PPT-001-T09</t>
        </is>
      </c>
      <c r="D204" s="10" t="inlineStr">
        <is>
          <t>uso_permitido</t>
        </is>
      </c>
      <c r="E204" s="10" t="inlineStr">
        <is>
          <t>Definir, validar e manter: Uso Permitido</t>
        </is>
      </c>
      <c r="F204" s="10" t="n"/>
      <c r="G204" s="10" t="b">
        <v>1</v>
      </c>
      <c r="H204" s="10" t="b">
        <v>1</v>
      </c>
      <c r="I204" s="10" t="inlineStr">
        <is>
          <t>DERIVED</t>
        </is>
      </c>
      <c r="J204" s="10" t="inlineStr">
        <is>
          <t>PROPOSED</t>
        </is>
      </c>
      <c r="K204" s="10" t="inlineStr">
        <is>
          <t>DERIVED</t>
        </is>
      </c>
      <c r="L204" s="10" t="inlineStr">
        <is>
          <t>baixa</t>
        </is>
      </c>
      <c r="M204" s="10" t="inlineStr">
        <is>
          <t>["D02-DOC-PPT-001.TERMS.USO_PERMITIDO"]</t>
        </is>
      </c>
    </row>
    <row r="205">
      <c r="A205" s="10" t="inlineStr">
        <is>
          <t>D02-DOC-PPT-001.TERMS.USO_PROIBIDO</t>
        </is>
      </c>
      <c r="B205" s="10" t="inlineStr">
        <is>
          <t>D02-DOC-PPT-001</t>
        </is>
      </c>
      <c r="C205" s="10" t="inlineStr">
        <is>
          <t>D02-DOC-PPT-001-T09</t>
        </is>
      </c>
      <c r="D205" s="10" t="inlineStr">
        <is>
          <t>uso_proibido</t>
        </is>
      </c>
      <c r="E205" s="10" t="inlineStr">
        <is>
          <t>Definir, validar e manter: Uso Proibido</t>
        </is>
      </c>
      <c r="F205" s="10" t="n"/>
      <c r="G205" s="10" t="b">
        <v>1</v>
      </c>
      <c r="H205" s="10" t="b">
        <v>1</v>
      </c>
      <c r="I205" s="10" t="inlineStr">
        <is>
          <t>DERIVED</t>
        </is>
      </c>
      <c r="J205" s="10" t="inlineStr">
        <is>
          <t>PROPOSED</t>
        </is>
      </c>
      <c r="K205" s="10" t="inlineStr">
        <is>
          <t>DERIVED</t>
        </is>
      </c>
      <c r="L205" s="10" t="inlineStr">
        <is>
          <t>baixa</t>
        </is>
      </c>
      <c r="M205" s="10" t="inlineStr">
        <is>
          <t>["D02-DOC-PPT-001.TERMS.USO_PROIBIDO"]</t>
        </is>
      </c>
    </row>
    <row r="206">
      <c r="A206" s="10" t="inlineStr">
        <is>
          <t>D02-DOC-PPT-001.LIABILITY.LIMITACOES</t>
        </is>
      </c>
      <c r="B206" s="10" t="inlineStr">
        <is>
          <t>D02-DOC-PPT-001</t>
        </is>
      </c>
      <c r="C206" s="10" t="inlineStr">
        <is>
          <t>D02-DOC-PPT-001-T10</t>
        </is>
      </c>
      <c r="D206" s="10" t="inlineStr">
        <is>
          <t>limitacoes</t>
        </is>
      </c>
      <c r="E206" s="10" t="inlineStr">
        <is>
          <t>Definir, validar e manter: Limitacoes</t>
        </is>
      </c>
      <c r="F206" s="10" t="n"/>
      <c r="G206" s="10" t="b">
        <v>1</v>
      </c>
      <c r="H206" s="10" t="b">
        <v>1</v>
      </c>
      <c r="I206" s="10" t="inlineStr">
        <is>
          <t>DERIVED</t>
        </is>
      </c>
      <c r="J206" s="10" t="inlineStr">
        <is>
          <t>PROPOSED</t>
        </is>
      </c>
      <c r="K206" s="10" t="inlineStr">
        <is>
          <t>DERIVED</t>
        </is>
      </c>
      <c r="L206" s="10" t="inlineStr">
        <is>
          <t>baixa</t>
        </is>
      </c>
      <c r="M206" s="10" t="inlineStr">
        <is>
          <t>["D02-DOC-PPT-001.LIABILITY.LIMITACOES"]</t>
        </is>
      </c>
    </row>
    <row r="207">
      <c r="A207" s="10" t="inlineStr">
        <is>
          <t>D02-DOC-PPT-001.LIABILITY.RESPONSABILIDADES</t>
        </is>
      </c>
      <c r="B207" s="10" t="inlineStr">
        <is>
          <t>D02-DOC-PPT-001</t>
        </is>
      </c>
      <c r="C207" s="10" t="inlineStr">
        <is>
          <t>D02-DOC-PPT-001-T10</t>
        </is>
      </c>
      <c r="D207" s="10" t="inlineStr">
        <is>
          <t>responsabilidades</t>
        </is>
      </c>
      <c r="E207" s="10" t="inlineStr">
        <is>
          <t>Definir, validar e manter: Responsabilidades</t>
        </is>
      </c>
      <c r="F207" s="10" t="n"/>
      <c r="G207" s="10" t="b">
        <v>1</v>
      </c>
      <c r="H207" s="10" t="b">
        <v>1</v>
      </c>
      <c r="I207" s="10" t="inlineStr">
        <is>
          <t>DERIVED</t>
        </is>
      </c>
      <c r="J207" s="10" t="inlineStr">
        <is>
          <t>PROPOSED</t>
        </is>
      </c>
      <c r="K207" s="10" t="inlineStr">
        <is>
          <t>DERIVED</t>
        </is>
      </c>
      <c r="L207" s="10" t="inlineStr">
        <is>
          <t>baixa</t>
        </is>
      </c>
      <c r="M207" s="10" t="inlineStr">
        <is>
          <t>["D02-DOC-PPT-001.LIABILITY.RESPONSABILIDADES"]</t>
        </is>
      </c>
    </row>
    <row r="208">
      <c r="A208" s="10" t="inlineStr">
        <is>
          <t>D02-DOC-PPT-001.IP.PROPRIEDADE_INTELECTUAL</t>
        </is>
      </c>
      <c r="B208" s="10" t="inlineStr">
        <is>
          <t>D02-DOC-PPT-001</t>
        </is>
      </c>
      <c r="C208" s="10" t="inlineStr">
        <is>
          <t>D02-DOC-PPT-001-T11</t>
        </is>
      </c>
      <c r="D208" s="10" t="inlineStr">
        <is>
          <t>propriedade_intelectual</t>
        </is>
      </c>
      <c r="E208" s="10" t="inlineStr">
        <is>
          <t>Definir, validar e manter: Propriedade Intelectual</t>
        </is>
      </c>
      <c r="F208" s="10" t="n"/>
      <c r="G208" s="10" t="b">
        <v>1</v>
      </c>
      <c r="H208" s="10" t="b">
        <v>1</v>
      </c>
      <c r="I208" s="10" t="inlineStr">
        <is>
          <t>DERIVED</t>
        </is>
      </c>
      <c r="J208" s="10" t="inlineStr">
        <is>
          <t>PROPOSED</t>
        </is>
      </c>
      <c r="K208" s="10" t="inlineStr">
        <is>
          <t>DERIVED</t>
        </is>
      </c>
      <c r="L208" s="10" t="inlineStr">
        <is>
          <t>baixa</t>
        </is>
      </c>
      <c r="M208" s="10" t="inlineStr">
        <is>
          <t>["D02-DOC-PPT-001.IP.PROPRIEDADE_INTELECTUAL"]</t>
        </is>
      </c>
    </row>
    <row r="209">
      <c r="A209" s="10" t="inlineStr">
        <is>
          <t>D02-DOC-PPT-001.TERMINATION.SUSPENSAO</t>
        </is>
      </c>
      <c r="B209" s="10" t="inlineStr">
        <is>
          <t>D02-DOC-PPT-001</t>
        </is>
      </c>
      <c r="C209" s="10" t="inlineStr">
        <is>
          <t>D02-DOC-PPT-001-T12</t>
        </is>
      </c>
      <c r="D209" s="10" t="inlineStr">
        <is>
          <t>suspensao</t>
        </is>
      </c>
      <c r="E209" s="10" t="inlineStr">
        <is>
          <t>Definir, validar e manter: Suspensao</t>
        </is>
      </c>
      <c r="F209" s="10" t="n"/>
      <c r="G209" s="10" t="b">
        <v>1</v>
      </c>
      <c r="H209" s="10" t="b">
        <v>1</v>
      </c>
      <c r="I209" s="10" t="inlineStr">
        <is>
          <t>DERIVED</t>
        </is>
      </c>
      <c r="J209" s="10" t="inlineStr">
        <is>
          <t>PROPOSED</t>
        </is>
      </c>
      <c r="K209" s="10" t="inlineStr">
        <is>
          <t>DERIVED</t>
        </is>
      </c>
      <c r="L209" s="10" t="inlineStr">
        <is>
          <t>baixa</t>
        </is>
      </c>
      <c r="M209" s="10" t="inlineStr">
        <is>
          <t>["D02-DOC-PPT-001.TERMINATION.SUSPENSAO"]</t>
        </is>
      </c>
    </row>
    <row r="210">
      <c r="A210" s="10" t="inlineStr">
        <is>
          <t>D02-DOC-PPT-001.TERMINATION.ENCERRAMENTO</t>
        </is>
      </c>
      <c r="B210" s="10" t="inlineStr">
        <is>
          <t>D02-DOC-PPT-001</t>
        </is>
      </c>
      <c r="C210" s="10" t="inlineStr">
        <is>
          <t>D02-DOC-PPT-001-T12</t>
        </is>
      </c>
      <c r="D210" s="10" t="inlineStr">
        <is>
          <t>encerramento</t>
        </is>
      </c>
      <c r="E210" s="10" t="inlineStr">
        <is>
          <t>Definir, validar e manter: Encerramento</t>
        </is>
      </c>
      <c r="F210" s="10" t="n"/>
      <c r="G210" s="10" t="b">
        <v>1</v>
      </c>
      <c r="H210" s="10" t="b">
        <v>1</v>
      </c>
      <c r="I210" s="10" t="inlineStr">
        <is>
          <t>DERIVED</t>
        </is>
      </c>
      <c r="J210" s="10" t="inlineStr">
        <is>
          <t>PROPOSED</t>
        </is>
      </c>
      <c r="K210" s="10" t="inlineStr">
        <is>
          <t>DERIVED</t>
        </is>
      </c>
      <c r="L210" s="10" t="inlineStr">
        <is>
          <t>baixa</t>
        </is>
      </c>
      <c r="M210" s="10" t="inlineStr">
        <is>
          <t>["D02-DOC-PPT-001.TERMINATION.ENCERRAMENTO"]</t>
        </is>
      </c>
    </row>
    <row r="211">
      <c r="A211" s="10" t="inlineStr">
        <is>
          <t>D02-DOC-PPT-001.UPDATES.ALTERACOES_DA_POLITICA</t>
        </is>
      </c>
      <c r="B211" s="10" t="inlineStr">
        <is>
          <t>D02-DOC-PPT-001</t>
        </is>
      </c>
      <c r="C211" s="10" t="inlineStr">
        <is>
          <t>D02-DOC-PPT-001-T13</t>
        </is>
      </c>
      <c r="D211" s="10" t="inlineStr">
        <is>
          <t>alteracoes_da_politica</t>
        </is>
      </c>
      <c r="E211" s="10" t="inlineStr">
        <is>
          <t>Definir, validar e manter: Alteracoes Da Politica</t>
        </is>
      </c>
      <c r="F211" s="10" t="n"/>
      <c r="G211" s="10" t="b">
        <v>1</v>
      </c>
      <c r="H211" s="10" t="b">
        <v>1</v>
      </c>
      <c r="I211" s="10" t="inlineStr">
        <is>
          <t>DERIVED</t>
        </is>
      </c>
      <c r="J211" s="10" t="inlineStr">
        <is>
          <t>PROPOSED</t>
        </is>
      </c>
      <c r="K211" s="10" t="inlineStr">
        <is>
          <t>DERIVED</t>
        </is>
      </c>
      <c r="L211" s="10" t="inlineStr">
        <is>
          <t>baixa</t>
        </is>
      </c>
      <c r="M211" s="10" t="inlineStr">
        <is>
          <t>["D02-DOC-PPT-001.UPDATES.ALTERACOES_DA_POLITICA"]</t>
        </is>
      </c>
    </row>
    <row r="212">
      <c r="A212" s="10" t="inlineStr">
        <is>
          <t>D03-DOC-PFO-001.ASSUMPTIONS.PREMISSAS_FINANCEIRAS</t>
        </is>
      </c>
      <c r="B212" s="10" t="inlineStr">
        <is>
          <t>D03-DOC-PFO-001</t>
        </is>
      </c>
      <c r="C212" s="10" t="inlineStr">
        <is>
          <t>D03-DOC-PFO-001-T01</t>
        </is>
      </c>
      <c r="D212" s="10" t="inlineStr">
        <is>
          <t>premissas_financeiras</t>
        </is>
      </c>
      <c r="E212" s="10" t="inlineStr">
        <is>
          <t>Definir, validar e manter: Premissas Financeiras</t>
        </is>
      </c>
      <c r="F212" s="10" t="n"/>
      <c r="G212" s="10" t="b">
        <v>1</v>
      </c>
      <c r="H212" s="10" t="b">
        <v>1</v>
      </c>
      <c r="I212" s="10" t="inlineStr">
        <is>
          <t>DERIVED</t>
        </is>
      </c>
      <c r="J212" s="10" t="inlineStr">
        <is>
          <t>PROPOSED</t>
        </is>
      </c>
      <c r="K212" s="10" t="inlineStr">
        <is>
          <t>DERIVED</t>
        </is>
      </c>
      <c r="L212" s="10" t="inlineStr">
        <is>
          <t>baixa</t>
        </is>
      </c>
      <c r="M212" s="10" t="inlineStr">
        <is>
          <t>["D03-DOC-PFO-001.ASSUMPTIONS.PREMISSAS_FINANCEIRAS"]</t>
        </is>
      </c>
    </row>
    <row r="213">
      <c r="A213" s="10" t="inlineStr">
        <is>
          <t>D03-DOC-PFO-001.ASSUMPTIONS.PERIODO</t>
        </is>
      </c>
      <c r="B213" s="10" t="inlineStr">
        <is>
          <t>D03-DOC-PFO-001</t>
        </is>
      </c>
      <c r="C213" s="10" t="inlineStr">
        <is>
          <t>D03-DOC-PFO-001-T01</t>
        </is>
      </c>
      <c r="D213" s="10" t="inlineStr">
        <is>
          <t>periodo</t>
        </is>
      </c>
      <c r="E213" s="10" t="inlineStr">
        <is>
          <t>Definir, validar e manter: Periodo</t>
        </is>
      </c>
      <c r="F213" s="10" t="n"/>
      <c r="G213" s="10" t="b">
        <v>1</v>
      </c>
      <c r="H213" s="10" t="b">
        <v>1</v>
      </c>
      <c r="I213" s="10" t="inlineStr">
        <is>
          <t>DERIVED</t>
        </is>
      </c>
      <c r="J213" s="10" t="inlineStr">
        <is>
          <t>PROPOSED</t>
        </is>
      </c>
      <c r="K213" s="10" t="inlineStr">
        <is>
          <t>DERIVED</t>
        </is>
      </c>
      <c r="L213" s="10" t="inlineStr">
        <is>
          <t>baixa</t>
        </is>
      </c>
      <c r="M213" s="10" t="inlineStr">
        <is>
          <t>["D03-DOC-PFO-001.ASSUMPTIONS.PERIODO"]</t>
        </is>
      </c>
    </row>
    <row r="214">
      <c r="A214" s="10" t="inlineStr">
        <is>
          <t>D03-DOC-PFO-001.ASSUMPTIONS.MOEDA</t>
        </is>
      </c>
      <c r="B214" s="10" t="inlineStr">
        <is>
          <t>D03-DOC-PFO-001</t>
        </is>
      </c>
      <c r="C214" s="10" t="inlineStr">
        <is>
          <t>D03-DOC-PFO-001-T01</t>
        </is>
      </c>
      <c r="D214" s="10" t="inlineStr">
        <is>
          <t>moeda</t>
        </is>
      </c>
      <c r="E214" s="10" t="inlineStr">
        <is>
          <t>Definir, validar e manter: Moeda</t>
        </is>
      </c>
      <c r="F214" s="10" t="n"/>
      <c r="G214" s="10" t="b">
        <v>1</v>
      </c>
      <c r="H214" s="10" t="b">
        <v>1</v>
      </c>
      <c r="I214" s="10" t="inlineStr">
        <is>
          <t>DERIVED</t>
        </is>
      </c>
      <c r="J214" s="10" t="inlineStr">
        <is>
          <t>PROPOSED</t>
        </is>
      </c>
      <c r="K214" s="10" t="inlineStr">
        <is>
          <t>DERIVED</t>
        </is>
      </c>
      <c r="L214" s="10" t="inlineStr">
        <is>
          <t>baixa</t>
        </is>
      </c>
      <c r="M214" s="10" t="inlineStr">
        <is>
          <t>["D03-DOC-PFO-001.ASSUMPTIONS.MOEDA"]</t>
        </is>
      </c>
    </row>
    <row r="215">
      <c r="A215" s="10" t="inlineStr">
        <is>
          <t>D03-DOC-PFO-001.REVENUE.FONTES</t>
        </is>
      </c>
      <c r="B215" s="10" t="inlineStr">
        <is>
          <t>D03-DOC-PFO-001</t>
        </is>
      </c>
      <c r="C215" s="10" t="inlineStr">
        <is>
          <t>D03-DOC-PFO-001-T02</t>
        </is>
      </c>
      <c r="D215" s="10" t="inlineStr">
        <is>
          <t>fontes</t>
        </is>
      </c>
      <c r="E215" s="10" t="inlineStr">
        <is>
          <t>Definir, validar e manter: Fontes</t>
        </is>
      </c>
      <c r="F215" s="10" t="n"/>
      <c r="G215" s="10" t="b">
        <v>1</v>
      </c>
      <c r="H215" s="10" t="b">
        <v>1</v>
      </c>
      <c r="I215" s="10" t="inlineStr">
        <is>
          <t>DERIVED</t>
        </is>
      </c>
      <c r="J215" s="10" t="inlineStr">
        <is>
          <t>PROPOSED</t>
        </is>
      </c>
      <c r="K215" s="10" t="inlineStr">
        <is>
          <t>DERIVED</t>
        </is>
      </c>
      <c r="L215" s="10" t="inlineStr">
        <is>
          <t>baixa</t>
        </is>
      </c>
      <c r="M215" s="10" t="inlineStr">
        <is>
          <t>["D03-DOC-PFO-001.REVENUE.FONTES"]</t>
        </is>
      </c>
    </row>
    <row r="216">
      <c r="A216" s="10" t="inlineStr">
        <is>
          <t>D03-DOC-PFO-001.REVENUE.PREVISOES</t>
        </is>
      </c>
      <c r="B216" s="10" t="inlineStr">
        <is>
          <t>D03-DOC-PFO-001</t>
        </is>
      </c>
      <c r="C216" s="10" t="inlineStr">
        <is>
          <t>D03-DOC-PFO-001-T02</t>
        </is>
      </c>
      <c r="D216" s="10" t="inlineStr">
        <is>
          <t>previsoes</t>
        </is>
      </c>
      <c r="E216" s="10" t="inlineStr">
        <is>
          <t>Definir, validar e manter: Previsoes</t>
        </is>
      </c>
      <c r="F216" s="10" t="n"/>
      <c r="G216" s="10" t="b">
        <v>1</v>
      </c>
      <c r="H216" s="10" t="b">
        <v>1</v>
      </c>
      <c r="I216" s="10" t="inlineStr">
        <is>
          <t>DERIVED</t>
        </is>
      </c>
      <c r="J216" s="10" t="inlineStr">
        <is>
          <t>PROPOSED</t>
        </is>
      </c>
      <c r="K216" s="10" t="inlineStr">
        <is>
          <t>DERIVED</t>
        </is>
      </c>
      <c r="L216" s="10" t="inlineStr">
        <is>
          <t>baixa</t>
        </is>
      </c>
      <c r="M216" s="10" t="inlineStr">
        <is>
          <t>["D03-DOC-PFO-001.REVENUE.PREVISOES"]</t>
        </is>
      </c>
    </row>
    <row r="217">
      <c r="A217" s="10" t="inlineStr">
        <is>
          <t>D03-DOC-PFO-001.REVENUE.RECORRENCIA</t>
        </is>
      </c>
      <c r="B217" s="10" t="inlineStr">
        <is>
          <t>D03-DOC-PFO-001</t>
        </is>
      </c>
      <c r="C217" s="10" t="inlineStr">
        <is>
          <t>D03-DOC-PFO-001-T02</t>
        </is>
      </c>
      <c r="D217" s="10" t="inlineStr">
        <is>
          <t>recorrencia</t>
        </is>
      </c>
      <c r="E217" s="10" t="inlineStr">
        <is>
          <t>Definir, validar e manter: Recorrencia</t>
        </is>
      </c>
      <c r="F217" s="10" t="n"/>
      <c r="G217" s="10" t="b">
        <v>1</v>
      </c>
      <c r="H217" s="10" t="b">
        <v>1</v>
      </c>
      <c r="I217" s="10" t="inlineStr">
        <is>
          <t>EXTERNAL</t>
        </is>
      </c>
      <c r="J217" s="10" t="inlineStr">
        <is>
          <t>EXTERNAL_EVIDENCE</t>
        </is>
      </c>
      <c r="K217" s="10" t="inlineStr">
        <is>
          <t>EXTERNAL</t>
        </is>
      </c>
      <c r="L217" s="10" t="inlineStr">
        <is>
          <t>media</t>
        </is>
      </c>
      <c r="M217" s="10" t="inlineStr">
        <is>
          <t>["D03-DOC-PFO-001.REVENUE.RECORRENCIA"]</t>
        </is>
      </c>
    </row>
    <row r="218">
      <c r="A218" s="10" t="inlineStr">
        <is>
          <t>D03-DOC-PFO-001.CAPEX.ITEM</t>
        </is>
      </c>
      <c r="B218" s="10" t="inlineStr">
        <is>
          <t>D03-DOC-PFO-001</t>
        </is>
      </c>
      <c r="C218" s="10" t="inlineStr">
        <is>
          <t>D03-DOC-PFO-001-T03</t>
        </is>
      </c>
      <c r="D218" s="10" t="inlineStr">
        <is>
          <t>item</t>
        </is>
      </c>
      <c r="E218" s="10" t="inlineStr">
        <is>
          <t>Definir, validar e manter: Item</t>
        </is>
      </c>
      <c r="F218" s="10" t="n"/>
      <c r="G218" s="10" t="b">
        <v>1</v>
      </c>
      <c r="H218" s="10" t="b">
        <v>1</v>
      </c>
      <c r="I218" s="10" t="inlineStr">
        <is>
          <t>FOUND</t>
        </is>
      </c>
      <c r="J218" s="10" t="inlineStr">
        <is>
          <t>DIRECT</t>
        </is>
      </c>
      <c r="K218" s="10" t="inlineStr">
        <is>
          <t>FOUND</t>
        </is>
      </c>
      <c r="L218" s="10" t="inlineStr">
        <is>
          <t>media</t>
        </is>
      </c>
      <c r="M218" s="10" t="inlineStr">
        <is>
          <t>["D03-DOC-PFO-001.CAPEX.ITEM"]</t>
        </is>
      </c>
    </row>
    <row r="219">
      <c r="A219" s="10" t="inlineStr">
        <is>
          <t>D03-DOC-PFO-001.CAPEX.VALOR</t>
        </is>
      </c>
      <c r="B219" s="10" t="inlineStr">
        <is>
          <t>D03-DOC-PFO-001</t>
        </is>
      </c>
      <c r="C219" s="10" t="inlineStr">
        <is>
          <t>D03-DOC-PFO-001-T03</t>
        </is>
      </c>
      <c r="D219" s="10" t="inlineStr">
        <is>
          <t>valor</t>
        </is>
      </c>
      <c r="E219" s="10" t="inlineStr">
        <is>
          <t>Definir, validar e manter: Valor</t>
        </is>
      </c>
      <c r="F219" s="10" t="n"/>
      <c r="G219" s="10" t="b">
        <v>1</v>
      </c>
      <c r="H219" s="10" t="b">
        <v>1</v>
      </c>
      <c r="I219" s="10" t="inlineStr">
        <is>
          <t>DERIVED</t>
        </is>
      </c>
      <c r="J219" s="10" t="inlineStr">
        <is>
          <t>PROPOSED</t>
        </is>
      </c>
      <c r="K219" s="10" t="inlineStr">
        <is>
          <t>DERIVED</t>
        </is>
      </c>
      <c r="L219" s="10" t="inlineStr">
        <is>
          <t>baixa</t>
        </is>
      </c>
      <c r="M219" s="10" t="inlineStr">
        <is>
          <t>["D03-DOC-PFO-001.CAPEX.VALOR"]</t>
        </is>
      </c>
    </row>
    <row r="220">
      <c r="A220" s="10" t="inlineStr">
        <is>
          <t>D03-DOC-PFO-001.CAPEX.PERIODO</t>
        </is>
      </c>
      <c r="B220" s="10" t="inlineStr">
        <is>
          <t>D03-DOC-PFO-001</t>
        </is>
      </c>
      <c r="C220" s="10" t="inlineStr">
        <is>
          <t>D03-DOC-PFO-001-T03</t>
        </is>
      </c>
      <c r="D220" s="10" t="inlineStr">
        <is>
          <t>periodo</t>
        </is>
      </c>
      <c r="E220" s="10" t="inlineStr">
        <is>
          <t>Definir, validar e manter: Periodo</t>
        </is>
      </c>
      <c r="F220" s="10" t="n"/>
      <c r="G220" s="10" t="b">
        <v>1</v>
      </c>
      <c r="H220" s="10" t="b">
        <v>1</v>
      </c>
      <c r="I220" s="10" t="inlineStr">
        <is>
          <t>DERIVED</t>
        </is>
      </c>
      <c r="J220" s="10" t="inlineStr">
        <is>
          <t>PROPOSED</t>
        </is>
      </c>
      <c r="K220" s="10" t="inlineStr">
        <is>
          <t>DERIVED</t>
        </is>
      </c>
      <c r="L220" s="10" t="inlineStr">
        <is>
          <t>baixa</t>
        </is>
      </c>
      <c r="M220" s="10" t="inlineStr">
        <is>
          <t>["D03-DOC-PFO-001.CAPEX.PERIODO"]</t>
        </is>
      </c>
    </row>
    <row r="221">
      <c r="A221" s="10" t="inlineStr">
        <is>
          <t>D03-DOC-PFO-001.CAPEX.JUSTIFICATIVA</t>
        </is>
      </c>
      <c r="B221" s="10" t="inlineStr">
        <is>
          <t>D03-DOC-PFO-001</t>
        </is>
      </c>
      <c r="C221" s="10" t="inlineStr">
        <is>
          <t>D03-DOC-PFO-001-T03</t>
        </is>
      </c>
      <c r="D221" s="10" t="inlineStr">
        <is>
          <t>justificativa</t>
        </is>
      </c>
      <c r="E221" s="10" t="inlineStr">
        <is>
          <t>Definir, validar e manter: Justificativa</t>
        </is>
      </c>
      <c r="F221" s="10" t="n"/>
      <c r="G221" s="10" t="b">
        <v>1</v>
      </c>
      <c r="H221" s="10" t="b">
        <v>1</v>
      </c>
      <c r="I221" s="10" t="inlineStr">
        <is>
          <t>DERIVED</t>
        </is>
      </c>
      <c r="J221" s="10" t="inlineStr">
        <is>
          <t>PROPOSED</t>
        </is>
      </c>
      <c r="K221" s="10" t="inlineStr">
        <is>
          <t>DERIVED</t>
        </is>
      </c>
      <c r="L221" s="10" t="inlineStr">
        <is>
          <t>baixa</t>
        </is>
      </c>
      <c r="M221" s="10" t="inlineStr">
        <is>
          <t>["D03-DOC-PFO-001.CAPEX.JUSTIFICATIVA"]</t>
        </is>
      </c>
    </row>
    <row r="222">
      <c r="A222" s="10" t="inlineStr">
        <is>
          <t>D03-DOC-PFO-001.OPEX.CATEGORIA</t>
        </is>
      </c>
      <c r="B222" s="10" t="inlineStr">
        <is>
          <t>D03-DOC-PFO-001</t>
        </is>
      </c>
      <c r="C222" s="10" t="inlineStr">
        <is>
          <t>D03-DOC-PFO-001-T04</t>
        </is>
      </c>
      <c r="D222" s="10" t="inlineStr">
        <is>
          <t>categoria</t>
        </is>
      </c>
      <c r="E222" s="10" t="inlineStr">
        <is>
          <t>Definir, validar e manter: Categoria</t>
        </is>
      </c>
      <c r="F222" s="10" t="n"/>
      <c r="G222" s="10" t="b">
        <v>1</v>
      </c>
      <c r="H222" s="10" t="b">
        <v>1</v>
      </c>
      <c r="I222" s="10" t="inlineStr">
        <is>
          <t>FOUND</t>
        </is>
      </c>
      <c r="J222" s="10" t="inlineStr">
        <is>
          <t>DIRECT</t>
        </is>
      </c>
      <c r="K222" s="10" t="inlineStr">
        <is>
          <t>FOUND</t>
        </is>
      </c>
      <c r="L222" s="10" t="inlineStr">
        <is>
          <t>media</t>
        </is>
      </c>
      <c r="M222" s="10" t="inlineStr">
        <is>
          <t>["D03-DOC-PFO-001.OPEX.CATEGORIA"]</t>
        </is>
      </c>
    </row>
    <row r="223">
      <c r="A223" s="10" t="inlineStr">
        <is>
          <t>D03-DOC-PFO-001.OPEX.VALOR</t>
        </is>
      </c>
      <c r="B223" s="10" t="inlineStr">
        <is>
          <t>D03-DOC-PFO-001</t>
        </is>
      </c>
      <c r="C223" s="10" t="inlineStr">
        <is>
          <t>D03-DOC-PFO-001-T04</t>
        </is>
      </c>
      <c r="D223" s="10" t="inlineStr">
        <is>
          <t>valor</t>
        </is>
      </c>
      <c r="E223" s="10" t="inlineStr">
        <is>
          <t>Definir, validar e manter: Valor</t>
        </is>
      </c>
      <c r="F223" s="10" t="n"/>
      <c r="G223" s="10" t="b">
        <v>1</v>
      </c>
      <c r="H223" s="10" t="b">
        <v>1</v>
      </c>
      <c r="I223" s="10" t="inlineStr">
        <is>
          <t>DERIVED</t>
        </is>
      </c>
      <c r="J223" s="10" t="inlineStr">
        <is>
          <t>PROPOSED</t>
        </is>
      </c>
      <c r="K223" s="10" t="inlineStr">
        <is>
          <t>DERIVED</t>
        </is>
      </c>
      <c r="L223" s="10" t="inlineStr">
        <is>
          <t>baixa</t>
        </is>
      </c>
      <c r="M223" s="10" t="inlineStr">
        <is>
          <t>["D03-DOC-PFO-001.OPEX.VALOR"]</t>
        </is>
      </c>
    </row>
    <row r="224">
      <c r="A224" s="10" t="inlineStr">
        <is>
          <t>D03-DOC-PFO-001.OPEX.PERIODICIDADE</t>
        </is>
      </c>
      <c r="B224" s="10" t="inlineStr">
        <is>
          <t>D03-DOC-PFO-001</t>
        </is>
      </c>
      <c r="C224" s="10" t="inlineStr">
        <is>
          <t>D03-DOC-PFO-001-T04</t>
        </is>
      </c>
      <c r="D224" s="10" t="inlineStr">
        <is>
          <t>periodicidade</t>
        </is>
      </c>
      <c r="E224" s="10" t="inlineStr">
        <is>
          <t>Definir, validar e manter: Periodicidade</t>
        </is>
      </c>
      <c r="F224" s="10" t="n"/>
      <c r="G224" s="10" t="b">
        <v>1</v>
      </c>
      <c r="H224" s="10" t="b">
        <v>1</v>
      </c>
      <c r="I224" s="10" t="inlineStr">
        <is>
          <t>DERIVED</t>
        </is>
      </c>
      <c r="J224" s="10" t="inlineStr">
        <is>
          <t>PROPOSED</t>
        </is>
      </c>
      <c r="K224" s="10" t="inlineStr">
        <is>
          <t>DERIVED</t>
        </is>
      </c>
      <c r="L224" s="10" t="inlineStr">
        <is>
          <t>baixa</t>
        </is>
      </c>
      <c r="M224" s="10" t="inlineStr">
        <is>
          <t>["D03-DOC-PFO-001.OPEX.PERIODICIDADE"]</t>
        </is>
      </c>
    </row>
    <row r="225">
      <c r="A225" s="10" t="inlineStr">
        <is>
          <t>D03-DOC-PFO-001.BUDGET.ORCAMENTO_POR_AREA</t>
        </is>
      </c>
      <c r="B225" s="10" t="inlineStr">
        <is>
          <t>D03-DOC-PFO-001</t>
        </is>
      </c>
      <c r="C225" s="10" t="inlineStr">
        <is>
          <t>D03-DOC-PFO-001-T05</t>
        </is>
      </c>
      <c r="D225" s="10" t="inlineStr">
        <is>
          <t>orcamento_por_area</t>
        </is>
      </c>
      <c r="E225" s="10" t="inlineStr">
        <is>
          <t>Definir, validar e manter: Orcamento Por Area</t>
        </is>
      </c>
      <c r="F225" s="10" t="n"/>
      <c r="G225" s="10" t="b">
        <v>1</v>
      </c>
      <c r="H225" s="10" t="b">
        <v>1</v>
      </c>
      <c r="I225" s="10" t="inlineStr">
        <is>
          <t>DERIVED</t>
        </is>
      </c>
      <c r="J225" s="10" t="inlineStr">
        <is>
          <t>PROPOSED</t>
        </is>
      </c>
      <c r="K225" s="10" t="inlineStr">
        <is>
          <t>DERIVED</t>
        </is>
      </c>
      <c r="L225" s="10" t="inlineStr">
        <is>
          <t>baixa</t>
        </is>
      </c>
      <c r="M225" s="10" t="inlineStr">
        <is>
          <t>["D03-DOC-PFO-001.BUDGET.ORCAMENTO_POR_AREA"]</t>
        </is>
      </c>
    </row>
    <row r="226">
      <c r="A226" s="10" t="inlineStr">
        <is>
          <t>D03-DOC-PFO-001.BUDGET.LIMITE</t>
        </is>
      </c>
      <c r="B226" s="10" t="inlineStr">
        <is>
          <t>D03-DOC-PFO-001</t>
        </is>
      </c>
      <c r="C226" s="10" t="inlineStr">
        <is>
          <t>D03-DOC-PFO-001-T05</t>
        </is>
      </c>
      <c r="D226" s="10" t="inlineStr">
        <is>
          <t>limite</t>
        </is>
      </c>
      <c r="E226" s="10" t="inlineStr">
        <is>
          <t>Definir, validar e manter: Limite</t>
        </is>
      </c>
      <c r="F226" s="10" t="n"/>
      <c r="G226" s="10" t="b">
        <v>1</v>
      </c>
      <c r="H226" s="10" t="b">
        <v>1</v>
      </c>
      <c r="I226" s="10" t="inlineStr">
        <is>
          <t>DERIVED</t>
        </is>
      </c>
      <c r="J226" s="10" t="inlineStr">
        <is>
          <t>PROPOSED</t>
        </is>
      </c>
      <c r="K226" s="10" t="inlineStr">
        <is>
          <t>DERIVED</t>
        </is>
      </c>
      <c r="L226" s="10" t="inlineStr">
        <is>
          <t>baixa</t>
        </is>
      </c>
      <c r="M226" s="10" t="inlineStr">
        <is>
          <t>["D03-DOC-PFO-001.BUDGET.LIMITE"]</t>
        </is>
      </c>
    </row>
    <row r="227">
      <c r="A227" s="10" t="inlineStr">
        <is>
          <t>D03-DOC-PFO-001.BUDGET.REALIZADO</t>
        </is>
      </c>
      <c r="B227" s="10" t="inlineStr">
        <is>
          <t>D03-DOC-PFO-001</t>
        </is>
      </c>
      <c r="C227" s="10" t="inlineStr">
        <is>
          <t>D03-DOC-PFO-001-T05</t>
        </is>
      </c>
      <c r="D227" s="10" t="inlineStr">
        <is>
          <t>realizado</t>
        </is>
      </c>
      <c r="E227" s="10" t="inlineStr">
        <is>
          <t>Definir, validar e manter: Realizado</t>
        </is>
      </c>
      <c r="F227" s="10" t="n"/>
      <c r="G227" s="10" t="b">
        <v>1</v>
      </c>
      <c r="H227" s="10" t="b">
        <v>1</v>
      </c>
      <c r="I227" s="10" t="inlineStr">
        <is>
          <t>DERIVED</t>
        </is>
      </c>
      <c r="J227" s="10" t="inlineStr">
        <is>
          <t>PROPOSED</t>
        </is>
      </c>
      <c r="K227" s="10" t="inlineStr">
        <is>
          <t>DERIVED</t>
        </is>
      </c>
      <c r="L227" s="10" t="inlineStr">
        <is>
          <t>baixa</t>
        </is>
      </c>
      <c r="M227" s="10" t="inlineStr">
        <is>
          <t>["D03-DOC-PFO-001.BUDGET.REALIZADO"]</t>
        </is>
      </c>
    </row>
    <row r="228">
      <c r="A228" s="10" t="inlineStr">
        <is>
          <t>D03-DOC-PFO-001.CASHFLOW.ENTRADAS</t>
        </is>
      </c>
      <c r="B228" s="10" t="inlineStr">
        <is>
          <t>D03-DOC-PFO-001</t>
        </is>
      </c>
      <c r="C228" s="10" t="inlineStr">
        <is>
          <t>D03-DOC-PFO-001-T06</t>
        </is>
      </c>
      <c r="D228" s="10" t="inlineStr">
        <is>
          <t>entradas</t>
        </is>
      </c>
      <c r="E228" s="10" t="inlineStr">
        <is>
          <t>Definir, validar e manter: Entradas</t>
        </is>
      </c>
      <c r="F228" s="10" t="n"/>
      <c r="G228" s="10" t="b">
        <v>1</v>
      </c>
      <c r="H228" s="10" t="b">
        <v>1</v>
      </c>
      <c r="I228" s="10" t="inlineStr">
        <is>
          <t>DERIVED</t>
        </is>
      </c>
      <c r="J228" s="10" t="inlineStr">
        <is>
          <t>PROPOSED</t>
        </is>
      </c>
      <c r="K228" s="10" t="inlineStr">
        <is>
          <t>DERIVED</t>
        </is>
      </c>
      <c r="L228" s="10" t="inlineStr">
        <is>
          <t>baixa</t>
        </is>
      </c>
      <c r="M228" s="10" t="inlineStr">
        <is>
          <t>["D03-DOC-PFO-001.CASHFLOW.ENTRADAS"]</t>
        </is>
      </c>
    </row>
    <row r="229">
      <c r="A229" s="10" t="inlineStr">
        <is>
          <t>D03-DOC-PFO-001.CASHFLOW.SAIDAS</t>
        </is>
      </c>
      <c r="B229" s="10" t="inlineStr">
        <is>
          <t>D03-DOC-PFO-001</t>
        </is>
      </c>
      <c r="C229" s="10" t="inlineStr">
        <is>
          <t>D03-DOC-PFO-001-T06</t>
        </is>
      </c>
      <c r="D229" s="10" t="inlineStr">
        <is>
          <t>saidas</t>
        </is>
      </c>
      <c r="E229" s="10" t="inlineStr">
        <is>
          <t>Definir, validar e manter: Saidas</t>
        </is>
      </c>
      <c r="F229" s="10" t="n"/>
      <c r="G229" s="10" t="b">
        <v>1</v>
      </c>
      <c r="H229" s="10" t="b">
        <v>1</v>
      </c>
      <c r="I229" s="10" t="inlineStr">
        <is>
          <t>DERIVED</t>
        </is>
      </c>
      <c r="J229" s="10" t="inlineStr">
        <is>
          <t>PROPOSED</t>
        </is>
      </c>
      <c r="K229" s="10" t="inlineStr">
        <is>
          <t>DERIVED</t>
        </is>
      </c>
      <c r="L229" s="10" t="inlineStr">
        <is>
          <t>baixa</t>
        </is>
      </c>
      <c r="M229" s="10" t="inlineStr">
        <is>
          <t>["D03-DOC-PFO-001.CASHFLOW.SAIDAS"]</t>
        </is>
      </c>
    </row>
    <row r="230">
      <c r="A230" s="10" t="inlineStr">
        <is>
          <t>D03-DOC-PFO-001.CASHFLOW.SALDO</t>
        </is>
      </c>
      <c r="B230" s="10" t="inlineStr">
        <is>
          <t>D03-DOC-PFO-001</t>
        </is>
      </c>
      <c r="C230" s="10" t="inlineStr">
        <is>
          <t>D03-DOC-PFO-001-T06</t>
        </is>
      </c>
      <c r="D230" s="10" t="inlineStr">
        <is>
          <t>saldo</t>
        </is>
      </c>
      <c r="E230" s="10" t="inlineStr">
        <is>
          <t>Definir, validar e manter: Saldo</t>
        </is>
      </c>
      <c r="F230" s="10" t="n"/>
      <c r="G230" s="10" t="b">
        <v>1</v>
      </c>
      <c r="H230" s="10" t="b">
        <v>1</v>
      </c>
      <c r="I230" s="10" t="inlineStr">
        <is>
          <t>DERIVED</t>
        </is>
      </c>
      <c r="J230" s="10" t="inlineStr">
        <is>
          <t>PROPOSED</t>
        </is>
      </c>
      <c r="K230" s="10" t="inlineStr">
        <is>
          <t>DERIVED</t>
        </is>
      </c>
      <c r="L230" s="10" t="inlineStr">
        <is>
          <t>baixa</t>
        </is>
      </c>
      <c r="M230" s="10" t="inlineStr">
        <is>
          <t>["D03-DOC-PFO-001.CASHFLOW.SALDO"]</t>
        </is>
      </c>
    </row>
    <row r="231">
      <c r="A231" s="10" t="inlineStr">
        <is>
          <t>D03-DOC-PFO-001.RUNWAY.CAIXA_DISPONIVEL</t>
        </is>
      </c>
      <c r="B231" s="10" t="inlineStr">
        <is>
          <t>D03-DOC-PFO-001</t>
        </is>
      </c>
      <c r="C231" s="10" t="inlineStr">
        <is>
          <t>D03-DOC-PFO-001-T07</t>
        </is>
      </c>
      <c r="D231" s="10" t="inlineStr">
        <is>
          <t>caixa_disponivel</t>
        </is>
      </c>
      <c r="E231" s="10" t="inlineStr">
        <is>
          <t>Definir, validar e manter: Caixa Disponivel</t>
        </is>
      </c>
      <c r="F231" s="10" t="n"/>
      <c r="G231" s="10" t="b">
        <v>1</v>
      </c>
      <c r="H231" s="10" t="b">
        <v>1</v>
      </c>
      <c r="I231" s="10" t="inlineStr">
        <is>
          <t>DERIVED</t>
        </is>
      </c>
      <c r="J231" s="10" t="inlineStr">
        <is>
          <t>PROPOSED</t>
        </is>
      </c>
      <c r="K231" s="10" t="inlineStr">
        <is>
          <t>DERIVED</t>
        </is>
      </c>
      <c r="L231" s="10" t="inlineStr">
        <is>
          <t>baixa</t>
        </is>
      </c>
      <c r="M231" s="10" t="inlineStr">
        <is>
          <t>["D03-DOC-PFO-001.RUNWAY.CAIXA_DISPONIVEL"]</t>
        </is>
      </c>
    </row>
    <row r="232">
      <c r="A232" s="10" t="inlineStr">
        <is>
          <t>D03-DOC-PFO-001.RUNWAY.BURN_RATE</t>
        </is>
      </c>
      <c r="B232" s="10" t="inlineStr">
        <is>
          <t>D03-DOC-PFO-001</t>
        </is>
      </c>
      <c r="C232" s="10" t="inlineStr">
        <is>
          <t>D03-DOC-PFO-001-T07</t>
        </is>
      </c>
      <c r="D232" s="10" t="inlineStr">
        <is>
          <t>burn_rate</t>
        </is>
      </c>
      <c r="E232" s="10" t="inlineStr">
        <is>
          <t>Definir, validar e manter: Burn Rate</t>
        </is>
      </c>
      <c r="F232" s="10" t="n"/>
      <c r="G232" s="10" t="b">
        <v>1</v>
      </c>
      <c r="H232" s="10" t="b">
        <v>1</v>
      </c>
      <c r="I232" s="10" t="inlineStr">
        <is>
          <t>DERIVED</t>
        </is>
      </c>
      <c r="J232" s="10" t="inlineStr">
        <is>
          <t>PROPOSED</t>
        </is>
      </c>
      <c r="K232" s="10" t="inlineStr">
        <is>
          <t>DERIVED</t>
        </is>
      </c>
      <c r="L232" s="10" t="inlineStr">
        <is>
          <t>baixa</t>
        </is>
      </c>
      <c r="M232" s="10" t="inlineStr">
        <is>
          <t>["D03-DOC-PFO-001.RUNWAY.BURN_RATE"]</t>
        </is>
      </c>
    </row>
    <row r="233">
      <c r="A233" s="10" t="inlineStr">
        <is>
          <t>D03-DOC-PFO-001.RUNWAY.MESES</t>
        </is>
      </c>
      <c r="B233" s="10" t="inlineStr">
        <is>
          <t>D03-DOC-PFO-001</t>
        </is>
      </c>
      <c r="C233" s="10" t="inlineStr">
        <is>
          <t>D03-DOC-PFO-001-T07</t>
        </is>
      </c>
      <c r="D233" s="10" t="inlineStr">
        <is>
          <t>meses</t>
        </is>
      </c>
      <c r="E233" s="10" t="inlineStr">
        <is>
          <t>Definir, validar e manter: Meses</t>
        </is>
      </c>
      <c r="F233" s="10" t="n"/>
      <c r="G233" s="10" t="b">
        <v>1</v>
      </c>
      <c r="H233" s="10" t="b">
        <v>1</v>
      </c>
      <c r="I233" s="10" t="inlineStr">
        <is>
          <t>DERIVED</t>
        </is>
      </c>
      <c r="J233" s="10" t="inlineStr">
        <is>
          <t>PROPOSED</t>
        </is>
      </c>
      <c r="K233" s="10" t="inlineStr">
        <is>
          <t>DERIVED</t>
        </is>
      </c>
      <c r="L233" s="10" t="inlineStr">
        <is>
          <t>baixa</t>
        </is>
      </c>
      <c r="M233" s="10" t="inlineStr">
        <is>
          <t>["D03-DOC-PFO-001.RUNWAY.MESES"]</t>
        </is>
      </c>
    </row>
    <row r="234">
      <c r="A234" s="10" t="inlineStr">
        <is>
          <t>D03-DOC-PFO-001.FINANCING.CAPITAL_PROPRIO</t>
        </is>
      </c>
      <c r="B234" s="10" t="inlineStr">
        <is>
          <t>D03-DOC-PFO-001</t>
        </is>
      </c>
      <c r="C234" s="10" t="inlineStr">
        <is>
          <t>D03-DOC-PFO-001-T08</t>
        </is>
      </c>
      <c r="D234" s="10" t="inlineStr">
        <is>
          <t>capital_proprio</t>
        </is>
      </c>
      <c r="E234" s="10" t="inlineStr">
        <is>
          <t>Definir, validar e manter: Capital Proprio</t>
        </is>
      </c>
      <c r="F234" s="10" t="n"/>
      <c r="G234" s="10" t="b">
        <v>1</v>
      </c>
      <c r="H234" s="10" t="b">
        <v>1</v>
      </c>
      <c r="I234" s="10" t="inlineStr">
        <is>
          <t>DERIVED</t>
        </is>
      </c>
      <c r="J234" s="10" t="inlineStr">
        <is>
          <t>PROPOSED</t>
        </is>
      </c>
      <c r="K234" s="10" t="inlineStr">
        <is>
          <t>DERIVED</t>
        </is>
      </c>
      <c r="L234" s="10" t="inlineStr">
        <is>
          <t>baixa</t>
        </is>
      </c>
      <c r="M234" s="10" t="inlineStr">
        <is>
          <t>["D03-DOC-PFO-001.FINANCING.CAPITAL_PROPRIO"]</t>
        </is>
      </c>
    </row>
    <row r="235">
      <c r="A235" s="10" t="inlineStr">
        <is>
          <t>D03-DOC-PFO-001.FINANCING.DIVIDA</t>
        </is>
      </c>
      <c r="B235" s="10" t="inlineStr">
        <is>
          <t>D03-DOC-PFO-001</t>
        </is>
      </c>
      <c r="C235" s="10" t="inlineStr">
        <is>
          <t>D03-DOC-PFO-001-T08</t>
        </is>
      </c>
      <c r="D235" s="10" t="inlineStr">
        <is>
          <t>divida</t>
        </is>
      </c>
      <c r="E235" s="10" t="inlineStr">
        <is>
          <t>Definir, validar e manter: Divida</t>
        </is>
      </c>
      <c r="F235" s="10" t="n"/>
      <c r="G235" s="10" t="b">
        <v>1</v>
      </c>
      <c r="H235" s="10" t="b">
        <v>1</v>
      </c>
      <c r="I235" s="10" t="inlineStr">
        <is>
          <t>DERIVED</t>
        </is>
      </c>
      <c r="J235" s="10" t="inlineStr">
        <is>
          <t>PROPOSED</t>
        </is>
      </c>
      <c r="K235" s="10" t="inlineStr">
        <is>
          <t>DERIVED</t>
        </is>
      </c>
      <c r="L235" s="10" t="inlineStr">
        <is>
          <t>baixa</t>
        </is>
      </c>
      <c r="M235" s="10" t="inlineStr">
        <is>
          <t>["D03-DOC-PFO-001.FINANCING.DIVIDA"]</t>
        </is>
      </c>
    </row>
    <row r="236">
      <c r="A236" s="10" t="inlineStr">
        <is>
          <t>D03-DOC-PFO-001.FINANCING.INVESTIMENTO</t>
        </is>
      </c>
      <c r="B236" s="10" t="inlineStr">
        <is>
          <t>D03-DOC-PFO-001</t>
        </is>
      </c>
      <c r="C236" s="10" t="inlineStr">
        <is>
          <t>D03-DOC-PFO-001-T08</t>
        </is>
      </c>
      <c r="D236" s="10" t="inlineStr">
        <is>
          <t>investimento</t>
        </is>
      </c>
      <c r="E236" s="10" t="inlineStr">
        <is>
          <t>Definir, validar e manter: Investimento</t>
        </is>
      </c>
      <c r="F236" s="10" t="n"/>
      <c r="G236" s="10" t="b">
        <v>1</v>
      </c>
      <c r="H236" s="10" t="b">
        <v>1</v>
      </c>
      <c r="I236" s="10" t="inlineStr">
        <is>
          <t>DERIVED</t>
        </is>
      </c>
      <c r="J236" s="10" t="inlineStr">
        <is>
          <t>PROPOSED</t>
        </is>
      </c>
      <c r="K236" s="10" t="inlineStr">
        <is>
          <t>DERIVED</t>
        </is>
      </c>
      <c r="L236" s="10" t="inlineStr">
        <is>
          <t>baixa</t>
        </is>
      </c>
      <c r="M236" s="10" t="inlineStr">
        <is>
          <t>["D03-DOC-PFO-001.FINANCING.INVESTIMENTO"]</t>
        </is>
      </c>
    </row>
    <row r="237">
      <c r="A237" s="10" t="inlineStr">
        <is>
          <t>D03-DOC-PFO-001.PRICING.PRECOS</t>
        </is>
      </c>
      <c r="B237" s="10" t="inlineStr">
        <is>
          <t>D03-DOC-PFO-001</t>
        </is>
      </c>
      <c r="C237" s="10" t="inlineStr">
        <is>
          <t>D03-DOC-PFO-001-T09</t>
        </is>
      </c>
      <c r="D237" s="10" t="inlineStr">
        <is>
          <t>precos</t>
        </is>
      </c>
      <c r="E237" s="10" t="inlineStr">
        <is>
          <t>Definir, validar e manter: Precos</t>
        </is>
      </c>
      <c r="F237" s="10" t="n"/>
      <c r="G237" s="10" t="b">
        <v>1</v>
      </c>
      <c r="H237" s="10" t="b">
        <v>1</v>
      </c>
      <c r="I237" s="10" t="inlineStr">
        <is>
          <t>DERIVED</t>
        </is>
      </c>
      <c r="J237" s="10" t="inlineStr">
        <is>
          <t>PROPOSED</t>
        </is>
      </c>
      <c r="K237" s="10" t="inlineStr">
        <is>
          <t>DERIVED</t>
        </is>
      </c>
      <c r="L237" s="10" t="inlineStr">
        <is>
          <t>baixa</t>
        </is>
      </c>
      <c r="M237" s="10" t="inlineStr">
        <is>
          <t>["D03-DOC-PFO-001.PRICING.PRECOS"]</t>
        </is>
      </c>
    </row>
    <row r="238">
      <c r="A238" s="10" t="inlineStr">
        <is>
          <t>D03-DOC-PFO-001.PRICING.DESCONTOS</t>
        </is>
      </c>
      <c r="B238" s="10" t="inlineStr">
        <is>
          <t>D03-DOC-PFO-001</t>
        </is>
      </c>
      <c r="C238" s="10" t="inlineStr">
        <is>
          <t>D03-DOC-PFO-001-T09</t>
        </is>
      </c>
      <c r="D238" s="10" t="inlineStr">
        <is>
          <t>descontos</t>
        </is>
      </c>
      <c r="E238" s="10" t="inlineStr">
        <is>
          <t>Definir, validar e manter: Descontos</t>
        </is>
      </c>
      <c r="F238" s="10" t="n"/>
      <c r="G238" s="10" t="b">
        <v>1</v>
      </c>
      <c r="H238" s="10" t="b">
        <v>1</v>
      </c>
      <c r="I238" s="10" t="inlineStr">
        <is>
          <t>DERIVED</t>
        </is>
      </c>
      <c r="J238" s="10" t="inlineStr">
        <is>
          <t>PROPOSED</t>
        </is>
      </c>
      <c r="K238" s="10" t="inlineStr">
        <is>
          <t>DERIVED</t>
        </is>
      </c>
      <c r="L238" s="10" t="inlineStr">
        <is>
          <t>baixa</t>
        </is>
      </c>
      <c r="M238" s="10" t="inlineStr">
        <is>
          <t>["D03-DOC-PFO-001.PRICING.DESCONTOS"]</t>
        </is>
      </c>
    </row>
    <row r="239">
      <c r="A239" s="10" t="inlineStr">
        <is>
          <t>D03-DOC-PFO-001.PRICING.IMPOSTOS</t>
        </is>
      </c>
      <c r="B239" s="10" t="inlineStr">
        <is>
          <t>D03-DOC-PFO-001</t>
        </is>
      </c>
      <c r="C239" s="10" t="inlineStr">
        <is>
          <t>D03-DOC-PFO-001-T09</t>
        </is>
      </c>
      <c r="D239" s="10" t="inlineStr">
        <is>
          <t>impostos</t>
        </is>
      </c>
      <c r="E239" s="10" t="inlineStr">
        <is>
          <t>Definir, validar e manter: Impostos</t>
        </is>
      </c>
      <c r="F239" s="10" t="n"/>
      <c r="G239" s="10" t="b">
        <v>1</v>
      </c>
      <c r="H239" s="10" t="b">
        <v>1</v>
      </c>
      <c r="I239" s="10" t="inlineStr">
        <is>
          <t>DERIVED</t>
        </is>
      </c>
      <c r="J239" s="10" t="inlineStr">
        <is>
          <t>PROPOSED</t>
        </is>
      </c>
      <c r="K239" s="10" t="inlineStr">
        <is>
          <t>DERIVED</t>
        </is>
      </c>
      <c r="L239" s="10" t="inlineStr">
        <is>
          <t>baixa</t>
        </is>
      </c>
      <c r="M239" s="10" t="inlineStr">
        <is>
          <t>["D03-DOC-PFO-001.PRICING.IMPOSTOS"]</t>
        </is>
      </c>
    </row>
    <row r="240">
      <c r="A240" s="10" t="inlineStr">
        <is>
          <t>D03-DOC-PFO-001.SCENARIOS.BASE</t>
        </is>
      </c>
      <c r="B240" s="10" t="inlineStr">
        <is>
          <t>D03-DOC-PFO-001</t>
        </is>
      </c>
      <c r="C240" s="10" t="inlineStr">
        <is>
          <t>D03-DOC-PFO-001-T10</t>
        </is>
      </c>
      <c r="D240" s="10" t="inlineStr">
        <is>
          <t>base</t>
        </is>
      </c>
      <c r="E240" s="10" t="inlineStr">
        <is>
          <t>Definir, validar e manter: Base</t>
        </is>
      </c>
      <c r="F240" s="10" t="n"/>
      <c r="G240" s="10" t="b">
        <v>1</v>
      </c>
      <c r="H240" s="10" t="b">
        <v>1</v>
      </c>
      <c r="I240" s="10" t="inlineStr">
        <is>
          <t>DERIVED</t>
        </is>
      </c>
      <c r="J240" s="10" t="inlineStr">
        <is>
          <t>PROPOSED</t>
        </is>
      </c>
      <c r="K240" s="10" t="inlineStr">
        <is>
          <t>DERIVED</t>
        </is>
      </c>
      <c r="L240" s="10" t="inlineStr">
        <is>
          <t>baixa</t>
        </is>
      </c>
      <c r="M240" s="10" t="inlineStr">
        <is>
          <t>["D03-DOC-PFO-001.SCENARIOS.BASE"]</t>
        </is>
      </c>
    </row>
    <row r="241">
      <c r="A241" s="10" t="inlineStr">
        <is>
          <t>D03-DOC-PFO-001.SCENARIOS.OTIMISTA</t>
        </is>
      </c>
      <c r="B241" s="10" t="inlineStr">
        <is>
          <t>D03-DOC-PFO-001</t>
        </is>
      </c>
      <c r="C241" s="10" t="inlineStr">
        <is>
          <t>D03-DOC-PFO-001-T10</t>
        </is>
      </c>
      <c r="D241" s="10" t="inlineStr">
        <is>
          <t>otimista</t>
        </is>
      </c>
      <c r="E241" s="10" t="inlineStr">
        <is>
          <t>Definir, validar e manter: Otimista</t>
        </is>
      </c>
      <c r="F241" s="10" t="n"/>
      <c r="G241" s="10" t="b">
        <v>1</v>
      </c>
      <c r="H241" s="10" t="b">
        <v>1</v>
      </c>
      <c r="I241" s="10" t="inlineStr">
        <is>
          <t>DERIVED</t>
        </is>
      </c>
      <c r="J241" s="10" t="inlineStr">
        <is>
          <t>PROPOSED</t>
        </is>
      </c>
      <c r="K241" s="10" t="inlineStr">
        <is>
          <t>DERIVED</t>
        </is>
      </c>
      <c r="L241" s="10" t="inlineStr">
        <is>
          <t>baixa</t>
        </is>
      </c>
      <c r="M241" s="10" t="inlineStr">
        <is>
          <t>["D03-DOC-PFO-001.SCENARIOS.OTIMISTA"]</t>
        </is>
      </c>
    </row>
    <row r="242">
      <c r="A242" s="10" t="inlineStr">
        <is>
          <t>D03-DOC-PFO-001.SCENARIOS.CONSERVADOR</t>
        </is>
      </c>
      <c r="B242" s="10" t="inlineStr">
        <is>
          <t>D03-DOC-PFO-001</t>
        </is>
      </c>
      <c r="C242" s="10" t="inlineStr">
        <is>
          <t>D03-DOC-PFO-001-T10</t>
        </is>
      </c>
      <c r="D242" s="10" t="inlineStr">
        <is>
          <t>conservador</t>
        </is>
      </c>
      <c r="E242" s="10" t="inlineStr">
        <is>
          <t>Definir, validar e manter: Conservador</t>
        </is>
      </c>
      <c r="F242" s="10" t="n"/>
      <c r="G242" s="10" t="b">
        <v>1</v>
      </c>
      <c r="H242" s="10" t="b">
        <v>1</v>
      </c>
      <c r="I242" s="10" t="inlineStr">
        <is>
          <t>DERIVED</t>
        </is>
      </c>
      <c r="J242" s="10" t="inlineStr">
        <is>
          <t>PROPOSED</t>
        </is>
      </c>
      <c r="K242" s="10" t="inlineStr">
        <is>
          <t>DERIVED</t>
        </is>
      </c>
      <c r="L242" s="10" t="inlineStr">
        <is>
          <t>baixa</t>
        </is>
      </c>
      <c r="M242" s="10" t="inlineStr">
        <is>
          <t>["D03-DOC-PFO-001.SCENARIOS.CONSERVADOR"]</t>
        </is>
      </c>
    </row>
    <row r="243">
      <c r="A243" s="10" t="inlineStr">
        <is>
          <t>D03-DOC-PFO-001.CONTROLS.APROVACAO_DE_GASTOS</t>
        </is>
      </c>
      <c r="B243" s="10" t="inlineStr">
        <is>
          <t>D03-DOC-PFO-001</t>
        </is>
      </c>
      <c r="C243" s="10" t="inlineStr">
        <is>
          <t>D03-DOC-PFO-001-T11</t>
        </is>
      </c>
      <c r="D243" s="10" t="inlineStr">
        <is>
          <t>aprovacao_de_gastos</t>
        </is>
      </c>
      <c r="E243" s="10" t="inlineStr">
        <is>
          <t>Definir, validar e manter: Aprovacao De Gastos</t>
        </is>
      </c>
      <c r="F243" s="10" t="n"/>
      <c r="G243" s="10" t="b">
        <v>1</v>
      </c>
      <c r="H243" s="10" t="b">
        <v>1</v>
      </c>
      <c r="I243" s="10" t="inlineStr">
        <is>
          <t>DERIVED</t>
        </is>
      </c>
      <c r="J243" s="10" t="inlineStr">
        <is>
          <t>PROPOSED</t>
        </is>
      </c>
      <c r="K243" s="10" t="inlineStr">
        <is>
          <t>DERIVED</t>
        </is>
      </c>
      <c r="L243" s="10" t="inlineStr">
        <is>
          <t>baixa</t>
        </is>
      </c>
      <c r="M243" s="10" t="inlineStr">
        <is>
          <t>["D03-DOC-PFO-001.CONTROLS.APROVACAO_DE_GASTOS"]</t>
        </is>
      </c>
    </row>
    <row r="244">
      <c r="A244" s="10" t="inlineStr">
        <is>
          <t>D03-DOC-PFO-001.CONTROLS.CONCILIACAO</t>
        </is>
      </c>
      <c r="B244" s="10" t="inlineStr">
        <is>
          <t>D03-DOC-PFO-001</t>
        </is>
      </c>
      <c r="C244" s="10" t="inlineStr">
        <is>
          <t>D03-DOC-PFO-001-T11</t>
        </is>
      </c>
      <c r="D244" s="10" t="inlineStr">
        <is>
          <t>conciliacao</t>
        </is>
      </c>
      <c r="E244" s="10" t="inlineStr">
        <is>
          <t>Definir, validar e manter: Conciliacao</t>
        </is>
      </c>
      <c r="F244" s="10" t="n"/>
      <c r="G244" s="10" t="b">
        <v>1</v>
      </c>
      <c r="H244" s="10" t="b">
        <v>1</v>
      </c>
      <c r="I244" s="10" t="inlineStr">
        <is>
          <t>DERIVED</t>
        </is>
      </c>
      <c r="J244" s="10" t="inlineStr">
        <is>
          <t>PROPOSED</t>
        </is>
      </c>
      <c r="K244" s="10" t="inlineStr">
        <is>
          <t>DERIVED</t>
        </is>
      </c>
      <c r="L244" s="10" t="inlineStr">
        <is>
          <t>baixa</t>
        </is>
      </c>
      <c r="M244" s="10" t="inlineStr">
        <is>
          <t>["D03-DOC-PFO-001.CONTROLS.CONCILIACAO"]</t>
        </is>
      </c>
    </row>
    <row r="245">
      <c r="A245" s="10" t="inlineStr">
        <is>
          <t>D03-DOC-PFO-001.INDICATORS.RECEITA</t>
        </is>
      </c>
      <c r="B245" s="10" t="inlineStr">
        <is>
          <t>D03-DOC-PFO-001</t>
        </is>
      </c>
      <c r="C245" s="10" t="inlineStr">
        <is>
          <t>D03-DOC-PFO-001-T12</t>
        </is>
      </c>
      <c r="D245" s="10" t="inlineStr">
        <is>
          <t>receita</t>
        </is>
      </c>
      <c r="E245" s="10" t="inlineStr">
        <is>
          <t>Definir, validar e manter: Receita</t>
        </is>
      </c>
      <c r="F245" s="10" t="n"/>
      <c r="G245" s="10" t="b">
        <v>1</v>
      </c>
      <c r="H245" s="10" t="b">
        <v>1</v>
      </c>
      <c r="I245" s="10" t="inlineStr">
        <is>
          <t>DERIVED</t>
        </is>
      </c>
      <c r="J245" s="10" t="inlineStr">
        <is>
          <t>PROPOSED</t>
        </is>
      </c>
      <c r="K245" s="10" t="inlineStr">
        <is>
          <t>DERIVED</t>
        </is>
      </c>
      <c r="L245" s="10" t="inlineStr">
        <is>
          <t>baixa</t>
        </is>
      </c>
      <c r="M245" s="10" t="inlineStr">
        <is>
          <t>["D03-DOC-PFO-001.INDICATORS.RECEITA"]</t>
        </is>
      </c>
    </row>
    <row r="246">
      <c r="A246" s="10" t="inlineStr">
        <is>
          <t>D03-DOC-PFO-001.INDICATORS.MARGEM</t>
        </is>
      </c>
      <c r="B246" s="10" t="inlineStr">
        <is>
          <t>D03-DOC-PFO-001</t>
        </is>
      </c>
      <c r="C246" s="10" t="inlineStr">
        <is>
          <t>D03-DOC-PFO-001-T12</t>
        </is>
      </c>
      <c r="D246" s="10" t="inlineStr">
        <is>
          <t>margem</t>
        </is>
      </c>
      <c r="E246" s="10" t="inlineStr">
        <is>
          <t>Definir, validar e manter: Margem</t>
        </is>
      </c>
      <c r="F246" s="10" t="n"/>
      <c r="G246" s="10" t="b">
        <v>1</v>
      </c>
      <c r="H246" s="10" t="b">
        <v>1</v>
      </c>
      <c r="I246" s="10" t="inlineStr">
        <is>
          <t>EXTERNAL</t>
        </is>
      </c>
      <c r="J246" s="10" t="inlineStr">
        <is>
          <t>EXTERNAL_EVIDENCE</t>
        </is>
      </c>
      <c r="K246" s="10" t="inlineStr">
        <is>
          <t>EXTERNAL</t>
        </is>
      </c>
      <c r="L246" s="10" t="inlineStr">
        <is>
          <t>media</t>
        </is>
      </c>
      <c r="M246" s="10" t="inlineStr">
        <is>
          <t>["D03-DOC-PFO-001.INDICATORS.MARGEM"]</t>
        </is>
      </c>
    </row>
    <row r="247">
      <c r="A247" s="10" t="inlineStr">
        <is>
          <t>D03-DOC-PFO-001.INDICATORS.BURN</t>
        </is>
      </c>
      <c r="B247" s="10" t="inlineStr">
        <is>
          <t>D03-DOC-PFO-001</t>
        </is>
      </c>
      <c r="C247" s="10" t="inlineStr">
        <is>
          <t>D03-DOC-PFO-001-T12</t>
        </is>
      </c>
      <c r="D247" s="10" t="inlineStr">
        <is>
          <t>burn</t>
        </is>
      </c>
      <c r="E247" s="10" t="inlineStr">
        <is>
          <t>Definir, validar e manter: Burn</t>
        </is>
      </c>
      <c r="F247" s="10" t="n"/>
      <c r="G247" s="10" t="b">
        <v>1</v>
      </c>
      <c r="H247" s="10" t="b">
        <v>1</v>
      </c>
      <c r="I247" s="10" t="inlineStr">
        <is>
          <t>DERIVED</t>
        </is>
      </c>
      <c r="J247" s="10" t="inlineStr">
        <is>
          <t>PROPOSED</t>
        </is>
      </c>
      <c r="K247" s="10" t="inlineStr">
        <is>
          <t>DERIVED</t>
        </is>
      </c>
      <c r="L247" s="10" t="inlineStr">
        <is>
          <t>baixa</t>
        </is>
      </c>
      <c r="M247" s="10" t="inlineStr">
        <is>
          <t>["D03-DOC-PFO-001.INDICATORS.BURN"]</t>
        </is>
      </c>
    </row>
    <row r="248">
      <c r="A248" s="10" t="inlineStr">
        <is>
          <t>D03-DOC-PFO-001.INDICATORS.RUNWAY</t>
        </is>
      </c>
      <c r="B248" s="10" t="inlineStr">
        <is>
          <t>D03-DOC-PFO-001</t>
        </is>
      </c>
      <c r="C248" s="10" t="inlineStr">
        <is>
          <t>D03-DOC-PFO-001-T12</t>
        </is>
      </c>
      <c r="D248" s="10" t="inlineStr">
        <is>
          <t>runway</t>
        </is>
      </c>
      <c r="E248" s="10" t="inlineStr">
        <is>
          <t>Definir, validar e manter: Runway</t>
        </is>
      </c>
      <c r="F248" s="10" t="n"/>
      <c r="G248" s="10" t="b">
        <v>1</v>
      </c>
      <c r="H248" s="10" t="b">
        <v>1</v>
      </c>
      <c r="I248" s="10" t="inlineStr">
        <is>
          <t>DERIVED</t>
        </is>
      </c>
      <c r="J248" s="10" t="inlineStr">
        <is>
          <t>PROPOSED</t>
        </is>
      </c>
      <c r="K248" s="10" t="inlineStr">
        <is>
          <t>DERIVED</t>
        </is>
      </c>
      <c r="L248" s="10" t="inlineStr">
        <is>
          <t>baixa</t>
        </is>
      </c>
      <c r="M248" s="10" t="inlineStr">
        <is>
          <t>["D03-DOC-PFO-001.INDICATORS.RUNWAY"]</t>
        </is>
      </c>
    </row>
    <row r="249">
      <c r="A249" s="10" t="inlineStr">
        <is>
          <t>D03-DOC-PFO-001.INDICATORS.RESULTADO</t>
        </is>
      </c>
      <c r="B249" s="10" t="inlineStr">
        <is>
          <t>D03-DOC-PFO-001</t>
        </is>
      </c>
      <c r="C249" s="10" t="inlineStr">
        <is>
          <t>D03-DOC-PFO-001-T12</t>
        </is>
      </c>
      <c r="D249" s="10" t="inlineStr">
        <is>
          <t>resultado</t>
        </is>
      </c>
      <c r="E249" s="10" t="inlineStr">
        <is>
          <t>Definir, validar e manter: Resultado</t>
        </is>
      </c>
      <c r="F249" s="10" t="n"/>
      <c r="G249" s="10" t="b">
        <v>1</v>
      </c>
      <c r="H249" s="10" t="b">
        <v>1</v>
      </c>
      <c r="I249" s="10" t="inlineStr">
        <is>
          <t>DERIVED</t>
        </is>
      </c>
      <c r="J249" s="10" t="inlineStr">
        <is>
          <t>PROPOSED</t>
        </is>
      </c>
      <c r="K249" s="10" t="inlineStr">
        <is>
          <t>DERIVED</t>
        </is>
      </c>
      <c r="L249" s="10" t="inlineStr">
        <is>
          <t>baixa</t>
        </is>
      </c>
      <c r="M249" s="10" t="inlineStr">
        <is>
          <t>["D03-DOC-PFO-001.INDICATORS.RESULTADO"]</t>
        </is>
      </c>
    </row>
    <row r="250">
      <c r="A250" s="10" t="inlineStr">
        <is>
          <t>D03-DOC-MFO-001.MODEL_INPUTS.PREMISSAS</t>
        </is>
      </c>
      <c r="B250" s="10" t="inlineStr">
        <is>
          <t>D03-DOC-MFO-001</t>
        </is>
      </c>
      <c r="C250" s="10" t="inlineStr">
        <is>
          <t>D03-DOC-MFO-001-T01</t>
        </is>
      </c>
      <c r="D250" s="10" t="inlineStr">
        <is>
          <t>premissas</t>
        </is>
      </c>
      <c r="E250" s="10" t="inlineStr">
        <is>
          <t>Definir, validar e manter: Premissas</t>
        </is>
      </c>
      <c r="F250" s="10" t="n"/>
      <c r="G250" s="10" t="b">
        <v>1</v>
      </c>
      <c r="H250" s="10" t="b">
        <v>1</v>
      </c>
      <c r="I250" s="10" t="inlineStr">
        <is>
          <t>DERIVED</t>
        </is>
      </c>
      <c r="J250" s="10" t="inlineStr">
        <is>
          <t>PROPOSED</t>
        </is>
      </c>
      <c r="K250" s="10" t="inlineStr">
        <is>
          <t>DERIVED</t>
        </is>
      </c>
      <c r="L250" s="10" t="inlineStr">
        <is>
          <t>baixa</t>
        </is>
      </c>
      <c r="M250" s="10" t="inlineStr">
        <is>
          <t>["D03-DOC-MFO-001.MODEL_INPUTS.PREMISSAS"]</t>
        </is>
      </c>
    </row>
    <row r="251">
      <c r="A251" s="10" t="inlineStr">
        <is>
          <t>D03-DOC-MFO-001.MODEL_INPUTS.DRIVERS</t>
        </is>
      </c>
      <c r="B251" s="10" t="inlineStr">
        <is>
          <t>D03-DOC-MFO-001</t>
        </is>
      </c>
      <c r="C251" s="10" t="inlineStr">
        <is>
          <t>D03-DOC-MFO-001-T01</t>
        </is>
      </c>
      <c r="D251" s="10" t="inlineStr">
        <is>
          <t>drivers</t>
        </is>
      </c>
      <c r="E251" s="10" t="inlineStr">
        <is>
          <t>Definir, validar e manter: Drivers</t>
        </is>
      </c>
      <c r="F251" s="10" t="n"/>
      <c r="G251" s="10" t="b">
        <v>1</v>
      </c>
      <c r="H251" s="10" t="b">
        <v>1</v>
      </c>
      <c r="I251" s="10" t="inlineStr">
        <is>
          <t>DERIVED</t>
        </is>
      </c>
      <c r="J251" s="10" t="inlineStr">
        <is>
          <t>PROPOSED</t>
        </is>
      </c>
      <c r="K251" s="10" t="inlineStr">
        <is>
          <t>DERIVED</t>
        </is>
      </c>
      <c r="L251" s="10" t="inlineStr">
        <is>
          <t>baixa</t>
        </is>
      </c>
      <c r="M251" s="10" t="inlineStr">
        <is>
          <t>["D03-DOC-MFO-001.MODEL_INPUTS.DRIVERS"]</t>
        </is>
      </c>
    </row>
    <row r="252">
      <c r="A252" s="10" t="inlineStr">
        <is>
          <t>D03-DOC-MFO-001.REVENUE_MODEL.PRODUTO</t>
        </is>
      </c>
      <c r="B252" s="10" t="inlineStr">
        <is>
          <t>D03-DOC-MFO-001</t>
        </is>
      </c>
      <c r="C252" s="10" t="inlineStr">
        <is>
          <t>D03-DOC-MFO-001-T02</t>
        </is>
      </c>
      <c r="D252" s="10" t="inlineStr">
        <is>
          <t>produto</t>
        </is>
      </c>
      <c r="E252" s="10" t="inlineStr">
        <is>
          <t>Definir, validar e manter: Produto</t>
        </is>
      </c>
      <c r="F252" s="10" t="n"/>
      <c r="G252" s="10" t="b">
        <v>1</v>
      </c>
      <c r="H252" s="10" t="b">
        <v>1</v>
      </c>
      <c r="I252" s="10" t="inlineStr">
        <is>
          <t>DERIVED</t>
        </is>
      </c>
      <c r="J252" s="10" t="inlineStr">
        <is>
          <t>PROPOSED</t>
        </is>
      </c>
      <c r="K252" s="10" t="inlineStr">
        <is>
          <t>DERIVED</t>
        </is>
      </c>
      <c r="L252" s="10" t="inlineStr">
        <is>
          <t>baixa</t>
        </is>
      </c>
      <c r="M252" s="10" t="inlineStr">
        <is>
          <t>["D03-DOC-MFO-001.REVENUE_MODEL.PRODUTO"]</t>
        </is>
      </c>
    </row>
    <row r="253">
      <c r="A253" s="10" t="inlineStr">
        <is>
          <t>D03-DOC-MFO-001.REVENUE_MODEL.UNIDADE</t>
        </is>
      </c>
      <c r="B253" s="10" t="inlineStr">
        <is>
          <t>D03-DOC-MFO-001</t>
        </is>
      </c>
      <c r="C253" s="10" t="inlineStr">
        <is>
          <t>D03-DOC-MFO-001-T02</t>
        </is>
      </c>
      <c r="D253" s="10" t="inlineStr">
        <is>
          <t>unidade</t>
        </is>
      </c>
      <c r="E253" s="10" t="inlineStr">
        <is>
          <t>Definir, validar e manter: Unidade</t>
        </is>
      </c>
      <c r="F253" s="10" t="n"/>
      <c r="G253" s="10" t="b">
        <v>1</v>
      </c>
      <c r="H253" s="10" t="b">
        <v>1</v>
      </c>
      <c r="I253" s="10" t="inlineStr">
        <is>
          <t>DERIVED</t>
        </is>
      </c>
      <c r="J253" s="10" t="inlineStr">
        <is>
          <t>PROPOSED</t>
        </is>
      </c>
      <c r="K253" s="10" t="inlineStr">
        <is>
          <t>DERIVED</t>
        </is>
      </c>
      <c r="L253" s="10" t="inlineStr">
        <is>
          <t>baixa</t>
        </is>
      </c>
      <c r="M253" s="10" t="inlineStr">
        <is>
          <t>["D03-DOC-MFO-001.REVENUE_MODEL.UNIDADE"]</t>
        </is>
      </c>
    </row>
    <row r="254">
      <c r="A254" s="10" t="inlineStr">
        <is>
          <t>D03-DOC-MFO-001.REVENUE_MODEL.VOLUME</t>
        </is>
      </c>
      <c r="B254" s="10" t="inlineStr">
        <is>
          <t>D03-DOC-MFO-001</t>
        </is>
      </c>
      <c r="C254" s="10" t="inlineStr">
        <is>
          <t>D03-DOC-MFO-001-T02</t>
        </is>
      </c>
      <c r="D254" s="10" t="inlineStr">
        <is>
          <t>volume</t>
        </is>
      </c>
      <c r="E254" s="10" t="inlineStr">
        <is>
          <t>Definir, validar e manter: Volume</t>
        </is>
      </c>
      <c r="F254" s="10" t="n"/>
      <c r="G254" s="10" t="b">
        <v>1</v>
      </c>
      <c r="H254" s="10" t="b">
        <v>1</v>
      </c>
      <c r="I254" s="10" t="inlineStr">
        <is>
          <t>DERIVED</t>
        </is>
      </c>
      <c r="J254" s="10" t="inlineStr">
        <is>
          <t>PROPOSED</t>
        </is>
      </c>
      <c r="K254" s="10" t="inlineStr">
        <is>
          <t>DERIVED</t>
        </is>
      </c>
      <c r="L254" s="10" t="inlineStr">
        <is>
          <t>baixa</t>
        </is>
      </c>
      <c r="M254" s="10" t="inlineStr">
        <is>
          <t>["D03-DOC-MFO-001.REVENUE_MODEL.VOLUME"]</t>
        </is>
      </c>
    </row>
    <row r="255">
      <c r="A255" s="10" t="inlineStr">
        <is>
          <t>D03-DOC-MFO-001.REVENUE_MODEL.PRECO</t>
        </is>
      </c>
      <c r="B255" s="10" t="inlineStr">
        <is>
          <t>D03-DOC-MFO-001</t>
        </is>
      </c>
      <c r="C255" s="10" t="inlineStr">
        <is>
          <t>D03-DOC-MFO-001-T02</t>
        </is>
      </c>
      <c r="D255" s="10" t="inlineStr">
        <is>
          <t>preco</t>
        </is>
      </c>
      <c r="E255" s="10" t="inlineStr">
        <is>
          <t>Definir, validar e manter: Preco</t>
        </is>
      </c>
      <c r="F255" s="10" t="n"/>
      <c r="G255" s="10" t="b">
        <v>1</v>
      </c>
      <c r="H255" s="10" t="b">
        <v>1</v>
      </c>
      <c r="I255" s="10" t="inlineStr">
        <is>
          <t>DERIVED</t>
        </is>
      </c>
      <c r="J255" s="10" t="inlineStr">
        <is>
          <t>PROPOSED</t>
        </is>
      </c>
      <c r="K255" s="10" t="inlineStr">
        <is>
          <t>DERIVED</t>
        </is>
      </c>
      <c r="L255" s="10" t="inlineStr">
        <is>
          <t>baixa</t>
        </is>
      </c>
      <c r="M255" s="10" t="inlineStr">
        <is>
          <t>["D03-DOC-MFO-001.REVENUE_MODEL.PRECO"]</t>
        </is>
      </c>
    </row>
    <row r="256">
      <c r="A256" s="10" t="inlineStr">
        <is>
          <t>D03-DOC-MFO-001.COST_MODEL.FIXOS</t>
        </is>
      </c>
      <c r="B256" s="10" t="inlineStr">
        <is>
          <t>D03-DOC-MFO-001</t>
        </is>
      </c>
      <c r="C256" s="10" t="inlineStr">
        <is>
          <t>D03-DOC-MFO-001-T03</t>
        </is>
      </c>
      <c r="D256" s="10" t="inlineStr">
        <is>
          <t>fixos</t>
        </is>
      </c>
      <c r="E256" s="10" t="inlineStr">
        <is>
          <t>Definir, validar e manter: Fixos</t>
        </is>
      </c>
      <c r="F256" s="10" t="n"/>
      <c r="G256" s="10" t="b">
        <v>1</v>
      </c>
      <c r="H256" s="10" t="b">
        <v>1</v>
      </c>
      <c r="I256" s="10" t="inlineStr">
        <is>
          <t>DERIVED</t>
        </is>
      </c>
      <c r="J256" s="10" t="inlineStr">
        <is>
          <t>PROPOSED</t>
        </is>
      </c>
      <c r="K256" s="10" t="inlineStr">
        <is>
          <t>DERIVED</t>
        </is>
      </c>
      <c r="L256" s="10" t="inlineStr">
        <is>
          <t>baixa</t>
        </is>
      </c>
      <c r="M256" s="10" t="inlineStr">
        <is>
          <t>["D03-DOC-MFO-001.COST_MODEL.FIXOS"]</t>
        </is>
      </c>
    </row>
    <row r="257">
      <c r="A257" s="10" t="inlineStr">
        <is>
          <t>D03-DOC-MFO-001.COST_MODEL.VARIAVEIS</t>
        </is>
      </c>
      <c r="B257" s="10" t="inlineStr">
        <is>
          <t>D03-DOC-MFO-001</t>
        </is>
      </c>
      <c r="C257" s="10" t="inlineStr">
        <is>
          <t>D03-DOC-MFO-001-T03</t>
        </is>
      </c>
      <c r="D257" s="10" t="inlineStr">
        <is>
          <t>variaveis</t>
        </is>
      </c>
      <c r="E257" s="10" t="inlineStr">
        <is>
          <t>Definir, validar e manter: Variaveis</t>
        </is>
      </c>
      <c r="F257" s="10" t="n"/>
      <c r="G257" s="10" t="b">
        <v>1</v>
      </c>
      <c r="H257" s="10" t="b">
        <v>1</v>
      </c>
      <c r="I257" s="10" t="inlineStr">
        <is>
          <t>DERIVED</t>
        </is>
      </c>
      <c r="J257" s="10" t="inlineStr">
        <is>
          <t>PROPOSED</t>
        </is>
      </c>
      <c r="K257" s="10" t="inlineStr">
        <is>
          <t>DERIVED</t>
        </is>
      </c>
      <c r="L257" s="10" t="inlineStr">
        <is>
          <t>baixa</t>
        </is>
      </c>
      <c r="M257" s="10" t="inlineStr">
        <is>
          <t>["D03-DOC-MFO-001.COST_MODEL.VARIAVEIS"]</t>
        </is>
      </c>
    </row>
    <row r="258">
      <c r="A258" s="10" t="inlineStr">
        <is>
          <t>D03-DOC-MFO-001.PNL.RECEITA</t>
        </is>
      </c>
      <c r="B258" s="10" t="inlineStr">
        <is>
          <t>D03-DOC-MFO-001</t>
        </is>
      </c>
      <c r="C258" s="10" t="inlineStr">
        <is>
          <t>D03-DOC-MFO-001-T04</t>
        </is>
      </c>
      <c r="D258" s="10" t="inlineStr">
        <is>
          <t>receita</t>
        </is>
      </c>
      <c r="E258" s="10" t="inlineStr">
        <is>
          <t>Definir, validar e manter: Receita</t>
        </is>
      </c>
      <c r="F258" s="10" t="n"/>
      <c r="G258" s="10" t="b">
        <v>1</v>
      </c>
      <c r="H258" s="10" t="b">
        <v>1</v>
      </c>
      <c r="I258" s="10" t="inlineStr">
        <is>
          <t>DERIVED</t>
        </is>
      </c>
      <c r="J258" s="10" t="inlineStr">
        <is>
          <t>PROPOSED</t>
        </is>
      </c>
      <c r="K258" s="10" t="inlineStr">
        <is>
          <t>DERIVED</t>
        </is>
      </c>
      <c r="L258" s="10" t="inlineStr">
        <is>
          <t>baixa</t>
        </is>
      </c>
      <c r="M258" s="10" t="inlineStr">
        <is>
          <t>["D03-DOC-MFO-001.PNL.RECEITA"]</t>
        </is>
      </c>
    </row>
    <row r="259">
      <c r="A259" s="10" t="inlineStr">
        <is>
          <t>D03-DOC-MFO-001.PNL.CUSTOS</t>
        </is>
      </c>
      <c r="B259" s="10" t="inlineStr">
        <is>
          <t>D03-DOC-MFO-001</t>
        </is>
      </c>
      <c r="C259" s="10" t="inlineStr">
        <is>
          <t>D03-DOC-MFO-001-T04</t>
        </is>
      </c>
      <c r="D259" s="10" t="inlineStr">
        <is>
          <t>custos</t>
        </is>
      </c>
      <c r="E259" s="10" t="inlineStr">
        <is>
          <t>Definir, validar e manter: Custos</t>
        </is>
      </c>
      <c r="F259" s="10" t="n"/>
      <c r="G259" s="10" t="b">
        <v>1</v>
      </c>
      <c r="H259" s="10" t="b">
        <v>1</v>
      </c>
      <c r="I259" s="10" t="inlineStr">
        <is>
          <t>DERIVED</t>
        </is>
      </c>
      <c r="J259" s="10" t="inlineStr">
        <is>
          <t>PROPOSED</t>
        </is>
      </c>
      <c r="K259" s="10" t="inlineStr">
        <is>
          <t>DERIVED</t>
        </is>
      </c>
      <c r="L259" s="10" t="inlineStr">
        <is>
          <t>baixa</t>
        </is>
      </c>
      <c r="M259" s="10" t="inlineStr">
        <is>
          <t>["D03-DOC-MFO-001.PNL.CUSTOS"]</t>
        </is>
      </c>
    </row>
    <row r="260">
      <c r="A260" s="10" t="inlineStr">
        <is>
          <t>D03-DOC-MFO-001.PNL.MARGEM</t>
        </is>
      </c>
      <c r="B260" s="10" t="inlineStr">
        <is>
          <t>D03-DOC-MFO-001</t>
        </is>
      </c>
      <c r="C260" s="10" t="inlineStr">
        <is>
          <t>D03-DOC-MFO-001-T04</t>
        </is>
      </c>
      <c r="D260" s="10" t="inlineStr">
        <is>
          <t>margem</t>
        </is>
      </c>
      <c r="E260" s="10" t="inlineStr">
        <is>
          <t>Definir, validar e manter: Margem</t>
        </is>
      </c>
      <c r="F260" s="10" t="n"/>
      <c r="G260" s="10" t="b">
        <v>1</v>
      </c>
      <c r="H260" s="10" t="b">
        <v>1</v>
      </c>
      <c r="I260" s="10" t="inlineStr">
        <is>
          <t>EXTERNAL</t>
        </is>
      </c>
      <c r="J260" s="10" t="inlineStr">
        <is>
          <t>EXTERNAL_EVIDENCE</t>
        </is>
      </c>
      <c r="K260" s="10" t="inlineStr">
        <is>
          <t>EXTERNAL</t>
        </is>
      </c>
      <c r="L260" s="10" t="inlineStr">
        <is>
          <t>media</t>
        </is>
      </c>
      <c r="M260" s="10" t="inlineStr">
        <is>
          <t>["D03-DOC-MFO-001.PNL.MARGEM"]</t>
        </is>
      </c>
    </row>
    <row r="261">
      <c r="A261" s="10" t="inlineStr">
        <is>
          <t>D03-DOC-MFO-001.PNL.DESPESAS</t>
        </is>
      </c>
      <c r="B261" s="10" t="inlineStr">
        <is>
          <t>D03-DOC-MFO-001</t>
        </is>
      </c>
      <c r="C261" s="10" t="inlineStr">
        <is>
          <t>D03-DOC-MFO-001-T04</t>
        </is>
      </c>
      <c r="D261" s="10" t="inlineStr">
        <is>
          <t>despesas</t>
        </is>
      </c>
      <c r="E261" s="10" t="inlineStr">
        <is>
          <t>Definir, validar e manter: Despesas</t>
        </is>
      </c>
      <c r="F261" s="10" t="n"/>
      <c r="G261" s="10" t="b">
        <v>1</v>
      </c>
      <c r="H261" s="10" t="b">
        <v>1</v>
      </c>
      <c r="I261" s="10" t="inlineStr">
        <is>
          <t>DERIVED</t>
        </is>
      </c>
      <c r="J261" s="10" t="inlineStr">
        <is>
          <t>PROPOSED</t>
        </is>
      </c>
      <c r="K261" s="10" t="inlineStr">
        <is>
          <t>DERIVED</t>
        </is>
      </c>
      <c r="L261" s="10" t="inlineStr">
        <is>
          <t>baixa</t>
        </is>
      </c>
      <c r="M261" s="10" t="inlineStr">
        <is>
          <t>["D03-DOC-MFO-001.PNL.DESPESAS"]</t>
        </is>
      </c>
    </row>
    <row r="262">
      <c r="A262" s="10" t="inlineStr">
        <is>
          <t>D03-DOC-MFO-001.PNL.RESULTADO</t>
        </is>
      </c>
      <c r="B262" s="10" t="inlineStr">
        <is>
          <t>D03-DOC-MFO-001</t>
        </is>
      </c>
      <c r="C262" s="10" t="inlineStr">
        <is>
          <t>D03-DOC-MFO-001-T04</t>
        </is>
      </c>
      <c r="D262" s="10" t="inlineStr">
        <is>
          <t>resultado</t>
        </is>
      </c>
      <c r="E262" s="10" t="inlineStr">
        <is>
          <t>Definir, validar e manter: Resultado</t>
        </is>
      </c>
      <c r="F262" s="10" t="n"/>
      <c r="G262" s="10" t="b">
        <v>1</v>
      </c>
      <c r="H262" s="10" t="b">
        <v>1</v>
      </c>
      <c r="I262" s="10" t="inlineStr">
        <is>
          <t>DERIVED</t>
        </is>
      </c>
      <c r="J262" s="10" t="inlineStr">
        <is>
          <t>PROPOSED</t>
        </is>
      </c>
      <c r="K262" s="10" t="inlineStr">
        <is>
          <t>DERIVED</t>
        </is>
      </c>
      <c r="L262" s="10" t="inlineStr">
        <is>
          <t>baixa</t>
        </is>
      </c>
      <c r="M262" s="10" t="inlineStr">
        <is>
          <t>["D03-DOC-MFO-001.PNL.RESULTADO"]</t>
        </is>
      </c>
    </row>
    <row r="263">
      <c r="A263" s="10" t="inlineStr">
        <is>
          <t>D03-DOC-MFO-001.CASHFLOW.OPERACIONAL</t>
        </is>
      </c>
      <c r="B263" s="10" t="inlineStr">
        <is>
          <t>D03-DOC-MFO-001</t>
        </is>
      </c>
      <c r="C263" s="10" t="inlineStr">
        <is>
          <t>D03-DOC-MFO-001-T05</t>
        </is>
      </c>
      <c r="D263" s="10" t="inlineStr">
        <is>
          <t>operacional</t>
        </is>
      </c>
      <c r="E263" s="10" t="inlineStr">
        <is>
          <t>Definir, validar e manter: Operacional</t>
        </is>
      </c>
      <c r="F263" s="10" t="n"/>
      <c r="G263" s="10" t="b">
        <v>1</v>
      </c>
      <c r="H263" s="10" t="b">
        <v>1</v>
      </c>
      <c r="I263" s="10" t="inlineStr">
        <is>
          <t>EXTERNAL</t>
        </is>
      </c>
      <c r="J263" s="10" t="inlineStr">
        <is>
          <t>EXTERNAL_EVIDENCE</t>
        </is>
      </c>
      <c r="K263" s="10" t="inlineStr">
        <is>
          <t>EXTERNAL</t>
        </is>
      </c>
      <c r="L263" s="10" t="inlineStr">
        <is>
          <t>media</t>
        </is>
      </c>
      <c r="M263" s="10" t="inlineStr">
        <is>
          <t>["D03-DOC-MFO-001.CASHFLOW.OPERACIONAL"]</t>
        </is>
      </c>
    </row>
    <row r="264">
      <c r="A264" s="10" t="inlineStr">
        <is>
          <t>D03-DOC-MFO-001.CASHFLOW.INVESTIMENTO</t>
        </is>
      </c>
      <c r="B264" s="10" t="inlineStr">
        <is>
          <t>D03-DOC-MFO-001</t>
        </is>
      </c>
      <c r="C264" s="10" t="inlineStr">
        <is>
          <t>D03-DOC-MFO-001-T05</t>
        </is>
      </c>
      <c r="D264" s="10" t="inlineStr">
        <is>
          <t>investimento</t>
        </is>
      </c>
      <c r="E264" s="10" t="inlineStr">
        <is>
          <t>Definir, validar e manter: Investimento</t>
        </is>
      </c>
      <c r="F264" s="10" t="n"/>
      <c r="G264" s="10" t="b">
        <v>1</v>
      </c>
      <c r="H264" s="10" t="b">
        <v>1</v>
      </c>
      <c r="I264" s="10" t="inlineStr">
        <is>
          <t>DERIVED</t>
        </is>
      </c>
      <c r="J264" s="10" t="inlineStr">
        <is>
          <t>PROPOSED</t>
        </is>
      </c>
      <c r="K264" s="10" t="inlineStr">
        <is>
          <t>DERIVED</t>
        </is>
      </c>
      <c r="L264" s="10" t="inlineStr">
        <is>
          <t>baixa</t>
        </is>
      </c>
      <c r="M264" s="10" t="inlineStr">
        <is>
          <t>["D03-DOC-MFO-001.CASHFLOW.INVESTIMENTO"]</t>
        </is>
      </c>
    </row>
    <row r="265">
      <c r="A265" s="10" t="inlineStr">
        <is>
          <t>D03-DOC-MFO-001.CASHFLOW.FINANCIAMENTO</t>
        </is>
      </c>
      <c r="B265" s="10" t="inlineStr">
        <is>
          <t>D03-DOC-MFO-001</t>
        </is>
      </c>
      <c r="C265" s="10" t="inlineStr">
        <is>
          <t>D03-DOC-MFO-001-T05</t>
        </is>
      </c>
      <c r="D265" s="10" t="inlineStr">
        <is>
          <t>financiamento</t>
        </is>
      </c>
      <c r="E265" s="10" t="inlineStr">
        <is>
          <t>Definir, validar e manter: Financiamento</t>
        </is>
      </c>
      <c r="F265" s="10" t="n"/>
      <c r="G265" s="10" t="b">
        <v>1</v>
      </c>
      <c r="H265" s="10" t="b">
        <v>1</v>
      </c>
      <c r="I265" s="10" t="inlineStr">
        <is>
          <t>DERIVED</t>
        </is>
      </c>
      <c r="J265" s="10" t="inlineStr">
        <is>
          <t>PROPOSED</t>
        </is>
      </c>
      <c r="K265" s="10" t="inlineStr">
        <is>
          <t>DERIVED</t>
        </is>
      </c>
      <c r="L265" s="10" t="inlineStr">
        <is>
          <t>baixa</t>
        </is>
      </c>
      <c r="M265" s="10" t="inlineStr">
        <is>
          <t>["D03-DOC-MFO-001.CASHFLOW.FINANCIAMENTO"]</t>
        </is>
      </c>
    </row>
    <row r="266">
      <c r="A266" s="10" t="inlineStr">
        <is>
          <t>D03-DOC-MFO-001.UNIT_ECONOMICS.CAC</t>
        </is>
      </c>
      <c r="B266" s="10" t="inlineStr">
        <is>
          <t>D03-DOC-MFO-001</t>
        </is>
      </c>
      <c r="C266" s="10" t="inlineStr">
        <is>
          <t>D03-DOC-MFO-001-T06</t>
        </is>
      </c>
      <c r="D266" s="10" t="inlineStr">
        <is>
          <t>cac</t>
        </is>
      </c>
      <c r="E266" s="10" t="inlineStr">
        <is>
          <t>Definir, validar e manter: Cac</t>
        </is>
      </c>
      <c r="F266" s="10" t="n"/>
      <c r="G266" s="10" t="b">
        <v>1</v>
      </c>
      <c r="H266" s="10" t="b">
        <v>1</v>
      </c>
      <c r="I266" s="10" t="inlineStr">
        <is>
          <t>EXTERNAL</t>
        </is>
      </c>
      <c r="J266" s="10" t="inlineStr">
        <is>
          <t>EXTERNAL_EVIDENCE</t>
        </is>
      </c>
      <c r="K266" s="10" t="inlineStr">
        <is>
          <t>EXTERNAL</t>
        </is>
      </c>
      <c r="L266" s="10" t="inlineStr">
        <is>
          <t>media</t>
        </is>
      </c>
      <c r="M266" s="10" t="inlineStr">
        <is>
          <t>["D03-DOC-MFO-001.UNIT_ECONOMICS.CAC"]</t>
        </is>
      </c>
    </row>
    <row r="267">
      <c r="A267" s="10" t="inlineStr">
        <is>
          <t>D03-DOC-MFO-001.UNIT_ECONOMICS.LTV</t>
        </is>
      </c>
      <c r="B267" s="10" t="inlineStr">
        <is>
          <t>D03-DOC-MFO-001</t>
        </is>
      </c>
      <c r="C267" s="10" t="inlineStr">
        <is>
          <t>D03-DOC-MFO-001-T06</t>
        </is>
      </c>
      <c r="D267" s="10" t="inlineStr">
        <is>
          <t>ltv</t>
        </is>
      </c>
      <c r="E267" s="10" t="inlineStr">
        <is>
          <t>Definir, validar e manter: Ltv</t>
        </is>
      </c>
      <c r="F267" s="10" t="n"/>
      <c r="G267" s="10" t="b">
        <v>1</v>
      </c>
      <c r="H267" s="10" t="b">
        <v>1</v>
      </c>
      <c r="I267" s="10" t="inlineStr">
        <is>
          <t>EXTERNAL</t>
        </is>
      </c>
      <c r="J267" s="10" t="inlineStr">
        <is>
          <t>EXTERNAL_EVIDENCE</t>
        </is>
      </c>
      <c r="K267" s="10" t="inlineStr">
        <is>
          <t>EXTERNAL</t>
        </is>
      </c>
      <c r="L267" s="10" t="inlineStr">
        <is>
          <t>media</t>
        </is>
      </c>
      <c r="M267" s="10" t="inlineStr">
        <is>
          <t>["D03-DOC-MFO-001.UNIT_ECONOMICS.LTV"]</t>
        </is>
      </c>
    </row>
    <row r="268">
      <c r="A268" s="10" t="inlineStr">
        <is>
          <t>D03-DOC-MFO-001.UNIT_ECONOMICS.ARPU</t>
        </is>
      </c>
      <c r="B268" s="10" t="inlineStr">
        <is>
          <t>D03-DOC-MFO-001</t>
        </is>
      </c>
      <c r="C268" s="10" t="inlineStr">
        <is>
          <t>D03-DOC-MFO-001-T06</t>
        </is>
      </c>
      <c r="D268" s="10" t="inlineStr">
        <is>
          <t>arpu</t>
        </is>
      </c>
      <c r="E268" s="10" t="inlineStr">
        <is>
          <t>Definir, validar e manter: Arpu</t>
        </is>
      </c>
      <c r="F268" s="10" t="n"/>
      <c r="G268" s="10" t="b">
        <v>1</v>
      </c>
      <c r="H268" s="10" t="b">
        <v>1</v>
      </c>
      <c r="I268" s="10" t="inlineStr">
        <is>
          <t>EXTERNAL</t>
        </is>
      </c>
      <c r="J268" s="10" t="inlineStr">
        <is>
          <t>EXTERNAL_EVIDENCE</t>
        </is>
      </c>
      <c r="K268" s="10" t="inlineStr">
        <is>
          <t>EXTERNAL</t>
        </is>
      </c>
      <c r="L268" s="10" t="inlineStr">
        <is>
          <t>media</t>
        </is>
      </c>
      <c r="M268" s="10" t="inlineStr">
        <is>
          <t>["D03-DOC-MFO-001.UNIT_ECONOMICS.ARPU"]</t>
        </is>
      </c>
    </row>
    <row r="269">
      <c r="A269" s="10" t="inlineStr">
        <is>
          <t>D03-DOC-MFO-001.UNIT_ECONOMICS.CHURN</t>
        </is>
      </c>
      <c r="B269" s="10" t="inlineStr">
        <is>
          <t>D03-DOC-MFO-001</t>
        </is>
      </c>
      <c r="C269" s="10" t="inlineStr">
        <is>
          <t>D03-DOC-MFO-001-T06</t>
        </is>
      </c>
      <c r="D269" s="10" t="inlineStr">
        <is>
          <t>churn</t>
        </is>
      </c>
      <c r="E269" s="10" t="inlineStr">
        <is>
          <t>Definir, validar e manter: Churn</t>
        </is>
      </c>
      <c r="F269" s="10" t="n"/>
      <c r="G269" s="10" t="b">
        <v>1</v>
      </c>
      <c r="H269" s="10" t="b">
        <v>1</v>
      </c>
      <c r="I269" s="10" t="inlineStr">
        <is>
          <t>EXTERNAL</t>
        </is>
      </c>
      <c r="J269" s="10" t="inlineStr">
        <is>
          <t>EXTERNAL_EVIDENCE</t>
        </is>
      </c>
      <c r="K269" s="10" t="inlineStr">
        <is>
          <t>EXTERNAL</t>
        </is>
      </c>
      <c r="L269" s="10" t="inlineStr">
        <is>
          <t>media</t>
        </is>
      </c>
      <c r="M269" s="10" t="inlineStr">
        <is>
          <t>["D03-DOC-MFO-001.UNIT_ECONOMICS.CHURN"]</t>
        </is>
      </c>
    </row>
    <row r="270">
      <c r="A270" s="10" t="inlineStr">
        <is>
          <t>D03-DOC-MFO-001.UNIT_ECONOMICS.MARGEM</t>
        </is>
      </c>
      <c r="B270" s="10" t="inlineStr">
        <is>
          <t>D03-DOC-MFO-001</t>
        </is>
      </c>
      <c r="C270" s="10" t="inlineStr">
        <is>
          <t>D03-DOC-MFO-001-T06</t>
        </is>
      </c>
      <c r="D270" s="10" t="inlineStr">
        <is>
          <t>margem</t>
        </is>
      </c>
      <c r="E270" s="10" t="inlineStr">
        <is>
          <t>Definir, validar e manter: Margem</t>
        </is>
      </c>
      <c r="F270" s="10" t="n"/>
      <c r="G270" s="10" t="b">
        <v>1</v>
      </c>
      <c r="H270" s="10" t="b">
        <v>1</v>
      </c>
      <c r="I270" s="10" t="inlineStr">
        <is>
          <t>EXTERNAL</t>
        </is>
      </c>
      <c r="J270" s="10" t="inlineStr">
        <is>
          <t>EXTERNAL_EVIDENCE</t>
        </is>
      </c>
      <c r="K270" s="10" t="inlineStr">
        <is>
          <t>EXTERNAL</t>
        </is>
      </c>
      <c r="L270" s="10" t="inlineStr">
        <is>
          <t>media</t>
        </is>
      </c>
      <c r="M270" s="10" t="inlineStr">
        <is>
          <t>["D03-DOC-MFO-001.UNIT_ECONOMICS.MARGEM"]</t>
        </is>
      </c>
    </row>
    <row r="271">
      <c r="A271" s="10" t="inlineStr">
        <is>
          <t>D03-DOC-MFO-001.BREAK_EVEN.PONTO_DE_EQUILIBRIO</t>
        </is>
      </c>
      <c r="B271" s="10" t="inlineStr">
        <is>
          <t>D03-DOC-MFO-001</t>
        </is>
      </c>
      <c r="C271" s="10" t="inlineStr">
        <is>
          <t>D03-DOC-MFO-001-T07</t>
        </is>
      </c>
      <c r="D271" s="10" t="inlineStr">
        <is>
          <t>ponto_de_equilibrio</t>
        </is>
      </c>
      <c r="E271" s="10" t="inlineStr">
        <is>
          <t>Definir, validar e manter: Ponto De Equilibrio</t>
        </is>
      </c>
      <c r="F271" s="10" t="n"/>
      <c r="G271" s="10" t="b">
        <v>1</v>
      </c>
      <c r="H271" s="10" t="b">
        <v>1</v>
      </c>
      <c r="I271" s="10" t="inlineStr">
        <is>
          <t>DERIVED</t>
        </is>
      </c>
      <c r="J271" s="10" t="inlineStr">
        <is>
          <t>PROPOSED</t>
        </is>
      </c>
      <c r="K271" s="10" t="inlineStr">
        <is>
          <t>DERIVED</t>
        </is>
      </c>
      <c r="L271" s="10" t="inlineStr">
        <is>
          <t>baixa</t>
        </is>
      </c>
      <c r="M271" s="10" t="inlineStr">
        <is>
          <t>["D03-DOC-MFO-001.BREAK_EVEN.PONTO_DE_EQUILIBRIO"]</t>
        </is>
      </c>
    </row>
    <row r="272">
      <c r="A272" s="10" t="inlineStr">
        <is>
          <t>D03-DOC-MFO-001.SENSITIVITY.VARIAVEIS_CRITICAS</t>
        </is>
      </c>
      <c r="B272" s="10" t="inlineStr">
        <is>
          <t>D03-DOC-MFO-001</t>
        </is>
      </c>
      <c r="C272" s="10" t="inlineStr">
        <is>
          <t>D03-DOC-MFO-001-T08</t>
        </is>
      </c>
      <c r="D272" s="10" t="inlineStr">
        <is>
          <t>variaveis_criticas</t>
        </is>
      </c>
      <c r="E272" s="10" t="inlineStr">
        <is>
          <t>Definir, validar e manter: Variaveis Criticas</t>
        </is>
      </c>
      <c r="F272" s="10" t="n"/>
      <c r="G272" s="10" t="b">
        <v>1</v>
      </c>
      <c r="H272" s="10" t="b">
        <v>1</v>
      </c>
      <c r="I272" s="10" t="inlineStr">
        <is>
          <t>DERIVED</t>
        </is>
      </c>
      <c r="J272" s="10" t="inlineStr">
        <is>
          <t>PROPOSED</t>
        </is>
      </c>
      <c r="K272" s="10" t="inlineStr">
        <is>
          <t>DERIVED</t>
        </is>
      </c>
      <c r="L272" s="10" t="inlineStr">
        <is>
          <t>baixa</t>
        </is>
      </c>
      <c r="M272" s="10" t="inlineStr">
        <is>
          <t>["D03-DOC-MFO-001.SENSITIVITY.VARIAVEIS_CRITICAS"]</t>
        </is>
      </c>
    </row>
    <row r="273">
      <c r="A273" s="10" t="inlineStr">
        <is>
          <t>D03-DOC-MFO-001.SENSITIVITY.IMPACTO</t>
        </is>
      </c>
      <c r="B273" s="10" t="inlineStr">
        <is>
          <t>D03-DOC-MFO-001</t>
        </is>
      </c>
      <c r="C273" s="10" t="inlineStr">
        <is>
          <t>D03-DOC-MFO-001-T08</t>
        </is>
      </c>
      <c r="D273" s="10" t="inlineStr">
        <is>
          <t>impacto</t>
        </is>
      </c>
      <c r="E273" s="10" t="inlineStr">
        <is>
          <t>Definir, validar e manter: Impacto</t>
        </is>
      </c>
      <c r="F273" s="10" t="n"/>
      <c r="G273" s="10" t="b">
        <v>1</v>
      </c>
      <c r="H273" s="10" t="b">
        <v>1</v>
      </c>
      <c r="I273" s="10" t="inlineStr">
        <is>
          <t>DERIVED</t>
        </is>
      </c>
      <c r="J273" s="10" t="inlineStr">
        <is>
          <t>PROPOSED</t>
        </is>
      </c>
      <c r="K273" s="10" t="inlineStr">
        <is>
          <t>DERIVED</t>
        </is>
      </c>
      <c r="L273" s="10" t="inlineStr">
        <is>
          <t>baixa</t>
        </is>
      </c>
      <c r="M273" s="10" t="inlineStr">
        <is>
          <t>["D03-DOC-MFO-001.SENSITIVITY.IMPACTO"]</t>
        </is>
      </c>
    </row>
    <row r="274">
      <c r="A274" s="10" t="inlineStr">
        <is>
          <t>D03-DOC-MFO-001.SCENARIOS.CENARIO</t>
        </is>
      </c>
      <c r="B274" s="10" t="inlineStr">
        <is>
          <t>D03-DOC-MFO-001</t>
        </is>
      </c>
      <c r="C274" s="10" t="inlineStr">
        <is>
          <t>D03-DOC-MFO-001-T09</t>
        </is>
      </c>
      <c r="D274" s="10" t="inlineStr">
        <is>
          <t>cenario</t>
        </is>
      </c>
      <c r="E274" s="10" t="inlineStr">
        <is>
          <t>Definir, validar e manter: Cenario</t>
        </is>
      </c>
      <c r="F274" s="10" t="n"/>
      <c r="G274" s="10" t="b">
        <v>1</v>
      </c>
      <c r="H274" s="10" t="b">
        <v>1</v>
      </c>
      <c r="I274" s="10" t="inlineStr">
        <is>
          <t>DERIVED</t>
        </is>
      </c>
      <c r="J274" s="10" t="inlineStr">
        <is>
          <t>PROPOSED</t>
        </is>
      </c>
      <c r="K274" s="10" t="inlineStr">
        <is>
          <t>DERIVED</t>
        </is>
      </c>
      <c r="L274" s="10" t="inlineStr">
        <is>
          <t>baixa</t>
        </is>
      </c>
      <c r="M274" s="10" t="inlineStr">
        <is>
          <t>["D03-DOC-MFO-001.SCENARIOS.CENARIO"]</t>
        </is>
      </c>
    </row>
    <row r="275">
      <c r="A275" s="10" t="inlineStr">
        <is>
          <t>D03-DOC-MFO-001.SCENARIOS.PREMISSAS</t>
        </is>
      </c>
      <c r="B275" s="10" t="inlineStr">
        <is>
          <t>D03-DOC-MFO-001</t>
        </is>
      </c>
      <c r="C275" s="10" t="inlineStr">
        <is>
          <t>D03-DOC-MFO-001-T09</t>
        </is>
      </c>
      <c r="D275" s="10" t="inlineStr">
        <is>
          <t>premissas</t>
        </is>
      </c>
      <c r="E275" s="10" t="inlineStr">
        <is>
          <t>Definir, validar e manter: Premissas</t>
        </is>
      </c>
      <c r="F275" s="10" t="n"/>
      <c r="G275" s="10" t="b">
        <v>1</v>
      </c>
      <c r="H275" s="10" t="b">
        <v>1</v>
      </c>
      <c r="I275" s="10" t="inlineStr">
        <is>
          <t>DERIVED</t>
        </is>
      </c>
      <c r="J275" s="10" t="inlineStr">
        <is>
          <t>PROPOSED</t>
        </is>
      </c>
      <c r="K275" s="10" t="inlineStr">
        <is>
          <t>DERIVED</t>
        </is>
      </c>
      <c r="L275" s="10" t="inlineStr">
        <is>
          <t>baixa</t>
        </is>
      </c>
      <c r="M275" s="10" t="inlineStr">
        <is>
          <t>["D03-DOC-MFO-001.SCENARIOS.PREMISSAS"]</t>
        </is>
      </c>
    </row>
    <row r="276">
      <c r="A276" s="10" t="inlineStr">
        <is>
          <t>D03-DOC-MFO-001.SCENARIOS.RESULTADO</t>
        </is>
      </c>
      <c r="B276" s="10" t="inlineStr">
        <is>
          <t>D03-DOC-MFO-001</t>
        </is>
      </c>
      <c r="C276" s="10" t="inlineStr">
        <is>
          <t>D03-DOC-MFO-001-T09</t>
        </is>
      </c>
      <c r="D276" s="10" t="inlineStr">
        <is>
          <t>resultado</t>
        </is>
      </c>
      <c r="E276" s="10" t="inlineStr">
        <is>
          <t>Definir, validar e manter: Resultado</t>
        </is>
      </c>
      <c r="F276" s="10" t="n"/>
      <c r="G276" s="10" t="b">
        <v>1</v>
      </c>
      <c r="H276" s="10" t="b">
        <v>1</v>
      </c>
      <c r="I276" s="10" t="inlineStr">
        <is>
          <t>DERIVED</t>
        </is>
      </c>
      <c r="J276" s="10" t="inlineStr">
        <is>
          <t>PROPOSED</t>
        </is>
      </c>
      <c r="K276" s="10" t="inlineStr">
        <is>
          <t>DERIVED</t>
        </is>
      </c>
      <c r="L276" s="10" t="inlineStr">
        <is>
          <t>baixa</t>
        </is>
      </c>
      <c r="M276" s="10" t="inlineStr">
        <is>
          <t>["D03-DOC-MFO-001.SCENARIOS.RESULTADO"]</t>
        </is>
      </c>
    </row>
    <row r="277">
      <c r="A277" s="10" t="inlineStr">
        <is>
          <t>D04-DOC-PPC-001.ORGANIZATION.ESTRUTURA</t>
        </is>
      </c>
      <c r="B277" s="10" t="inlineStr">
        <is>
          <t>D04-DOC-PPC-001</t>
        </is>
      </c>
      <c r="C277" s="10" t="inlineStr">
        <is>
          <t>D04-DOC-PPC-001-T01</t>
        </is>
      </c>
      <c r="D277" s="10" t="inlineStr">
        <is>
          <t>estrutura</t>
        </is>
      </c>
      <c r="E277" s="10" t="inlineStr">
        <is>
          <t>Definir, validar e manter: Estrutura</t>
        </is>
      </c>
      <c r="F277" s="10" t="n"/>
      <c r="G277" s="10" t="b">
        <v>1</v>
      </c>
      <c r="H277" s="10" t="b">
        <v>1</v>
      </c>
      <c r="I277" s="10" t="inlineStr">
        <is>
          <t>DERIVED</t>
        </is>
      </c>
      <c r="J277" s="10" t="inlineStr">
        <is>
          <t>PROPOSED</t>
        </is>
      </c>
      <c r="K277" s="10" t="inlineStr">
        <is>
          <t>DERIVED</t>
        </is>
      </c>
      <c r="L277" s="10" t="inlineStr">
        <is>
          <t>baixa</t>
        </is>
      </c>
      <c r="M277" s="10" t="inlineStr">
        <is>
          <t>["D04-DOC-PPC-001.ORGANIZATION.ESTRUTURA"]</t>
        </is>
      </c>
    </row>
    <row r="278">
      <c r="A278" s="10" t="inlineStr">
        <is>
          <t>D04-DOC-PPC-001.ORGANIZATION.EQUIPES</t>
        </is>
      </c>
      <c r="B278" s="10" t="inlineStr">
        <is>
          <t>D04-DOC-PPC-001</t>
        </is>
      </c>
      <c r="C278" s="10" t="inlineStr">
        <is>
          <t>D04-DOC-PPC-001-T01</t>
        </is>
      </c>
      <c r="D278" s="10" t="inlineStr">
        <is>
          <t>equipes</t>
        </is>
      </c>
      <c r="E278" s="10" t="inlineStr">
        <is>
          <t>Definir, validar e manter: Equipes</t>
        </is>
      </c>
      <c r="F278" s="10" t="n"/>
      <c r="G278" s="10" t="b">
        <v>1</v>
      </c>
      <c r="H278" s="10" t="b">
        <v>1</v>
      </c>
      <c r="I278" s="10" t="inlineStr">
        <is>
          <t>DERIVED</t>
        </is>
      </c>
      <c r="J278" s="10" t="inlineStr">
        <is>
          <t>PROPOSED</t>
        </is>
      </c>
      <c r="K278" s="10" t="inlineStr">
        <is>
          <t>DERIVED</t>
        </is>
      </c>
      <c r="L278" s="10" t="inlineStr">
        <is>
          <t>baixa</t>
        </is>
      </c>
      <c r="M278" s="10" t="inlineStr">
        <is>
          <t>["D04-DOC-PPC-001.ORGANIZATION.EQUIPES"]</t>
        </is>
      </c>
    </row>
    <row r="279">
      <c r="A279" s="10" t="inlineStr">
        <is>
          <t>D04-DOC-PPC-001.ORGANIZATION.FUNCOES</t>
        </is>
      </c>
      <c r="B279" s="10" t="inlineStr">
        <is>
          <t>D04-DOC-PPC-001</t>
        </is>
      </c>
      <c r="C279" s="10" t="inlineStr">
        <is>
          <t>D04-DOC-PPC-001-T01</t>
        </is>
      </c>
      <c r="D279" s="10" t="inlineStr">
        <is>
          <t>funcoes</t>
        </is>
      </c>
      <c r="E279" s="10" t="inlineStr">
        <is>
          <t>Definir, validar e manter: Funcoes</t>
        </is>
      </c>
      <c r="F279" s="10" t="n"/>
      <c r="G279" s="10" t="b">
        <v>1</v>
      </c>
      <c r="H279" s="10" t="b">
        <v>1</v>
      </c>
      <c r="I279" s="10" t="inlineStr">
        <is>
          <t>DERIVED</t>
        </is>
      </c>
      <c r="J279" s="10" t="inlineStr">
        <is>
          <t>PROPOSED</t>
        </is>
      </c>
      <c r="K279" s="10" t="inlineStr">
        <is>
          <t>DERIVED</t>
        </is>
      </c>
      <c r="L279" s="10" t="inlineStr">
        <is>
          <t>baixa</t>
        </is>
      </c>
      <c r="M279" s="10" t="inlineStr">
        <is>
          <t>["D04-DOC-PPC-001.ORGANIZATION.FUNCOES"]</t>
        </is>
      </c>
    </row>
    <row r="280">
      <c r="A280" s="10" t="inlineStr">
        <is>
          <t>D04-DOC-PPC-001.ROLES.PAPEL</t>
        </is>
      </c>
      <c r="B280" s="10" t="inlineStr">
        <is>
          <t>D04-DOC-PPC-001</t>
        </is>
      </c>
      <c r="C280" s="10" t="inlineStr">
        <is>
          <t>D04-DOC-PPC-001-T02</t>
        </is>
      </c>
      <c r="D280" s="10" t="inlineStr">
        <is>
          <t>papel</t>
        </is>
      </c>
      <c r="E280" s="10" t="inlineStr">
        <is>
          <t>Definir, validar e manter: Papel</t>
        </is>
      </c>
      <c r="F280" s="10" t="n"/>
      <c r="G280" s="10" t="b">
        <v>1</v>
      </c>
      <c r="H280" s="10" t="b">
        <v>1</v>
      </c>
      <c r="I280" s="10" t="inlineStr">
        <is>
          <t>DERIVED</t>
        </is>
      </c>
      <c r="J280" s="10" t="inlineStr">
        <is>
          <t>PROPOSED</t>
        </is>
      </c>
      <c r="K280" s="10" t="inlineStr">
        <is>
          <t>DERIVED</t>
        </is>
      </c>
      <c r="L280" s="10" t="inlineStr">
        <is>
          <t>baixa</t>
        </is>
      </c>
      <c r="M280" s="10" t="inlineStr">
        <is>
          <t>["D04-DOC-PPC-001.ROLES.PAPEL"]</t>
        </is>
      </c>
    </row>
    <row r="281">
      <c r="A281" s="10" t="inlineStr">
        <is>
          <t>D04-DOC-PPC-001.ROLES.RESPONSABILIDADES</t>
        </is>
      </c>
      <c r="B281" s="10" t="inlineStr">
        <is>
          <t>D04-DOC-PPC-001</t>
        </is>
      </c>
      <c r="C281" s="10" t="inlineStr">
        <is>
          <t>D04-DOC-PPC-001-T02</t>
        </is>
      </c>
      <c r="D281" s="10" t="inlineStr">
        <is>
          <t>responsabilidades</t>
        </is>
      </c>
      <c r="E281" s="10" t="inlineStr">
        <is>
          <t>Definir, validar e manter: Responsabilidades</t>
        </is>
      </c>
      <c r="F281" s="10" t="n"/>
      <c r="G281" s="10" t="b">
        <v>1</v>
      </c>
      <c r="H281" s="10" t="b">
        <v>1</v>
      </c>
      <c r="I281" s="10" t="inlineStr">
        <is>
          <t>DERIVED</t>
        </is>
      </c>
      <c r="J281" s="10" t="inlineStr">
        <is>
          <t>PROPOSED</t>
        </is>
      </c>
      <c r="K281" s="10" t="inlineStr">
        <is>
          <t>DERIVED</t>
        </is>
      </c>
      <c r="L281" s="10" t="inlineStr">
        <is>
          <t>baixa</t>
        </is>
      </c>
      <c r="M281" s="10" t="inlineStr">
        <is>
          <t>["D04-DOC-PPC-001.ROLES.RESPONSABILIDADES"]</t>
        </is>
      </c>
    </row>
    <row r="282">
      <c r="A282" s="10" t="inlineStr">
        <is>
          <t>D04-DOC-PPC-001.ROLES.AUTORIDADE</t>
        </is>
      </c>
      <c r="B282" s="10" t="inlineStr">
        <is>
          <t>D04-DOC-PPC-001</t>
        </is>
      </c>
      <c r="C282" s="10" t="inlineStr">
        <is>
          <t>D04-DOC-PPC-001-T02</t>
        </is>
      </c>
      <c r="D282" s="10" t="inlineStr">
        <is>
          <t>autoridade</t>
        </is>
      </c>
      <c r="E282" s="10" t="inlineStr">
        <is>
          <t>Definir, validar e manter: Autoridade</t>
        </is>
      </c>
      <c r="F282" s="10" t="n"/>
      <c r="G282" s="10" t="b">
        <v>1</v>
      </c>
      <c r="H282" s="10" t="b">
        <v>1</v>
      </c>
      <c r="I282" s="10" t="inlineStr">
        <is>
          <t>DERIVED</t>
        </is>
      </c>
      <c r="J282" s="10" t="inlineStr">
        <is>
          <t>PROPOSED</t>
        </is>
      </c>
      <c r="K282" s="10" t="inlineStr">
        <is>
          <t>DERIVED</t>
        </is>
      </c>
      <c r="L282" s="10" t="inlineStr">
        <is>
          <t>baixa</t>
        </is>
      </c>
      <c r="M282" s="10" t="inlineStr">
        <is>
          <t>["D04-DOC-PPC-001.ROLES.AUTORIDADE"]</t>
        </is>
      </c>
    </row>
    <row r="283">
      <c r="A283" s="10" t="inlineStr">
        <is>
          <t>D04-DOC-PPC-001.RACI.ATIVIDADE</t>
        </is>
      </c>
      <c r="B283" s="10" t="inlineStr">
        <is>
          <t>D04-DOC-PPC-001</t>
        </is>
      </c>
      <c r="C283" s="10" t="inlineStr">
        <is>
          <t>D04-DOC-PPC-001-T03</t>
        </is>
      </c>
      <c r="D283" s="10" t="inlineStr">
        <is>
          <t>atividade</t>
        </is>
      </c>
      <c r="E283" s="10" t="inlineStr">
        <is>
          <t>Definir, validar e manter: Atividade</t>
        </is>
      </c>
      <c r="F283" s="10" t="n"/>
      <c r="G283" s="10" t="b">
        <v>1</v>
      </c>
      <c r="H283" s="10" t="b">
        <v>1</v>
      </c>
      <c r="I283" s="10" t="inlineStr">
        <is>
          <t>DERIVED</t>
        </is>
      </c>
      <c r="J283" s="10" t="inlineStr">
        <is>
          <t>PROPOSED</t>
        </is>
      </c>
      <c r="K283" s="10" t="inlineStr">
        <is>
          <t>DERIVED</t>
        </is>
      </c>
      <c r="L283" s="10" t="inlineStr">
        <is>
          <t>baixa</t>
        </is>
      </c>
      <c r="M283" s="10" t="inlineStr">
        <is>
          <t>["D04-DOC-PPC-001.RACI.ATIVIDADE"]</t>
        </is>
      </c>
    </row>
    <row r="284">
      <c r="A284" s="10" t="inlineStr">
        <is>
          <t>D04-DOC-PPC-001.RACI.RESPONSAVEL</t>
        </is>
      </c>
      <c r="B284" s="10" t="inlineStr">
        <is>
          <t>D04-DOC-PPC-001</t>
        </is>
      </c>
      <c r="C284" s="10" t="inlineStr">
        <is>
          <t>D04-DOC-PPC-001-T03</t>
        </is>
      </c>
      <c r="D284" s="10" t="inlineStr">
        <is>
          <t>responsavel</t>
        </is>
      </c>
      <c r="E284" s="10" t="inlineStr">
        <is>
          <t>Definir, validar e manter: Responsavel</t>
        </is>
      </c>
      <c r="F284" s="10" t="n"/>
      <c r="G284" s="10" t="b">
        <v>1</v>
      </c>
      <c r="H284" s="10" t="b">
        <v>1</v>
      </c>
      <c r="I284" s="10" t="inlineStr">
        <is>
          <t>EXTERNAL</t>
        </is>
      </c>
      <c r="J284" s="10" t="inlineStr">
        <is>
          <t>EXTERNAL_EVIDENCE</t>
        </is>
      </c>
      <c r="K284" s="10" t="inlineStr">
        <is>
          <t>EXTERNAL</t>
        </is>
      </c>
      <c r="L284" s="10" t="inlineStr">
        <is>
          <t>media</t>
        </is>
      </c>
      <c r="M284" s="10" t="inlineStr">
        <is>
          <t>["D04-DOC-PPC-001.RACI.RESPONSAVEL"]</t>
        </is>
      </c>
    </row>
    <row r="285">
      <c r="A285" s="10" t="inlineStr">
        <is>
          <t>D04-DOC-PPC-001.RACI.APROVADOR</t>
        </is>
      </c>
      <c r="B285" s="10" t="inlineStr">
        <is>
          <t>D04-DOC-PPC-001</t>
        </is>
      </c>
      <c r="C285" s="10" t="inlineStr">
        <is>
          <t>D04-DOC-PPC-001-T03</t>
        </is>
      </c>
      <c r="D285" s="10" t="inlineStr">
        <is>
          <t>aprovador</t>
        </is>
      </c>
      <c r="E285" s="10" t="inlineStr">
        <is>
          <t>Definir, validar e manter: Aprovador</t>
        </is>
      </c>
      <c r="F285" s="10" t="n"/>
      <c r="G285" s="10" t="b">
        <v>1</v>
      </c>
      <c r="H285" s="10" t="b">
        <v>1</v>
      </c>
      <c r="I285" s="10" t="inlineStr">
        <is>
          <t>EXTERNAL</t>
        </is>
      </c>
      <c r="J285" s="10" t="inlineStr">
        <is>
          <t>EXTERNAL_EVIDENCE</t>
        </is>
      </c>
      <c r="K285" s="10" t="inlineStr">
        <is>
          <t>EXTERNAL</t>
        </is>
      </c>
      <c r="L285" s="10" t="inlineStr">
        <is>
          <t>media</t>
        </is>
      </c>
      <c r="M285" s="10" t="inlineStr">
        <is>
          <t>["D04-DOC-PPC-001.RACI.APROVADOR"]</t>
        </is>
      </c>
    </row>
    <row r="286">
      <c r="A286" s="10" t="inlineStr">
        <is>
          <t>D04-DOC-PPC-001.RACI.CONSULTADO</t>
        </is>
      </c>
      <c r="B286" s="10" t="inlineStr">
        <is>
          <t>D04-DOC-PPC-001</t>
        </is>
      </c>
      <c r="C286" s="10" t="inlineStr">
        <is>
          <t>D04-DOC-PPC-001-T03</t>
        </is>
      </c>
      <c r="D286" s="10" t="inlineStr">
        <is>
          <t>consultado</t>
        </is>
      </c>
      <c r="E286" s="10" t="inlineStr">
        <is>
          <t>Definir, validar e manter: Consultado</t>
        </is>
      </c>
      <c r="F286" s="10" t="n"/>
      <c r="G286" s="10" t="b">
        <v>1</v>
      </c>
      <c r="H286" s="10" t="b">
        <v>1</v>
      </c>
      <c r="I286" s="10" t="inlineStr">
        <is>
          <t>EXTERNAL</t>
        </is>
      </c>
      <c r="J286" s="10" t="inlineStr">
        <is>
          <t>EXTERNAL_EVIDENCE</t>
        </is>
      </c>
      <c r="K286" s="10" t="inlineStr">
        <is>
          <t>EXTERNAL</t>
        </is>
      </c>
      <c r="L286" s="10" t="inlineStr">
        <is>
          <t>media</t>
        </is>
      </c>
      <c r="M286" s="10" t="inlineStr">
        <is>
          <t>["D04-DOC-PPC-001.RACI.CONSULTADO"]</t>
        </is>
      </c>
    </row>
    <row r="287">
      <c r="A287" s="10" t="inlineStr">
        <is>
          <t>D04-DOC-PPC-001.RACI.INFORMADO</t>
        </is>
      </c>
      <c r="B287" s="10" t="inlineStr">
        <is>
          <t>D04-DOC-PPC-001</t>
        </is>
      </c>
      <c r="C287" s="10" t="inlineStr">
        <is>
          <t>D04-DOC-PPC-001-T03</t>
        </is>
      </c>
      <c r="D287" s="10" t="inlineStr">
        <is>
          <t>informado</t>
        </is>
      </c>
      <c r="E287" s="10" t="inlineStr">
        <is>
          <t>Definir, validar e manter: Informado</t>
        </is>
      </c>
      <c r="F287" s="10" t="n"/>
      <c r="G287" s="10" t="b">
        <v>1</v>
      </c>
      <c r="H287" s="10" t="b">
        <v>1</v>
      </c>
      <c r="I287" s="10" t="inlineStr">
        <is>
          <t>EXTERNAL</t>
        </is>
      </c>
      <c r="J287" s="10" t="inlineStr">
        <is>
          <t>EXTERNAL_EVIDENCE</t>
        </is>
      </c>
      <c r="K287" s="10" t="inlineStr">
        <is>
          <t>EXTERNAL</t>
        </is>
      </c>
      <c r="L287" s="10" t="inlineStr">
        <is>
          <t>media</t>
        </is>
      </c>
      <c r="M287" s="10" t="inlineStr">
        <is>
          <t>["D04-DOC-PPC-001.RACI.INFORMADO"]</t>
        </is>
      </c>
    </row>
    <row r="288">
      <c r="A288" s="10" t="inlineStr">
        <is>
          <t>D04-DOC-PPC-001.PEOPLE.PESSOA</t>
        </is>
      </c>
      <c r="B288" s="10" t="inlineStr">
        <is>
          <t>D04-DOC-PPC-001</t>
        </is>
      </c>
      <c r="C288" s="10" t="inlineStr">
        <is>
          <t>D04-DOC-PPC-001-T04</t>
        </is>
      </c>
      <c r="D288" s="10" t="inlineStr">
        <is>
          <t>pessoa</t>
        </is>
      </c>
      <c r="E288" s="10" t="inlineStr">
        <is>
          <t>Definir, validar e manter: Pessoa</t>
        </is>
      </c>
      <c r="F288" s="10" t="n"/>
      <c r="G288" s="10" t="b">
        <v>1</v>
      </c>
      <c r="H288" s="10" t="b">
        <v>1</v>
      </c>
      <c r="I288" s="10" t="inlineStr">
        <is>
          <t>CONFLICT</t>
        </is>
      </c>
      <c r="J288" s="10" t="inlineStr">
        <is>
          <t>CONFLICT</t>
        </is>
      </c>
      <c r="K288" s="10" t="inlineStr">
        <is>
          <t>CONFLICT</t>
        </is>
      </c>
      <c r="L288" s="10" t="inlineStr">
        <is>
          <t>media</t>
        </is>
      </c>
      <c r="M288" s="10" t="inlineStr">
        <is>
          <t>["D04-DOC-PPC-001.PEOPLE.PESSOA"]</t>
        </is>
      </c>
    </row>
    <row r="289">
      <c r="A289" s="10" t="inlineStr">
        <is>
          <t>D04-DOC-PPC-001.PEOPLE.FUNCAO</t>
        </is>
      </c>
      <c r="B289" s="10" t="inlineStr">
        <is>
          <t>D04-DOC-PPC-001</t>
        </is>
      </c>
      <c r="C289" s="10" t="inlineStr">
        <is>
          <t>D04-DOC-PPC-001-T04</t>
        </is>
      </c>
      <c r="D289" s="10" t="inlineStr">
        <is>
          <t>funcao</t>
        </is>
      </c>
      <c r="E289" s="10" t="inlineStr">
        <is>
          <t>Definir, validar e manter: Funcao</t>
        </is>
      </c>
      <c r="F289" s="10" t="n"/>
      <c r="G289" s="10" t="b">
        <v>1</v>
      </c>
      <c r="H289" s="10" t="b">
        <v>1</v>
      </c>
      <c r="I289" s="10" t="inlineStr">
        <is>
          <t>DERIVED</t>
        </is>
      </c>
      <c r="J289" s="10" t="inlineStr">
        <is>
          <t>PROPOSED</t>
        </is>
      </c>
      <c r="K289" s="10" t="inlineStr">
        <is>
          <t>DERIVED</t>
        </is>
      </c>
      <c r="L289" s="10" t="inlineStr">
        <is>
          <t>baixa</t>
        </is>
      </c>
      <c r="M289" s="10" t="inlineStr">
        <is>
          <t>["D04-DOC-PPC-001.PEOPLE.FUNCAO"]</t>
        </is>
      </c>
    </row>
    <row r="290">
      <c r="A290" s="10" t="inlineStr">
        <is>
          <t>D04-DOC-PPC-001.PEOPLE.DISPONIBILIDADE</t>
        </is>
      </c>
      <c r="B290" s="10" t="inlineStr">
        <is>
          <t>D04-DOC-PPC-001</t>
        </is>
      </c>
      <c r="C290" s="10" t="inlineStr">
        <is>
          <t>D04-DOC-PPC-001-T04</t>
        </is>
      </c>
      <c r="D290" s="10" t="inlineStr">
        <is>
          <t>disponibilidade</t>
        </is>
      </c>
      <c r="E290" s="10" t="inlineStr">
        <is>
          <t>Definir, validar e manter: Disponibilidade</t>
        </is>
      </c>
      <c r="F290" s="10" t="n"/>
      <c r="G290" s="10" t="b">
        <v>1</v>
      </c>
      <c r="H290" s="10" t="b">
        <v>1</v>
      </c>
      <c r="I290" s="10" t="inlineStr">
        <is>
          <t>DERIVED</t>
        </is>
      </c>
      <c r="J290" s="10" t="inlineStr">
        <is>
          <t>PROPOSED</t>
        </is>
      </c>
      <c r="K290" s="10" t="inlineStr">
        <is>
          <t>DERIVED</t>
        </is>
      </c>
      <c r="L290" s="10" t="inlineStr">
        <is>
          <t>baixa</t>
        </is>
      </c>
      <c r="M290" s="10" t="inlineStr">
        <is>
          <t>["D04-DOC-PPC-001.PEOPLE.DISPONIBILIDADE"]</t>
        </is>
      </c>
    </row>
    <row r="291">
      <c r="A291" s="10" t="inlineStr">
        <is>
          <t>D04-DOC-PPC-001.COMPETENCIES.COMPETENCIA</t>
        </is>
      </c>
      <c r="B291" s="10" t="inlineStr">
        <is>
          <t>D04-DOC-PPC-001</t>
        </is>
      </c>
      <c r="C291" s="10" t="inlineStr">
        <is>
          <t>D04-DOC-PPC-001-T05</t>
        </is>
      </c>
      <c r="D291" s="10" t="inlineStr">
        <is>
          <t>competencia</t>
        </is>
      </c>
      <c r="E291" s="10" t="inlineStr">
        <is>
          <t>Definir, validar e manter: Competencia</t>
        </is>
      </c>
      <c r="F291" s="10" t="n"/>
      <c r="G291" s="10" t="b">
        <v>1</v>
      </c>
      <c r="H291" s="10" t="b">
        <v>1</v>
      </c>
      <c r="I291" s="10" t="inlineStr">
        <is>
          <t>DERIVED</t>
        </is>
      </c>
      <c r="J291" s="10" t="inlineStr">
        <is>
          <t>PROPOSED</t>
        </is>
      </c>
      <c r="K291" s="10" t="inlineStr">
        <is>
          <t>DERIVED</t>
        </is>
      </c>
      <c r="L291" s="10" t="inlineStr">
        <is>
          <t>baixa</t>
        </is>
      </c>
      <c r="M291" s="10" t="inlineStr">
        <is>
          <t>["D04-DOC-PPC-001.COMPETENCIES.COMPETENCIA"]</t>
        </is>
      </c>
    </row>
    <row r="292">
      <c r="A292" s="10" t="inlineStr">
        <is>
          <t>D04-DOC-PPC-001.COMPETENCIES.NIVEL</t>
        </is>
      </c>
      <c r="B292" s="10" t="inlineStr">
        <is>
          <t>D04-DOC-PPC-001</t>
        </is>
      </c>
      <c r="C292" s="10" t="inlineStr">
        <is>
          <t>D04-DOC-PPC-001-T05</t>
        </is>
      </c>
      <c r="D292" s="10" t="inlineStr">
        <is>
          <t>nivel</t>
        </is>
      </c>
      <c r="E292" s="10" t="inlineStr">
        <is>
          <t>Definir, validar e manter: Nivel</t>
        </is>
      </c>
      <c r="F292" s="10" t="n"/>
      <c r="G292" s="10" t="b">
        <v>1</v>
      </c>
      <c r="H292" s="10" t="b">
        <v>1</v>
      </c>
      <c r="I292" s="10" t="inlineStr">
        <is>
          <t>DERIVED</t>
        </is>
      </c>
      <c r="J292" s="10" t="inlineStr">
        <is>
          <t>PROPOSED</t>
        </is>
      </c>
      <c r="K292" s="10" t="inlineStr">
        <is>
          <t>DERIVED</t>
        </is>
      </c>
      <c r="L292" s="10" t="inlineStr">
        <is>
          <t>baixa</t>
        </is>
      </c>
      <c r="M292" s="10" t="inlineStr">
        <is>
          <t>["D04-DOC-PPC-001.COMPETENCIES.NIVEL"]</t>
        </is>
      </c>
    </row>
    <row r="293">
      <c r="A293" s="10" t="inlineStr">
        <is>
          <t>D04-DOC-PPC-001.COMPETENCIES.NECESSIDADE</t>
        </is>
      </c>
      <c r="B293" s="10" t="inlineStr">
        <is>
          <t>D04-DOC-PPC-001</t>
        </is>
      </c>
      <c r="C293" s="10" t="inlineStr">
        <is>
          <t>D04-DOC-PPC-001-T05</t>
        </is>
      </c>
      <c r="D293" s="10" t="inlineStr">
        <is>
          <t>necessidade</t>
        </is>
      </c>
      <c r="E293" s="10" t="inlineStr">
        <is>
          <t>Definir, validar e manter: Necessidade</t>
        </is>
      </c>
      <c r="F293" s="10" t="n"/>
      <c r="G293" s="10" t="b">
        <v>1</v>
      </c>
      <c r="H293" s="10" t="b">
        <v>1</v>
      </c>
      <c r="I293" s="10" t="inlineStr">
        <is>
          <t>DERIVED</t>
        </is>
      </c>
      <c r="J293" s="10" t="inlineStr">
        <is>
          <t>PROPOSED</t>
        </is>
      </c>
      <c r="K293" s="10" t="inlineStr">
        <is>
          <t>DERIVED</t>
        </is>
      </c>
      <c r="L293" s="10" t="inlineStr">
        <is>
          <t>baixa</t>
        </is>
      </c>
      <c r="M293" s="10" t="inlineStr">
        <is>
          <t>["D04-DOC-PPC-001.COMPETENCIES.NECESSIDADE"]</t>
        </is>
      </c>
    </row>
    <row r="294">
      <c r="A294" s="10" t="inlineStr">
        <is>
          <t>D04-DOC-PPC-001.CAPACITY.HORAS_DISPONIVEIS</t>
        </is>
      </c>
      <c r="B294" s="10" t="inlineStr">
        <is>
          <t>D04-DOC-PPC-001</t>
        </is>
      </c>
      <c r="C294" s="10" t="inlineStr">
        <is>
          <t>D04-DOC-PPC-001-T06</t>
        </is>
      </c>
      <c r="D294" s="10" t="inlineStr">
        <is>
          <t>horas_disponiveis</t>
        </is>
      </c>
      <c r="E294" s="10" t="inlineStr">
        <is>
          <t>Definir, validar e manter: Horas Disponiveis</t>
        </is>
      </c>
      <c r="F294" s="10" t="n"/>
      <c r="G294" s="10" t="b">
        <v>1</v>
      </c>
      <c r="H294" s="10" t="b">
        <v>1</v>
      </c>
      <c r="I294" s="10" t="inlineStr">
        <is>
          <t>DERIVED</t>
        </is>
      </c>
      <c r="J294" s="10" t="inlineStr">
        <is>
          <t>PROPOSED</t>
        </is>
      </c>
      <c r="K294" s="10" t="inlineStr">
        <is>
          <t>DERIVED</t>
        </is>
      </c>
      <c r="L294" s="10" t="inlineStr">
        <is>
          <t>baixa</t>
        </is>
      </c>
      <c r="M294" s="10" t="inlineStr">
        <is>
          <t>["D04-DOC-PPC-001.CAPACITY.HORAS_DISPONIVEIS"]</t>
        </is>
      </c>
    </row>
    <row r="295">
      <c r="A295" s="10" t="inlineStr">
        <is>
          <t>D04-DOC-PPC-001.CAPACITY.CAPACIDADE_LIQUIDA</t>
        </is>
      </c>
      <c r="B295" s="10" t="inlineStr">
        <is>
          <t>D04-DOC-PPC-001</t>
        </is>
      </c>
      <c r="C295" s="10" t="inlineStr">
        <is>
          <t>D04-DOC-PPC-001-T06</t>
        </is>
      </c>
      <c r="D295" s="10" t="inlineStr">
        <is>
          <t>capacidade_liquida</t>
        </is>
      </c>
      <c r="E295" s="10" t="inlineStr">
        <is>
          <t>Definir, validar e manter: Capacidade Liquida</t>
        </is>
      </c>
      <c r="F295" s="10" t="n"/>
      <c r="G295" s="10" t="b">
        <v>1</v>
      </c>
      <c r="H295" s="10" t="b">
        <v>1</v>
      </c>
      <c r="I295" s="10" t="inlineStr">
        <is>
          <t>DERIVED</t>
        </is>
      </c>
      <c r="J295" s="10" t="inlineStr">
        <is>
          <t>PROPOSED</t>
        </is>
      </c>
      <c r="K295" s="10" t="inlineStr">
        <is>
          <t>DERIVED</t>
        </is>
      </c>
      <c r="L295" s="10" t="inlineStr">
        <is>
          <t>baixa</t>
        </is>
      </c>
      <c r="M295" s="10" t="inlineStr">
        <is>
          <t>["D04-DOC-PPC-001.CAPACITY.CAPACIDADE_LIQUIDA"]</t>
        </is>
      </c>
    </row>
    <row r="296">
      <c r="A296" s="10" t="inlineStr">
        <is>
          <t>D04-DOC-PPC-001.CAPACITY.RESTRICOES</t>
        </is>
      </c>
      <c r="B296" s="10" t="inlineStr">
        <is>
          <t>D04-DOC-PPC-001</t>
        </is>
      </c>
      <c r="C296" s="10" t="inlineStr">
        <is>
          <t>D04-DOC-PPC-001-T06</t>
        </is>
      </c>
      <c r="D296" s="10" t="inlineStr">
        <is>
          <t>restricoes</t>
        </is>
      </c>
      <c r="E296" s="10" t="inlineStr">
        <is>
          <t>Definir, validar e manter: Restricoes</t>
        </is>
      </c>
      <c r="F296" s="10" t="n"/>
      <c r="G296" s="10" t="b">
        <v>1</v>
      </c>
      <c r="H296" s="10" t="b">
        <v>1</v>
      </c>
      <c r="I296" s="10" t="inlineStr">
        <is>
          <t>DERIVED</t>
        </is>
      </c>
      <c r="J296" s="10" t="inlineStr">
        <is>
          <t>PROPOSED</t>
        </is>
      </c>
      <c r="K296" s="10" t="inlineStr">
        <is>
          <t>DERIVED</t>
        </is>
      </c>
      <c r="L296" s="10" t="inlineStr">
        <is>
          <t>baixa</t>
        </is>
      </c>
      <c r="M296" s="10" t="inlineStr">
        <is>
          <t>["D04-DOC-PPC-001.CAPACITY.RESTRICOES"]</t>
        </is>
      </c>
    </row>
    <row r="297">
      <c r="A297" s="10" t="inlineStr">
        <is>
          <t>D04-DOC-PPC-001.WORKLOAD.DEMANDA</t>
        </is>
      </c>
      <c r="B297" s="10" t="inlineStr">
        <is>
          <t>D04-DOC-PPC-001</t>
        </is>
      </c>
      <c r="C297" s="10" t="inlineStr">
        <is>
          <t>D04-DOC-PPC-001-T07</t>
        </is>
      </c>
      <c r="D297" s="10" t="inlineStr">
        <is>
          <t>demanda</t>
        </is>
      </c>
      <c r="E297" s="10" t="inlineStr">
        <is>
          <t>Definir, validar e manter: Demanda</t>
        </is>
      </c>
      <c r="F297" s="10" t="n"/>
      <c r="G297" s="10" t="b">
        <v>1</v>
      </c>
      <c r="H297" s="10" t="b">
        <v>1</v>
      </c>
      <c r="I297" s="10" t="inlineStr">
        <is>
          <t>DERIVED</t>
        </is>
      </c>
      <c r="J297" s="10" t="inlineStr">
        <is>
          <t>PROPOSED</t>
        </is>
      </c>
      <c r="K297" s="10" t="inlineStr">
        <is>
          <t>DERIVED</t>
        </is>
      </c>
      <c r="L297" s="10" t="inlineStr">
        <is>
          <t>baixa</t>
        </is>
      </c>
      <c r="M297" s="10" t="inlineStr">
        <is>
          <t>["D04-DOC-PPC-001.WORKLOAD.DEMANDA"]</t>
        </is>
      </c>
    </row>
    <row r="298">
      <c r="A298" s="10" t="inlineStr">
        <is>
          <t>D04-DOC-PPC-001.WORKLOAD.CAPACIDADE</t>
        </is>
      </c>
      <c r="B298" s="10" t="inlineStr">
        <is>
          <t>D04-DOC-PPC-001</t>
        </is>
      </c>
      <c r="C298" s="10" t="inlineStr">
        <is>
          <t>D04-DOC-PPC-001-T07</t>
        </is>
      </c>
      <c r="D298" s="10" t="inlineStr">
        <is>
          <t>capacidade</t>
        </is>
      </c>
      <c r="E298" s="10" t="inlineStr">
        <is>
          <t>Definir, validar e manter: Capacidade</t>
        </is>
      </c>
      <c r="F298" s="10" t="n"/>
      <c r="G298" s="10" t="b">
        <v>1</v>
      </c>
      <c r="H298" s="10" t="b">
        <v>1</v>
      </c>
      <c r="I298" s="10" t="inlineStr">
        <is>
          <t>DERIVED</t>
        </is>
      </c>
      <c r="J298" s="10" t="inlineStr">
        <is>
          <t>PROPOSED</t>
        </is>
      </c>
      <c r="K298" s="10" t="inlineStr">
        <is>
          <t>DERIVED</t>
        </is>
      </c>
      <c r="L298" s="10" t="inlineStr">
        <is>
          <t>baixa</t>
        </is>
      </c>
      <c r="M298" s="10" t="inlineStr">
        <is>
          <t>["D04-DOC-PPC-001.WORKLOAD.CAPACIDADE"]</t>
        </is>
      </c>
    </row>
    <row r="299">
      <c r="A299" s="10" t="inlineStr">
        <is>
          <t>D04-DOC-PPC-001.WORKLOAD.DEFICIT</t>
        </is>
      </c>
      <c r="B299" s="10" t="inlineStr">
        <is>
          <t>D04-DOC-PPC-001</t>
        </is>
      </c>
      <c r="C299" s="10" t="inlineStr">
        <is>
          <t>D04-DOC-PPC-001-T07</t>
        </is>
      </c>
      <c r="D299" s="10" t="inlineStr">
        <is>
          <t>deficit</t>
        </is>
      </c>
      <c r="E299" s="10" t="inlineStr">
        <is>
          <t>Definir, validar e manter: Deficit</t>
        </is>
      </c>
      <c r="F299" s="10" t="n"/>
      <c r="G299" s="10" t="b">
        <v>1</v>
      </c>
      <c r="H299" s="10" t="b">
        <v>1</v>
      </c>
      <c r="I299" s="10" t="inlineStr">
        <is>
          <t>DERIVED</t>
        </is>
      </c>
      <c r="J299" s="10" t="inlineStr">
        <is>
          <t>PROPOSED</t>
        </is>
      </c>
      <c r="K299" s="10" t="inlineStr">
        <is>
          <t>DERIVED</t>
        </is>
      </c>
      <c r="L299" s="10" t="inlineStr">
        <is>
          <t>baixa</t>
        </is>
      </c>
      <c r="M299" s="10" t="inlineStr">
        <is>
          <t>["D04-DOC-PPC-001.WORKLOAD.DEFICIT"]</t>
        </is>
      </c>
    </row>
    <row r="300">
      <c r="A300" s="10" t="inlineStr">
        <is>
          <t>D04-DOC-PPC-001.GAPS.LACUNA</t>
        </is>
      </c>
      <c r="B300" s="10" t="inlineStr">
        <is>
          <t>D04-DOC-PPC-001</t>
        </is>
      </c>
      <c r="C300" s="10" t="inlineStr">
        <is>
          <t>D04-DOC-PPC-001-T08</t>
        </is>
      </c>
      <c r="D300" s="10" t="inlineStr">
        <is>
          <t>lacuna</t>
        </is>
      </c>
      <c r="E300" s="10" t="inlineStr">
        <is>
          <t>Definir, validar e manter: Lacuna</t>
        </is>
      </c>
      <c r="F300" s="10" t="n"/>
      <c r="G300" s="10" t="b">
        <v>1</v>
      </c>
      <c r="H300" s="10" t="b">
        <v>1</v>
      </c>
      <c r="I300" s="10" t="inlineStr">
        <is>
          <t>DERIVED</t>
        </is>
      </c>
      <c r="J300" s="10" t="inlineStr">
        <is>
          <t>PROPOSED</t>
        </is>
      </c>
      <c r="K300" s="10" t="inlineStr">
        <is>
          <t>DERIVED</t>
        </is>
      </c>
      <c r="L300" s="10" t="inlineStr">
        <is>
          <t>baixa</t>
        </is>
      </c>
      <c r="M300" s="10" t="inlineStr">
        <is>
          <t>["D04-DOC-PPC-001.GAPS.LACUNA"]</t>
        </is>
      </c>
    </row>
    <row r="301">
      <c r="A301" s="10" t="inlineStr">
        <is>
          <t>D04-DOC-PPC-001.GAPS.IMPACTO</t>
        </is>
      </c>
      <c r="B301" s="10" t="inlineStr">
        <is>
          <t>D04-DOC-PPC-001</t>
        </is>
      </c>
      <c r="C301" s="10" t="inlineStr">
        <is>
          <t>D04-DOC-PPC-001-T08</t>
        </is>
      </c>
      <c r="D301" s="10" t="inlineStr">
        <is>
          <t>impacto</t>
        </is>
      </c>
      <c r="E301" s="10" t="inlineStr">
        <is>
          <t>Definir, validar e manter: Impacto</t>
        </is>
      </c>
      <c r="F301" s="10" t="n"/>
      <c r="G301" s="10" t="b">
        <v>1</v>
      </c>
      <c r="H301" s="10" t="b">
        <v>1</v>
      </c>
      <c r="I301" s="10" t="inlineStr">
        <is>
          <t>DERIVED</t>
        </is>
      </c>
      <c r="J301" s="10" t="inlineStr">
        <is>
          <t>PROPOSED</t>
        </is>
      </c>
      <c r="K301" s="10" t="inlineStr">
        <is>
          <t>DERIVED</t>
        </is>
      </c>
      <c r="L301" s="10" t="inlineStr">
        <is>
          <t>baixa</t>
        </is>
      </c>
      <c r="M301" s="10" t="inlineStr">
        <is>
          <t>["D04-DOC-PPC-001.GAPS.IMPACTO"]</t>
        </is>
      </c>
    </row>
    <row r="302">
      <c r="A302" s="10" t="inlineStr">
        <is>
          <t>D04-DOC-PPC-001.GAPS.PRIORIDADE</t>
        </is>
      </c>
      <c r="B302" s="10" t="inlineStr">
        <is>
          <t>D04-DOC-PPC-001</t>
        </is>
      </c>
      <c r="C302" s="10" t="inlineStr">
        <is>
          <t>D04-DOC-PPC-001-T08</t>
        </is>
      </c>
      <c r="D302" s="10" t="inlineStr">
        <is>
          <t>prioridade</t>
        </is>
      </c>
      <c r="E302" s="10" t="inlineStr">
        <is>
          <t>Definir, validar e manter: Prioridade</t>
        </is>
      </c>
      <c r="F302" s="10" t="n"/>
      <c r="G302" s="10" t="b">
        <v>1</v>
      </c>
      <c r="H302" s="10" t="b">
        <v>1</v>
      </c>
      <c r="I302" s="10" t="inlineStr">
        <is>
          <t>EXTERNAL</t>
        </is>
      </c>
      <c r="J302" s="10" t="inlineStr">
        <is>
          <t>EXTERNAL_EVIDENCE</t>
        </is>
      </c>
      <c r="K302" s="10" t="inlineStr">
        <is>
          <t>EXTERNAL</t>
        </is>
      </c>
      <c r="L302" s="10" t="inlineStr">
        <is>
          <t>media</t>
        </is>
      </c>
      <c r="M302" s="10" t="inlineStr">
        <is>
          <t>["D04-DOC-PPC-001.GAPS.PRIORIDADE"]</t>
        </is>
      </c>
    </row>
    <row r="303">
      <c r="A303" s="10" t="inlineStr">
        <is>
          <t>D04-DOC-PPC-001.HIRING.NECESSIDADES_FUTURAS</t>
        </is>
      </c>
      <c r="B303" s="10" t="inlineStr">
        <is>
          <t>D04-DOC-PPC-001</t>
        </is>
      </c>
      <c r="C303" s="10" t="inlineStr">
        <is>
          <t>D04-DOC-PPC-001-T09</t>
        </is>
      </c>
      <c r="D303" s="10" t="inlineStr">
        <is>
          <t>necessidades_futuras</t>
        </is>
      </c>
      <c r="E303" s="10" t="inlineStr">
        <is>
          <t>Definir, validar e manter: Necessidades Futuras</t>
        </is>
      </c>
      <c r="F303" s="10" t="n"/>
      <c r="G303" s="10" t="b">
        <v>1</v>
      </c>
      <c r="H303" s="10" t="b">
        <v>1</v>
      </c>
      <c r="I303" s="10" t="inlineStr">
        <is>
          <t>DERIVED</t>
        </is>
      </c>
      <c r="J303" s="10" t="inlineStr">
        <is>
          <t>PROPOSED</t>
        </is>
      </c>
      <c r="K303" s="10" t="inlineStr">
        <is>
          <t>DERIVED</t>
        </is>
      </c>
      <c r="L303" s="10" t="inlineStr">
        <is>
          <t>baixa</t>
        </is>
      </c>
      <c r="M303" s="10" t="inlineStr">
        <is>
          <t>["D04-DOC-PPC-001.HIRING.NECESSIDADES_FUTURAS"]</t>
        </is>
      </c>
    </row>
    <row r="304">
      <c r="A304" s="10" t="inlineStr">
        <is>
          <t>D04-DOC-PPC-001.HIRING.PERFIL</t>
        </is>
      </c>
      <c r="B304" s="10" t="inlineStr">
        <is>
          <t>D04-DOC-PPC-001</t>
        </is>
      </c>
      <c r="C304" s="10" t="inlineStr">
        <is>
          <t>D04-DOC-PPC-001-T09</t>
        </is>
      </c>
      <c r="D304" s="10" t="inlineStr">
        <is>
          <t>perfil</t>
        </is>
      </c>
      <c r="E304" s="10" t="inlineStr">
        <is>
          <t>Definir, validar e manter: Perfil</t>
        </is>
      </c>
      <c r="F304" s="10" t="n"/>
      <c r="G304" s="10" t="b">
        <v>1</v>
      </c>
      <c r="H304" s="10" t="b">
        <v>1</v>
      </c>
      <c r="I304" s="10" t="inlineStr">
        <is>
          <t>DERIVED</t>
        </is>
      </c>
      <c r="J304" s="10" t="inlineStr">
        <is>
          <t>PROPOSED</t>
        </is>
      </c>
      <c r="K304" s="10" t="inlineStr">
        <is>
          <t>DERIVED</t>
        </is>
      </c>
      <c r="L304" s="10" t="inlineStr">
        <is>
          <t>baixa</t>
        </is>
      </c>
      <c r="M304" s="10" t="inlineStr">
        <is>
          <t>["D04-DOC-PPC-001.HIRING.PERFIL"]</t>
        </is>
      </c>
    </row>
    <row r="305">
      <c r="A305" s="10" t="inlineStr">
        <is>
          <t>D04-DOC-PPC-001.ONBOARDING.ENTRADA</t>
        </is>
      </c>
      <c r="B305" s="10" t="inlineStr">
        <is>
          <t>D04-DOC-PPC-001</t>
        </is>
      </c>
      <c r="C305" s="10" t="inlineStr">
        <is>
          <t>D04-DOC-PPC-001-T10</t>
        </is>
      </c>
      <c r="D305" s="10" t="inlineStr">
        <is>
          <t>entrada</t>
        </is>
      </c>
      <c r="E305" s="10" t="inlineStr">
        <is>
          <t>Definir, validar e manter: Entrada</t>
        </is>
      </c>
      <c r="F305" s="10" t="n"/>
      <c r="G305" s="10" t="b">
        <v>1</v>
      </c>
      <c r="H305" s="10" t="b">
        <v>1</v>
      </c>
      <c r="I305" s="10" t="inlineStr">
        <is>
          <t>DERIVED</t>
        </is>
      </c>
      <c r="J305" s="10" t="inlineStr">
        <is>
          <t>PROPOSED</t>
        </is>
      </c>
      <c r="K305" s="10" t="inlineStr">
        <is>
          <t>DERIVED</t>
        </is>
      </c>
      <c r="L305" s="10" t="inlineStr">
        <is>
          <t>baixa</t>
        </is>
      </c>
      <c r="M305" s="10" t="inlineStr">
        <is>
          <t>["D04-DOC-PPC-001.ONBOARDING.ENTRADA"]</t>
        </is>
      </c>
    </row>
    <row r="306">
      <c r="A306" s="10" t="inlineStr">
        <is>
          <t>D04-DOC-PPC-001.ONBOARDING.TREINAMENTO</t>
        </is>
      </c>
      <c r="B306" s="10" t="inlineStr">
        <is>
          <t>D04-DOC-PPC-001</t>
        </is>
      </c>
      <c r="C306" s="10" t="inlineStr">
        <is>
          <t>D04-DOC-PPC-001-T10</t>
        </is>
      </c>
      <c r="D306" s="10" t="inlineStr">
        <is>
          <t>treinamento</t>
        </is>
      </c>
      <c r="E306" s="10" t="inlineStr">
        <is>
          <t>Definir, validar e manter: Treinamento</t>
        </is>
      </c>
      <c r="F306" s="10" t="n"/>
      <c r="G306" s="10" t="b">
        <v>1</v>
      </c>
      <c r="H306" s="10" t="b">
        <v>1</v>
      </c>
      <c r="I306" s="10" t="inlineStr">
        <is>
          <t>DERIVED</t>
        </is>
      </c>
      <c r="J306" s="10" t="inlineStr">
        <is>
          <t>PROPOSED</t>
        </is>
      </c>
      <c r="K306" s="10" t="inlineStr">
        <is>
          <t>DERIVED</t>
        </is>
      </c>
      <c r="L306" s="10" t="inlineStr">
        <is>
          <t>baixa</t>
        </is>
      </c>
      <c r="M306" s="10" t="inlineStr">
        <is>
          <t>["D04-DOC-PPC-001.ONBOARDING.TREINAMENTO"]</t>
        </is>
      </c>
    </row>
    <row r="307">
      <c r="A307" s="10" t="inlineStr">
        <is>
          <t>D04-DOC-PPC-001.ONBOARDING.ACESSO</t>
        </is>
      </c>
      <c r="B307" s="10" t="inlineStr">
        <is>
          <t>D04-DOC-PPC-001</t>
        </is>
      </c>
      <c r="C307" s="10" t="inlineStr">
        <is>
          <t>D04-DOC-PPC-001-T10</t>
        </is>
      </c>
      <c r="D307" s="10" t="inlineStr">
        <is>
          <t>acesso</t>
        </is>
      </c>
      <c r="E307" s="10" t="inlineStr">
        <is>
          <t>Definir, validar e manter: Acesso</t>
        </is>
      </c>
      <c r="F307" s="10" t="n"/>
      <c r="G307" s="10" t="b">
        <v>1</v>
      </c>
      <c r="H307" s="10" t="b">
        <v>1</v>
      </c>
      <c r="I307" s="10" t="inlineStr">
        <is>
          <t>DERIVED</t>
        </is>
      </c>
      <c r="J307" s="10" t="inlineStr">
        <is>
          <t>PROPOSED</t>
        </is>
      </c>
      <c r="K307" s="10" t="inlineStr">
        <is>
          <t>DERIVED</t>
        </is>
      </c>
      <c r="L307" s="10" t="inlineStr">
        <is>
          <t>baixa</t>
        </is>
      </c>
      <c r="M307" s="10" t="inlineStr">
        <is>
          <t>["D04-DOC-PPC-001.ONBOARDING.ACESSO"]</t>
        </is>
      </c>
    </row>
    <row r="308">
      <c r="A308" s="10" t="inlineStr">
        <is>
          <t>D04-DOC-PPC-001.DEVELOPMENT.FORMACAO</t>
        </is>
      </c>
      <c r="B308" s="10" t="inlineStr">
        <is>
          <t>D04-DOC-PPC-001</t>
        </is>
      </c>
      <c r="C308" s="10" t="inlineStr">
        <is>
          <t>D04-DOC-PPC-001-T11</t>
        </is>
      </c>
      <c r="D308" s="10" t="inlineStr">
        <is>
          <t>formacao</t>
        </is>
      </c>
      <c r="E308" s="10" t="inlineStr">
        <is>
          <t>Definir, validar e manter: Formacao</t>
        </is>
      </c>
      <c r="F308" s="10" t="n"/>
      <c r="G308" s="10" t="b">
        <v>1</v>
      </c>
      <c r="H308" s="10" t="b">
        <v>1</v>
      </c>
      <c r="I308" s="10" t="inlineStr">
        <is>
          <t>DERIVED</t>
        </is>
      </c>
      <c r="J308" s="10" t="inlineStr">
        <is>
          <t>PROPOSED</t>
        </is>
      </c>
      <c r="K308" s="10" t="inlineStr">
        <is>
          <t>DERIVED</t>
        </is>
      </c>
      <c r="L308" s="10" t="inlineStr">
        <is>
          <t>baixa</t>
        </is>
      </c>
      <c r="M308" s="10" t="inlineStr">
        <is>
          <t>["D04-DOC-PPC-001.DEVELOPMENT.FORMACAO"]</t>
        </is>
      </c>
    </row>
    <row r="309">
      <c r="A309" s="10" t="inlineStr">
        <is>
          <t>D04-DOC-PPC-001.DEVELOPMENT.CAPACITACAO</t>
        </is>
      </c>
      <c r="B309" s="10" t="inlineStr">
        <is>
          <t>D04-DOC-PPC-001</t>
        </is>
      </c>
      <c r="C309" s="10" t="inlineStr">
        <is>
          <t>D04-DOC-PPC-001-T11</t>
        </is>
      </c>
      <c r="D309" s="10" t="inlineStr">
        <is>
          <t>capacitacao</t>
        </is>
      </c>
      <c r="E309" s="10" t="inlineStr">
        <is>
          <t>Definir, validar e manter: Capacitacao</t>
        </is>
      </c>
      <c r="F309" s="10" t="n"/>
      <c r="G309" s="10" t="b">
        <v>1</v>
      </c>
      <c r="H309" s="10" t="b">
        <v>1</v>
      </c>
      <c r="I309" s="10" t="inlineStr">
        <is>
          <t>DERIVED</t>
        </is>
      </c>
      <c r="J309" s="10" t="inlineStr">
        <is>
          <t>PROPOSED</t>
        </is>
      </c>
      <c r="K309" s="10" t="inlineStr">
        <is>
          <t>DERIVED</t>
        </is>
      </c>
      <c r="L309" s="10" t="inlineStr">
        <is>
          <t>baixa</t>
        </is>
      </c>
      <c r="M309" s="10" t="inlineStr">
        <is>
          <t>["D04-DOC-PPC-001.DEVELOPMENT.CAPACITACAO"]</t>
        </is>
      </c>
    </row>
    <row r="310">
      <c r="A310" s="10" t="inlineStr">
        <is>
          <t>D04-DOC-PPC-001.CONTINUITY.DEPENDENCIA_DE_PESSOA</t>
        </is>
      </c>
      <c r="B310" s="10" t="inlineStr">
        <is>
          <t>D04-DOC-PPC-001</t>
        </is>
      </c>
      <c r="C310" s="10" t="inlineStr">
        <is>
          <t>D04-DOC-PPC-001-T12</t>
        </is>
      </c>
      <c r="D310" s="10" t="inlineStr">
        <is>
          <t>dependencia_de_pessoa</t>
        </is>
      </c>
      <c r="E310" s="10" t="inlineStr">
        <is>
          <t>Definir, validar e manter: Dependencia De Pessoa</t>
        </is>
      </c>
      <c r="F310" s="10" t="n"/>
      <c r="G310" s="10" t="b">
        <v>1</v>
      </c>
      <c r="H310" s="10" t="b">
        <v>1</v>
      </c>
      <c r="I310" s="10" t="inlineStr">
        <is>
          <t>DERIVED</t>
        </is>
      </c>
      <c r="J310" s="10" t="inlineStr">
        <is>
          <t>PROPOSED</t>
        </is>
      </c>
      <c r="K310" s="10" t="inlineStr">
        <is>
          <t>DERIVED</t>
        </is>
      </c>
      <c r="L310" s="10" t="inlineStr">
        <is>
          <t>baixa</t>
        </is>
      </c>
      <c r="M310" s="10" t="inlineStr">
        <is>
          <t>["D04-DOC-PPC-001.CONTINUITY.DEPENDENCIA_DE_PESSOA"]</t>
        </is>
      </c>
    </row>
    <row r="311">
      <c r="A311" s="10" t="inlineStr">
        <is>
          <t>D04-DOC-PPC-001.CONTINUITY.SUBSTITUICAO</t>
        </is>
      </c>
      <c r="B311" s="10" t="inlineStr">
        <is>
          <t>D04-DOC-PPC-001</t>
        </is>
      </c>
      <c r="C311" s="10" t="inlineStr">
        <is>
          <t>D04-DOC-PPC-001-T12</t>
        </is>
      </c>
      <c r="D311" s="10" t="inlineStr">
        <is>
          <t>substituicao</t>
        </is>
      </c>
      <c r="E311" s="10" t="inlineStr">
        <is>
          <t>Definir, validar e manter: Substituicao</t>
        </is>
      </c>
      <c r="F311" s="10" t="n"/>
      <c r="G311" s="10" t="b">
        <v>1</v>
      </c>
      <c r="H311" s="10" t="b">
        <v>1</v>
      </c>
      <c r="I311" s="10" t="inlineStr">
        <is>
          <t>DERIVED</t>
        </is>
      </c>
      <c r="J311" s="10" t="inlineStr">
        <is>
          <t>PROPOSED</t>
        </is>
      </c>
      <c r="K311" s="10" t="inlineStr">
        <is>
          <t>DERIVED</t>
        </is>
      </c>
      <c r="L311" s="10" t="inlineStr">
        <is>
          <t>baixa</t>
        </is>
      </c>
      <c r="M311" s="10" t="inlineStr">
        <is>
          <t>["D04-DOC-PPC-001.CONTINUITY.SUBSTITUICAO"]</t>
        </is>
      </c>
    </row>
    <row r="312">
      <c r="A312" s="10" t="inlineStr">
        <is>
          <t>D04-DOC-PPC-001.METRICS.UTILIZACAO</t>
        </is>
      </c>
      <c r="B312" s="10" t="inlineStr">
        <is>
          <t>D04-DOC-PPC-001</t>
        </is>
      </c>
      <c r="C312" s="10" t="inlineStr">
        <is>
          <t>D04-DOC-PPC-001-T13</t>
        </is>
      </c>
      <c r="D312" s="10" t="inlineStr">
        <is>
          <t>utilizacao</t>
        </is>
      </c>
      <c r="E312" s="10" t="inlineStr">
        <is>
          <t>Definir, validar e manter: Utilizacao</t>
        </is>
      </c>
      <c r="F312" s="10" t="n"/>
      <c r="G312" s="10" t="b">
        <v>1</v>
      </c>
      <c r="H312" s="10" t="b">
        <v>1</v>
      </c>
      <c r="I312" s="10" t="inlineStr">
        <is>
          <t>DERIVED</t>
        </is>
      </c>
      <c r="J312" s="10" t="inlineStr">
        <is>
          <t>PROPOSED</t>
        </is>
      </c>
      <c r="K312" s="10" t="inlineStr">
        <is>
          <t>DERIVED</t>
        </is>
      </c>
      <c r="L312" s="10" t="inlineStr">
        <is>
          <t>baixa</t>
        </is>
      </c>
      <c r="M312" s="10" t="inlineStr">
        <is>
          <t>["D04-DOC-PPC-001.METRICS.UTILIZACAO"]</t>
        </is>
      </c>
    </row>
    <row r="313">
      <c r="A313" s="10" t="inlineStr">
        <is>
          <t>D04-DOC-PPC-001.METRICS.CAPACIDADE</t>
        </is>
      </c>
      <c r="B313" s="10" t="inlineStr">
        <is>
          <t>D04-DOC-PPC-001</t>
        </is>
      </c>
      <c r="C313" s="10" t="inlineStr">
        <is>
          <t>D04-DOC-PPC-001-T13</t>
        </is>
      </c>
      <c r="D313" s="10" t="inlineStr">
        <is>
          <t>capacidade</t>
        </is>
      </c>
      <c r="E313" s="10" t="inlineStr">
        <is>
          <t>Definir, validar e manter: Capacidade</t>
        </is>
      </c>
      <c r="F313" s="10" t="n"/>
      <c r="G313" s="10" t="b">
        <v>1</v>
      </c>
      <c r="H313" s="10" t="b">
        <v>1</v>
      </c>
      <c r="I313" s="10" t="inlineStr">
        <is>
          <t>DERIVED</t>
        </is>
      </c>
      <c r="J313" s="10" t="inlineStr">
        <is>
          <t>PROPOSED</t>
        </is>
      </c>
      <c r="K313" s="10" t="inlineStr">
        <is>
          <t>DERIVED</t>
        </is>
      </c>
      <c r="L313" s="10" t="inlineStr">
        <is>
          <t>baixa</t>
        </is>
      </c>
      <c r="M313" s="10" t="inlineStr">
        <is>
          <t>["D04-DOC-PPC-001.METRICS.CAPACIDADE"]</t>
        </is>
      </c>
    </row>
    <row r="314">
      <c r="A314" s="10" t="inlineStr">
        <is>
          <t>D04-DOC-PPC-001.METRICS.TURNOVER</t>
        </is>
      </c>
      <c r="B314" s="10" t="inlineStr">
        <is>
          <t>D04-DOC-PPC-001</t>
        </is>
      </c>
      <c r="C314" s="10" t="inlineStr">
        <is>
          <t>D04-DOC-PPC-001-T13</t>
        </is>
      </c>
      <c r="D314" s="10" t="inlineStr">
        <is>
          <t>turnover</t>
        </is>
      </c>
      <c r="E314" s="10" t="inlineStr">
        <is>
          <t>Definir, validar e manter: Turnover</t>
        </is>
      </c>
      <c r="F314" s="10" t="n"/>
      <c r="G314" s="10" t="b">
        <v>1</v>
      </c>
      <c r="H314" s="10" t="b">
        <v>1</v>
      </c>
      <c r="I314" s="10" t="inlineStr">
        <is>
          <t>DERIVED</t>
        </is>
      </c>
      <c r="J314" s="10" t="inlineStr">
        <is>
          <t>PROPOSED</t>
        </is>
      </c>
      <c r="K314" s="10" t="inlineStr">
        <is>
          <t>DERIVED</t>
        </is>
      </c>
      <c r="L314" s="10" t="inlineStr">
        <is>
          <t>baixa</t>
        </is>
      </c>
      <c r="M314" s="10" t="inlineStr">
        <is>
          <t>["D04-DOC-PPC-001.METRICS.TURNOVER"]</t>
        </is>
      </c>
    </row>
    <row r="315">
      <c r="A315" s="10" t="inlineStr">
        <is>
          <t>D04-DOC-PPC-001.METRICS.GAPS</t>
        </is>
      </c>
      <c r="B315" s="10" t="inlineStr">
        <is>
          <t>D04-DOC-PPC-001</t>
        </is>
      </c>
      <c r="C315" s="10" t="inlineStr">
        <is>
          <t>D04-DOC-PPC-001-T13</t>
        </is>
      </c>
      <c r="D315" s="10" t="inlineStr">
        <is>
          <t>gaps</t>
        </is>
      </c>
      <c r="E315" s="10" t="inlineStr">
        <is>
          <t>Definir, validar e manter: Gaps</t>
        </is>
      </c>
      <c r="F315" s="10" t="n"/>
      <c r="G315" s="10" t="b">
        <v>1</v>
      </c>
      <c r="H315" s="10" t="b">
        <v>1</v>
      </c>
      <c r="I315" s="10" t="inlineStr">
        <is>
          <t>DERIVED</t>
        </is>
      </c>
      <c r="J315" s="10" t="inlineStr">
        <is>
          <t>PROPOSED</t>
        </is>
      </c>
      <c r="K315" s="10" t="inlineStr">
        <is>
          <t>DERIVED</t>
        </is>
      </c>
      <c r="L315" s="10" t="inlineStr">
        <is>
          <t>baixa</t>
        </is>
      </c>
      <c r="M315" s="10" t="inlineStr">
        <is>
          <t>["D04-DOC-PPC-001.METRICS.GAPS"]</t>
        </is>
      </c>
    </row>
    <row r="316">
      <c r="A316" s="10" t="inlineStr">
        <is>
          <t>D05-DOC-EPGD-001.DATA_DOMAINS.DOMINIO</t>
        </is>
      </c>
      <c r="B316" s="10" t="inlineStr">
        <is>
          <t>D05-DOC-EPGD-001</t>
        </is>
      </c>
      <c r="C316" s="10" t="inlineStr">
        <is>
          <t>D05-DOC-EPGD-001-T01</t>
        </is>
      </c>
      <c r="D316" s="10" t="inlineStr">
        <is>
          <t>dominio</t>
        </is>
      </c>
      <c r="E316" s="10" t="inlineStr">
        <is>
          <t>Definir, validar e manter: Dominio</t>
        </is>
      </c>
      <c r="F316" s="10" t="n"/>
      <c r="G316" s="10" t="b">
        <v>1</v>
      </c>
      <c r="H316" s="10" t="b">
        <v>1</v>
      </c>
      <c r="I316" s="10" t="inlineStr">
        <is>
          <t>DERIVED</t>
        </is>
      </c>
      <c r="J316" s="10" t="inlineStr">
        <is>
          <t>PROPOSED</t>
        </is>
      </c>
      <c r="K316" s="10" t="inlineStr">
        <is>
          <t>DERIVED</t>
        </is>
      </c>
      <c r="L316" s="10" t="inlineStr">
        <is>
          <t>baixa</t>
        </is>
      </c>
      <c r="M316" s="10" t="inlineStr">
        <is>
          <t>["D05-DOC-EPGD-001.DATA_DOMAINS.DOMINIO"]</t>
        </is>
      </c>
    </row>
    <row r="317">
      <c r="A317" s="10" t="inlineStr">
        <is>
          <t>D05-DOC-EPGD-001.DATA_DOMAINS.DESCRICAO</t>
        </is>
      </c>
      <c r="B317" s="10" t="inlineStr">
        <is>
          <t>D05-DOC-EPGD-001</t>
        </is>
      </c>
      <c r="C317" s="10" t="inlineStr">
        <is>
          <t>D05-DOC-EPGD-001-T01</t>
        </is>
      </c>
      <c r="D317" s="10" t="inlineStr">
        <is>
          <t>descricao</t>
        </is>
      </c>
      <c r="E317" s="10" t="inlineStr">
        <is>
          <t>Definir, validar e manter: Descricao</t>
        </is>
      </c>
      <c r="F317" s="10" t="n"/>
      <c r="G317" s="10" t="b">
        <v>1</v>
      </c>
      <c r="H317" s="10" t="b">
        <v>1</v>
      </c>
      <c r="I317" s="10" t="inlineStr">
        <is>
          <t>DERIVED</t>
        </is>
      </c>
      <c r="J317" s="10" t="inlineStr">
        <is>
          <t>PROPOSED</t>
        </is>
      </c>
      <c r="K317" s="10" t="inlineStr">
        <is>
          <t>DERIVED</t>
        </is>
      </c>
      <c r="L317" s="10" t="inlineStr">
        <is>
          <t>baixa</t>
        </is>
      </c>
      <c r="M317" s="10" t="inlineStr">
        <is>
          <t>["D05-DOC-EPGD-001.DATA_DOMAINS.DESCRICAO"]</t>
        </is>
      </c>
    </row>
    <row r="318">
      <c r="A318" s="10" t="inlineStr">
        <is>
          <t>D05-DOC-EPGD-001.DATA_DOMAINS.OWNER</t>
        </is>
      </c>
      <c r="B318" s="10" t="inlineStr">
        <is>
          <t>D05-DOC-EPGD-001</t>
        </is>
      </c>
      <c r="C318" s="10" t="inlineStr">
        <is>
          <t>D05-DOC-EPGD-001-T01</t>
        </is>
      </c>
      <c r="D318" s="10" t="inlineStr">
        <is>
          <t>owner</t>
        </is>
      </c>
      <c r="E318" s="10" t="inlineStr">
        <is>
          <t>Definir, validar e manter: Owner</t>
        </is>
      </c>
      <c r="F318" s="10" t="n"/>
      <c r="G318" s="10" t="b">
        <v>1</v>
      </c>
      <c r="H318" s="10" t="b">
        <v>1</v>
      </c>
      <c r="I318" s="10" t="inlineStr">
        <is>
          <t>DERIVED</t>
        </is>
      </c>
      <c r="J318" s="10" t="inlineStr">
        <is>
          <t>PROPOSED</t>
        </is>
      </c>
      <c r="K318" s="10" t="inlineStr">
        <is>
          <t>DERIVED</t>
        </is>
      </c>
      <c r="L318" s="10" t="inlineStr">
        <is>
          <t>baixa</t>
        </is>
      </c>
      <c r="M318" s="10" t="inlineStr">
        <is>
          <t>["D05-DOC-EPGD-001.DATA_DOMAINS.OWNER"]</t>
        </is>
      </c>
    </row>
    <row r="319">
      <c r="A319" s="10" t="inlineStr">
        <is>
          <t>D05-DOC-EPGD-001.SOURCES.FONTE</t>
        </is>
      </c>
      <c r="B319" s="10" t="inlineStr">
        <is>
          <t>D05-DOC-EPGD-001</t>
        </is>
      </c>
      <c r="C319" s="10" t="inlineStr">
        <is>
          <t>D05-DOC-EPGD-001-T02</t>
        </is>
      </c>
      <c r="D319" s="10" t="inlineStr">
        <is>
          <t>fonte</t>
        </is>
      </c>
      <c r="E319" s="10" t="inlineStr">
        <is>
          <t>Definir, validar e manter: Fonte</t>
        </is>
      </c>
      <c r="F319" s="10" t="n"/>
      <c r="G319" s="10" t="b">
        <v>1</v>
      </c>
      <c r="H319" s="10" t="b">
        <v>1</v>
      </c>
      <c r="I319" s="10" t="inlineStr">
        <is>
          <t>DERIVED</t>
        </is>
      </c>
      <c r="J319" s="10" t="inlineStr">
        <is>
          <t>PROPOSED</t>
        </is>
      </c>
      <c r="K319" s="10" t="inlineStr">
        <is>
          <t>DERIVED</t>
        </is>
      </c>
      <c r="L319" s="10" t="inlineStr">
        <is>
          <t>baixa</t>
        </is>
      </c>
      <c r="M319" s="10" t="inlineStr">
        <is>
          <t>["D05-DOC-EPGD-001.SOURCES.FONTE"]</t>
        </is>
      </c>
    </row>
    <row r="320">
      <c r="A320" s="10" t="inlineStr">
        <is>
          <t>D05-DOC-EPGD-001.SOURCES.SISTEMA</t>
        </is>
      </c>
      <c r="B320" s="10" t="inlineStr">
        <is>
          <t>D05-DOC-EPGD-001</t>
        </is>
      </c>
      <c r="C320" s="10" t="inlineStr">
        <is>
          <t>D05-DOC-EPGD-001-T02</t>
        </is>
      </c>
      <c r="D320" s="10" t="inlineStr">
        <is>
          <t>sistema</t>
        </is>
      </c>
      <c r="E320" s="10" t="inlineStr">
        <is>
          <t>Definir, validar e manter: Sistema</t>
        </is>
      </c>
      <c r="F320" s="10" t="n"/>
      <c r="G320" s="10" t="b">
        <v>1</v>
      </c>
      <c r="H320" s="10" t="b">
        <v>1</v>
      </c>
      <c r="I320" s="10" t="inlineStr">
        <is>
          <t>DERIVED</t>
        </is>
      </c>
      <c r="J320" s="10" t="inlineStr">
        <is>
          <t>PROPOSED</t>
        </is>
      </c>
      <c r="K320" s="10" t="inlineStr">
        <is>
          <t>DERIVED</t>
        </is>
      </c>
      <c r="L320" s="10" t="inlineStr">
        <is>
          <t>baixa</t>
        </is>
      </c>
      <c r="M320" s="10" t="inlineStr">
        <is>
          <t>["D05-DOC-EPGD-001.SOURCES.SISTEMA"]</t>
        </is>
      </c>
    </row>
    <row r="321">
      <c r="A321" s="10" t="inlineStr">
        <is>
          <t>D05-DOC-EPGD-001.SOURCES.ORIGEM</t>
        </is>
      </c>
      <c r="B321" s="10" t="inlineStr">
        <is>
          <t>D05-DOC-EPGD-001</t>
        </is>
      </c>
      <c r="C321" s="10" t="inlineStr">
        <is>
          <t>D05-DOC-EPGD-001-T02</t>
        </is>
      </c>
      <c r="D321" s="10" t="inlineStr">
        <is>
          <t>origem</t>
        </is>
      </c>
      <c r="E321" s="10" t="inlineStr">
        <is>
          <t>Definir, validar e manter: Origem</t>
        </is>
      </c>
      <c r="F321" s="10" t="n"/>
      <c r="G321" s="10" t="b">
        <v>1</v>
      </c>
      <c r="H321" s="10" t="b">
        <v>1</v>
      </c>
      <c r="I321" s="10" t="inlineStr">
        <is>
          <t>DERIVED</t>
        </is>
      </c>
      <c r="J321" s="10" t="inlineStr">
        <is>
          <t>PROPOSED</t>
        </is>
      </c>
      <c r="K321" s="10" t="inlineStr">
        <is>
          <t>DERIVED</t>
        </is>
      </c>
      <c r="L321" s="10" t="inlineStr">
        <is>
          <t>baixa</t>
        </is>
      </c>
      <c r="M321" s="10" t="inlineStr">
        <is>
          <t>["D05-DOC-EPGD-001.SOURCES.ORIGEM"]</t>
        </is>
      </c>
    </row>
    <row r="322">
      <c r="A322" s="10" t="inlineStr">
        <is>
          <t>D05-DOC-EPGD-001.INGESTION.METODO</t>
        </is>
      </c>
      <c r="B322" s="10" t="inlineStr">
        <is>
          <t>D05-DOC-EPGD-001</t>
        </is>
      </c>
      <c r="C322" s="10" t="inlineStr">
        <is>
          <t>D05-DOC-EPGD-001-T03</t>
        </is>
      </c>
      <c r="D322" s="10" t="inlineStr">
        <is>
          <t>metodo</t>
        </is>
      </c>
      <c r="E322" s="10" t="inlineStr">
        <is>
          <t>Definir, validar e manter: Metodo</t>
        </is>
      </c>
      <c r="F322" s="10" t="n"/>
      <c r="G322" s="10" t="b">
        <v>1</v>
      </c>
      <c r="H322" s="10" t="b">
        <v>1</v>
      </c>
      <c r="I322" s="10" t="inlineStr">
        <is>
          <t>DERIVED</t>
        </is>
      </c>
      <c r="J322" s="10" t="inlineStr">
        <is>
          <t>PROPOSED</t>
        </is>
      </c>
      <c r="K322" s="10" t="inlineStr">
        <is>
          <t>DERIVED</t>
        </is>
      </c>
      <c r="L322" s="10" t="inlineStr">
        <is>
          <t>baixa</t>
        </is>
      </c>
      <c r="M322" s="10" t="inlineStr">
        <is>
          <t>["D05-DOC-EPGD-001.INGESTION.METODO"]</t>
        </is>
      </c>
    </row>
    <row r="323">
      <c r="A323" s="10" t="inlineStr">
        <is>
          <t>D05-DOC-EPGD-001.INGESTION.FREQUENCIA</t>
        </is>
      </c>
      <c r="B323" s="10" t="inlineStr">
        <is>
          <t>D05-DOC-EPGD-001</t>
        </is>
      </c>
      <c r="C323" s="10" t="inlineStr">
        <is>
          <t>D05-DOC-EPGD-001-T03</t>
        </is>
      </c>
      <c r="D323" s="10" t="inlineStr">
        <is>
          <t>frequencia</t>
        </is>
      </c>
      <c r="E323" s="10" t="inlineStr">
        <is>
          <t>Definir, validar e manter: Frequencia</t>
        </is>
      </c>
      <c r="F323" s="10" t="n"/>
      <c r="G323" s="10" t="b">
        <v>1</v>
      </c>
      <c r="H323" s="10" t="b">
        <v>1</v>
      </c>
      <c r="I323" s="10" t="inlineStr">
        <is>
          <t>DERIVED</t>
        </is>
      </c>
      <c r="J323" s="10" t="inlineStr">
        <is>
          <t>PROPOSED</t>
        </is>
      </c>
      <c r="K323" s="10" t="inlineStr">
        <is>
          <t>DERIVED</t>
        </is>
      </c>
      <c r="L323" s="10" t="inlineStr">
        <is>
          <t>baixa</t>
        </is>
      </c>
      <c r="M323" s="10" t="inlineStr">
        <is>
          <t>["D05-DOC-EPGD-001.INGESTION.FREQUENCIA"]</t>
        </is>
      </c>
    </row>
    <row r="324">
      <c r="A324" s="10" t="inlineStr">
        <is>
          <t>D05-DOC-EPGD-001.STORAGE.BANCO</t>
        </is>
      </c>
      <c r="B324" s="10" t="inlineStr">
        <is>
          <t>D05-DOC-EPGD-001</t>
        </is>
      </c>
      <c r="C324" s="10" t="inlineStr">
        <is>
          <t>D05-DOC-EPGD-001-T04</t>
        </is>
      </c>
      <c r="D324" s="10" t="inlineStr">
        <is>
          <t>banco</t>
        </is>
      </c>
      <c r="E324" s="10" t="inlineStr">
        <is>
          <t>Definir, validar e manter: Banco</t>
        </is>
      </c>
      <c r="F324" s="10" t="n"/>
      <c r="G324" s="10" t="b">
        <v>1</v>
      </c>
      <c r="H324" s="10" t="b">
        <v>1</v>
      </c>
      <c r="I324" s="10" t="inlineStr">
        <is>
          <t>DERIVED</t>
        </is>
      </c>
      <c r="J324" s="10" t="inlineStr">
        <is>
          <t>PROPOSED</t>
        </is>
      </c>
      <c r="K324" s="10" t="inlineStr">
        <is>
          <t>DERIVED</t>
        </is>
      </c>
      <c r="L324" s="10" t="inlineStr">
        <is>
          <t>baixa</t>
        </is>
      </c>
      <c r="M324" s="10" t="inlineStr">
        <is>
          <t>["D05-DOC-EPGD-001.STORAGE.BANCO"]</t>
        </is>
      </c>
    </row>
    <row r="325">
      <c r="A325" s="10" t="inlineStr">
        <is>
          <t>D05-DOC-EPGD-001.STORAGE.REPOSITORIO</t>
        </is>
      </c>
      <c r="B325" s="10" t="inlineStr">
        <is>
          <t>D05-DOC-EPGD-001</t>
        </is>
      </c>
      <c r="C325" s="10" t="inlineStr">
        <is>
          <t>D05-DOC-EPGD-001-T04</t>
        </is>
      </c>
      <c r="D325" s="10" t="inlineStr">
        <is>
          <t>repositorio</t>
        </is>
      </c>
      <c r="E325" s="10" t="inlineStr">
        <is>
          <t>Definir, validar e manter: Repositorio</t>
        </is>
      </c>
      <c r="F325" s="10" t="n"/>
      <c r="G325" s="10" t="b">
        <v>1</v>
      </c>
      <c r="H325" s="10" t="b">
        <v>1</v>
      </c>
      <c r="I325" s="10" t="inlineStr">
        <is>
          <t>DERIVED</t>
        </is>
      </c>
      <c r="J325" s="10" t="inlineStr">
        <is>
          <t>PROPOSED</t>
        </is>
      </c>
      <c r="K325" s="10" t="inlineStr">
        <is>
          <t>DERIVED</t>
        </is>
      </c>
      <c r="L325" s="10" t="inlineStr">
        <is>
          <t>baixa</t>
        </is>
      </c>
      <c r="M325" s="10" t="inlineStr">
        <is>
          <t>["D05-DOC-EPGD-001.STORAGE.REPOSITORIO"]</t>
        </is>
      </c>
    </row>
    <row r="326">
      <c r="A326" s="10" t="inlineStr">
        <is>
          <t>D05-DOC-EPGD-001.STORAGE.FORMATO</t>
        </is>
      </c>
      <c r="B326" s="10" t="inlineStr">
        <is>
          <t>D05-DOC-EPGD-001</t>
        </is>
      </c>
      <c r="C326" s="10" t="inlineStr">
        <is>
          <t>D05-DOC-EPGD-001-T04</t>
        </is>
      </c>
      <c r="D326" s="10" t="inlineStr">
        <is>
          <t>formato</t>
        </is>
      </c>
      <c r="E326" s="10" t="inlineStr">
        <is>
          <t>Definir, validar e manter: Formato</t>
        </is>
      </c>
      <c r="F326" s="10" t="n"/>
      <c r="G326" s="10" t="b">
        <v>1</v>
      </c>
      <c r="H326" s="10" t="b">
        <v>1</v>
      </c>
      <c r="I326" s="10" t="inlineStr">
        <is>
          <t>DERIVED</t>
        </is>
      </c>
      <c r="J326" s="10" t="inlineStr">
        <is>
          <t>PROPOSED</t>
        </is>
      </c>
      <c r="K326" s="10" t="inlineStr">
        <is>
          <t>DERIVED</t>
        </is>
      </c>
      <c r="L326" s="10" t="inlineStr">
        <is>
          <t>baixa</t>
        </is>
      </c>
      <c r="M326" s="10" t="inlineStr">
        <is>
          <t>["D05-DOC-EPGD-001.STORAGE.FORMATO"]</t>
        </is>
      </c>
    </row>
    <row r="327">
      <c r="A327" s="10" t="inlineStr">
        <is>
          <t>D05-DOC-EPGD-001.SCHEMAS.SCHEMA</t>
        </is>
      </c>
      <c r="B327" s="10" t="inlineStr">
        <is>
          <t>D05-DOC-EPGD-001</t>
        </is>
      </c>
      <c r="C327" s="10" t="inlineStr">
        <is>
          <t>D05-DOC-EPGD-001-T05</t>
        </is>
      </c>
      <c r="D327" s="10" t="inlineStr">
        <is>
          <t>schema</t>
        </is>
      </c>
      <c r="E327" s="10" t="inlineStr">
        <is>
          <t>Definir, validar e manter: Schema</t>
        </is>
      </c>
      <c r="F327" s="10" t="n"/>
      <c r="G327" s="10" t="b">
        <v>1</v>
      </c>
      <c r="H327" s="10" t="b">
        <v>1</v>
      </c>
      <c r="I327" s="10" t="inlineStr">
        <is>
          <t>DERIVED</t>
        </is>
      </c>
      <c r="J327" s="10" t="inlineStr">
        <is>
          <t>PROPOSED</t>
        </is>
      </c>
      <c r="K327" s="10" t="inlineStr">
        <is>
          <t>DERIVED</t>
        </is>
      </c>
      <c r="L327" s="10" t="inlineStr">
        <is>
          <t>baixa</t>
        </is>
      </c>
      <c r="M327" s="10" t="inlineStr">
        <is>
          <t>["D05-DOC-EPGD-001.SCHEMAS.SCHEMA"]</t>
        </is>
      </c>
    </row>
    <row r="328">
      <c r="A328" s="10" t="inlineStr">
        <is>
          <t>D05-DOC-EPGD-001.SCHEMAS.VERSAO</t>
        </is>
      </c>
      <c r="B328" s="10" t="inlineStr">
        <is>
          <t>D05-DOC-EPGD-001</t>
        </is>
      </c>
      <c r="C328" s="10" t="inlineStr">
        <is>
          <t>D05-DOC-EPGD-001-T05</t>
        </is>
      </c>
      <c r="D328" s="10" t="inlineStr">
        <is>
          <t>versao</t>
        </is>
      </c>
      <c r="E328" s="10" t="inlineStr">
        <is>
          <t>Definir, validar e manter: Versao</t>
        </is>
      </c>
      <c r="F328" s="10" t="n"/>
      <c r="G328" s="10" t="b">
        <v>1</v>
      </c>
      <c r="H328" s="10" t="b">
        <v>1</v>
      </c>
      <c r="I328" s="10" t="inlineStr">
        <is>
          <t>DERIVED</t>
        </is>
      </c>
      <c r="J328" s="10" t="inlineStr">
        <is>
          <t>PROPOSED</t>
        </is>
      </c>
      <c r="K328" s="10" t="inlineStr">
        <is>
          <t>DERIVED</t>
        </is>
      </c>
      <c r="L328" s="10" t="inlineStr">
        <is>
          <t>baixa</t>
        </is>
      </c>
      <c r="M328" s="10" t="inlineStr">
        <is>
          <t>["D05-DOC-EPGD-001.SCHEMAS.VERSAO"]</t>
        </is>
      </c>
    </row>
    <row r="329">
      <c r="A329" s="10" t="inlineStr">
        <is>
          <t>D05-DOC-EPGD-001.SCHEMAS.CONTRATO</t>
        </is>
      </c>
      <c r="B329" s="10" t="inlineStr">
        <is>
          <t>D05-DOC-EPGD-001</t>
        </is>
      </c>
      <c r="C329" s="10" t="inlineStr">
        <is>
          <t>D05-DOC-EPGD-001-T05</t>
        </is>
      </c>
      <c r="D329" s="10" t="inlineStr">
        <is>
          <t>contrato</t>
        </is>
      </c>
      <c r="E329" s="10" t="inlineStr">
        <is>
          <t>Definir, validar e manter: Contrato</t>
        </is>
      </c>
      <c r="F329" s="10" t="n"/>
      <c r="G329" s="10" t="b">
        <v>1</v>
      </c>
      <c r="H329" s="10" t="b">
        <v>1</v>
      </c>
      <c r="I329" s="10" t="inlineStr">
        <is>
          <t>DERIVED</t>
        </is>
      </c>
      <c r="J329" s="10" t="inlineStr">
        <is>
          <t>PROPOSED</t>
        </is>
      </c>
      <c r="K329" s="10" t="inlineStr">
        <is>
          <t>DERIVED</t>
        </is>
      </c>
      <c r="L329" s="10" t="inlineStr">
        <is>
          <t>baixa</t>
        </is>
      </c>
      <c r="M329" s="10" t="inlineStr">
        <is>
          <t>["D05-DOC-EPGD-001.SCHEMAS.CONTRATO"]</t>
        </is>
      </c>
    </row>
    <row r="330">
      <c r="A330" s="10" t="inlineStr">
        <is>
          <t>D05-DOC-EPGD-001.QUALITY.COMPLETUDE</t>
        </is>
      </c>
      <c r="B330" s="10" t="inlineStr">
        <is>
          <t>D05-DOC-EPGD-001</t>
        </is>
      </c>
      <c r="C330" s="10" t="inlineStr">
        <is>
          <t>D05-DOC-EPGD-001-T06</t>
        </is>
      </c>
      <c r="D330" s="10" t="inlineStr">
        <is>
          <t>completude</t>
        </is>
      </c>
      <c r="E330" s="10" t="inlineStr">
        <is>
          <t>Definir, validar e manter: Completude</t>
        </is>
      </c>
      <c r="F330" s="10" t="n"/>
      <c r="G330" s="10" t="b">
        <v>1</v>
      </c>
      <c r="H330" s="10" t="b">
        <v>1</v>
      </c>
      <c r="I330" s="10" t="inlineStr">
        <is>
          <t>EXTERNAL</t>
        </is>
      </c>
      <c r="J330" s="10" t="inlineStr">
        <is>
          <t>EXTERNAL_EVIDENCE</t>
        </is>
      </c>
      <c r="K330" s="10" t="inlineStr">
        <is>
          <t>EXTERNAL</t>
        </is>
      </c>
      <c r="L330" s="10" t="inlineStr">
        <is>
          <t>media</t>
        </is>
      </c>
      <c r="M330" s="10" t="inlineStr">
        <is>
          <t>["D05-DOC-EPGD-001.QUALITY.COMPLETUDE"]</t>
        </is>
      </c>
    </row>
    <row r="331">
      <c r="A331" s="10" t="inlineStr">
        <is>
          <t>D05-DOC-EPGD-001.QUALITY.VALIDADE</t>
        </is>
      </c>
      <c r="B331" s="10" t="inlineStr">
        <is>
          <t>D05-DOC-EPGD-001</t>
        </is>
      </c>
      <c r="C331" s="10" t="inlineStr">
        <is>
          <t>D05-DOC-EPGD-001-T06</t>
        </is>
      </c>
      <c r="D331" s="10" t="inlineStr">
        <is>
          <t>validade</t>
        </is>
      </c>
      <c r="E331" s="10" t="inlineStr">
        <is>
          <t>Definir, validar e manter: Validade</t>
        </is>
      </c>
      <c r="F331" s="10" t="n"/>
      <c r="G331" s="10" t="b">
        <v>1</v>
      </c>
      <c r="H331" s="10" t="b">
        <v>1</v>
      </c>
      <c r="I331" s="10" t="inlineStr">
        <is>
          <t>EXTERNAL</t>
        </is>
      </c>
      <c r="J331" s="10" t="inlineStr">
        <is>
          <t>EXTERNAL_EVIDENCE</t>
        </is>
      </c>
      <c r="K331" s="10" t="inlineStr">
        <is>
          <t>EXTERNAL</t>
        </is>
      </c>
      <c r="L331" s="10" t="inlineStr">
        <is>
          <t>media</t>
        </is>
      </c>
      <c r="M331" s="10" t="inlineStr">
        <is>
          <t>["D05-DOC-EPGD-001.QUALITY.VALIDADE"]</t>
        </is>
      </c>
    </row>
    <row r="332">
      <c r="A332" s="10" t="inlineStr">
        <is>
          <t>D05-DOC-EPGD-001.QUALITY.CONSISTENCIA</t>
        </is>
      </c>
      <c r="B332" s="10" t="inlineStr">
        <is>
          <t>D05-DOC-EPGD-001</t>
        </is>
      </c>
      <c r="C332" s="10" t="inlineStr">
        <is>
          <t>D05-DOC-EPGD-001-T06</t>
        </is>
      </c>
      <c r="D332" s="10" t="inlineStr">
        <is>
          <t>consistencia</t>
        </is>
      </c>
      <c r="E332" s="10" t="inlineStr">
        <is>
          <t>Definir, validar e manter: Consistencia</t>
        </is>
      </c>
      <c r="F332" s="10" t="n"/>
      <c r="G332" s="10" t="b">
        <v>1</v>
      </c>
      <c r="H332" s="10" t="b">
        <v>1</v>
      </c>
      <c r="I332" s="10" t="inlineStr">
        <is>
          <t>EXTERNAL</t>
        </is>
      </c>
      <c r="J332" s="10" t="inlineStr">
        <is>
          <t>EXTERNAL_EVIDENCE</t>
        </is>
      </c>
      <c r="K332" s="10" t="inlineStr">
        <is>
          <t>EXTERNAL</t>
        </is>
      </c>
      <c r="L332" s="10" t="inlineStr">
        <is>
          <t>media</t>
        </is>
      </c>
      <c r="M332" s="10" t="inlineStr">
        <is>
          <t>["D05-DOC-EPGD-001.QUALITY.CONSISTENCIA"]</t>
        </is>
      </c>
    </row>
    <row r="333">
      <c r="A333" s="10" t="inlineStr">
        <is>
          <t>D05-DOC-EPGD-001.QUALITY.UNICIDADE</t>
        </is>
      </c>
      <c r="B333" s="10" t="inlineStr">
        <is>
          <t>D05-DOC-EPGD-001</t>
        </is>
      </c>
      <c r="C333" s="10" t="inlineStr">
        <is>
          <t>D05-DOC-EPGD-001-T06</t>
        </is>
      </c>
      <c r="D333" s="10" t="inlineStr">
        <is>
          <t>unicidade</t>
        </is>
      </c>
      <c r="E333" s="10" t="inlineStr">
        <is>
          <t>Definir, validar e manter: Unicidade</t>
        </is>
      </c>
      <c r="F333" s="10" t="n"/>
      <c r="G333" s="10" t="b">
        <v>1</v>
      </c>
      <c r="H333" s="10" t="b">
        <v>1</v>
      </c>
      <c r="I333" s="10" t="inlineStr">
        <is>
          <t>EXTERNAL</t>
        </is>
      </c>
      <c r="J333" s="10" t="inlineStr">
        <is>
          <t>EXTERNAL_EVIDENCE</t>
        </is>
      </c>
      <c r="K333" s="10" t="inlineStr">
        <is>
          <t>EXTERNAL</t>
        </is>
      </c>
      <c r="L333" s="10" t="inlineStr">
        <is>
          <t>media</t>
        </is>
      </c>
      <c r="M333" s="10" t="inlineStr">
        <is>
          <t>["D05-DOC-EPGD-001.QUALITY.UNICIDADE"]</t>
        </is>
      </c>
    </row>
    <row r="334">
      <c r="A334" s="10" t="inlineStr">
        <is>
          <t>D05-DOC-EPGD-001.LINEAGE.ORIGEM</t>
        </is>
      </c>
      <c r="B334" s="10" t="inlineStr">
        <is>
          <t>D05-DOC-EPGD-001</t>
        </is>
      </c>
      <c r="C334" s="10" t="inlineStr">
        <is>
          <t>D05-DOC-EPGD-001-T07</t>
        </is>
      </c>
      <c r="D334" s="10" t="inlineStr">
        <is>
          <t>origem</t>
        </is>
      </c>
      <c r="E334" s="10" t="inlineStr">
        <is>
          <t>Definir, validar e manter: Origem</t>
        </is>
      </c>
      <c r="F334" s="10" t="n"/>
      <c r="G334" s="10" t="b">
        <v>1</v>
      </c>
      <c r="H334" s="10" t="b">
        <v>1</v>
      </c>
      <c r="I334" s="10" t="inlineStr">
        <is>
          <t>DERIVED</t>
        </is>
      </c>
      <c r="J334" s="10" t="inlineStr">
        <is>
          <t>PROPOSED</t>
        </is>
      </c>
      <c r="K334" s="10" t="inlineStr">
        <is>
          <t>DERIVED</t>
        </is>
      </c>
      <c r="L334" s="10" t="inlineStr">
        <is>
          <t>baixa</t>
        </is>
      </c>
      <c r="M334" s="10" t="inlineStr">
        <is>
          <t>["D05-DOC-EPGD-001.LINEAGE.ORIGEM"]</t>
        </is>
      </c>
    </row>
    <row r="335">
      <c r="A335" s="10" t="inlineStr">
        <is>
          <t>D05-DOC-EPGD-001.LINEAGE.TRANSFORMACOES</t>
        </is>
      </c>
      <c r="B335" s="10" t="inlineStr">
        <is>
          <t>D05-DOC-EPGD-001</t>
        </is>
      </c>
      <c r="C335" s="10" t="inlineStr">
        <is>
          <t>D05-DOC-EPGD-001-T07</t>
        </is>
      </c>
      <c r="D335" s="10" t="inlineStr">
        <is>
          <t>transformacoes</t>
        </is>
      </c>
      <c r="E335" s="10" t="inlineStr">
        <is>
          <t>Definir, validar e manter: Transformacoes</t>
        </is>
      </c>
      <c r="F335" s="10" t="n"/>
      <c r="G335" s="10" t="b">
        <v>1</v>
      </c>
      <c r="H335" s="10" t="b">
        <v>1</v>
      </c>
      <c r="I335" s="10" t="inlineStr">
        <is>
          <t>DERIVED</t>
        </is>
      </c>
      <c r="J335" s="10" t="inlineStr">
        <is>
          <t>PROPOSED</t>
        </is>
      </c>
      <c r="K335" s="10" t="inlineStr">
        <is>
          <t>DERIVED</t>
        </is>
      </c>
      <c r="L335" s="10" t="inlineStr">
        <is>
          <t>baixa</t>
        </is>
      </c>
      <c r="M335" s="10" t="inlineStr">
        <is>
          <t>["D05-DOC-EPGD-001.LINEAGE.TRANSFORMACOES"]</t>
        </is>
      </c>
    </row>
    <row r="336">
      <c r="A336" s="10" t="inlineStr">
        <is>
          <t>D05-DOC-EPGD-001.LINEAGE.DESTINO</t>
        </is>
      </c>
      <c r="B336" s="10" t="inlineStr">
        <is>
          <t>D05-DOC-EPGD-001</t>
        </is>
      </c>
      <c r="C336" s="10" t="inlineStr">
        <is>
          <t>D05-DOC-EPGD-001-T07</t>
        </is>
      </c>
      <c r="D336" s="10" t="inlineStr">
        <is>
          <t>destino</t>
        </is>
      </c>
      <c r="E336" s="10" t="inlineStr">
        <is>
          <t>Definir, validar e manter: Destino</t>
        </is>
      </c>
      <c r="F336" s="10" t="n"/>
      <c r="G336" s="10" t="b">
        <v>1</v>
      </c>
      <c r="H336" s="10" t="b">
        <v>1</v>
      </c>
      <c r="I336" s="10" t="inlineStr">
        <is>
          <t>DERIVED</t>
        </is>
      </c>
      <c r="J336" s="10" t="inlineStr">
        <is>
          <t>PROPOSED</t>
        </is>
      </c>
      <c r="K336" s="10" t="inlineStr">
        <is>
          <t>DERIVED</t>
        </is>
      </c>
      <c r="L336" s="10" t="inlineStr">
        <is>
          <t>baixa</t>
        </is>
      </c>
      <c r="M336" s="10" t="inlineStr">
        <is>
          <t>["D05-DOC-EPGD-001.LINEAGE.DESTINO"]</t>
        </is>
      </c>
    </row>
    <row r="337">
      <c r="A337" s="10" t="inlineStr">
        <is>
          <t>D05-DOC-EPGD-001.ACCESS.PERFIL</t>
        </is>
      </c>
      <c r="B337" s="10" t="inlineStr">
        <is>
          <t>D05-DOC-EPGD-001</t>
        </is>
      </c>
      <c r="C337" s="10" t="inlineStr">
        <is>
          <t>D05-DOC-EPGD-001-T08</t>
        </is>
      </c>
      <c r="D337" s="10" t="inlineStr">
        <is>
          <t>perfil</t>
        </is>
      </c>
      <c r="E337" s="10" t="inlineStr">
        <is>
          <t>Definir, validar e manter: Perfil</t>
        </is>
      </c>
      <c r="F337" s="10" t="n"/>
      <c r="G337" s="10" t="b">
        <v>1</v>
      </c>
      <c r="H337" s="10" t="b">
        <v>1</v>
      </c>
      <c r="I337" s="10" t="inlineStr">
        <is>
          <t>DERIVED</t>
        </is>
      </c>
      <c r="J337" s="10" t="inlineStr">
        <is>
          <t>PROPOSED</t>
        </is>
      </c>
      <c r="K337" s="10" t="inlineStr">
        <is>
          <t>DERIVED</t>
        </is>
      </c>
      <c r="L337" s="10" t="inlineStr">
        <is>
          <t>baixa</t>
        </is>
      </c>
      <c r="M337" s="10" t="inlineStr">
        <is>
          <t>["D05-DOC-EPGD-001.ACCESS.PERFIL"]</t>
        </is>
      </c>
    </row>
    <row r="338">
      <c r="A338" s="10" t="inlineStr">
        <is>
          <t>D05-DOC-EPGD-001.ACCESS.PERMISSAO</t>
        </is>
      </c>
      <c r="B338" s="10" t="inlineStr">
        <is>
          <t>D05-DOC-EPGD-001</t>
        </is>
      </c>
      <c r="C338" s="10" t="inlineStr">
        <is>
          <t>D05-DOC-EPGD-001-T08</t>
        </is>
      </c>
      <c r="D338" s="10" t="inlineStr">
        <is>
          <t>permissao</t>
        </is>
      </c>
      <c r="E338" s="10" t="inlineStr">
        <is>
          <t>Definir, validar e manter: Permissao</t>
        </is>
      </c>
      <c r="F338" s="10" t="n"/>
      <c r="G338" s="10" t="b">
        <v>1</v>
      </c>
      <c r="H338" s="10" t="b">
        <v>1</v>
      </c>
      <c r="I338" s="10" t="inlineStr">
        <is>
          <t>DERIVED</t>
        </is>
      </c>
      <c r="J338" s="10" t="inlineStr">
        <is>
          <t>PROPOSED</t>
        </is>
      </c>
      <c r="K338" s="10" t="inlineStr">
        <is>
          <t>DERIVED</t>
        </is>
      </c>
      <c r="L338" s="10" t="inlineStr">
        <is>
          <t>baixa</t>
        </is>
      </c>
      <c r="M338" s="10" t="inlineStr">
        <is>
          <t>["D05-DOC-EPGD-001.ACCESS.PERMISSAO"]</t>
        </is>
      </c>
    </row>
    <row r="339">
      <c r="A339" s="10" t="inlineStr">
        <is>
          <t>D05-DOC-EPGD-001.SECURITY.CLASSIFICACAO</t>
        </is>
      </c>
      <c r="B339" s="10" t="inlineStr">
        <is>
          <t>D05-DOC-EPGD-001</t>
        </is>
      </c>
      <c r="C339" s="10" t="inlineStr">
        <is>
          <t>D05-DOC-EPGD-001-T09</t>
        </is>
      </c>
      <c r="D339" s="10" t="inlineStr">
        <is>
          <t>classificacao</t>
        </is>
      </c>
      <c r="E339" s="10" t="inlineStr">
        <is>
          <t>Definir, validar e manter: Classificacao</t>
        </is>
      </c>
      <c r="F339" s="10" t="n"/>
      <c r="G339" s="10" t="b">
        <v>1</v>
      </c>
      <c r="H339" s="10" t="b">
        <v>1</v>
      </c>
      <c r="I339" s="10" t="inlineStr">
        <is>
          <t>EXTERNAL</t>
        </is>
      </c>
      <c r="J339" s="10" t="inlineStr">
        <is>
          <t>EXTERNAL_EVIDENCE</t>
        </is>
      </c>
      <c r="K339" s="10" t="inlineStr">
        <is>
          <t>EXTERNAL</t>
        </is>
      </c>
      <c r="L339" s="10" t="inlineStr">
        <is>
          <t>media</t>
        </is>
      </c>
      <c r="M339" s="10" t="inlineStr">
        <is>
          <t>["D05-DOC-EPGD-001.SECURITY.CLASSIFICACAO"]</t>
        </is>
      </c>
    </row>
    <row r="340">
      <c r="A340" s="10" t="inlineStr">
        <is>
          <t>D05-DOC-EPGD-001.SECURITY.PROTECAO</t>
        </is>
      </c>
      <c r="B340" s="10" t="inlineStr">
        <is>
          <t>D05-DOC-EPGD-001</t>
        </is>
      </c>
      <c r="C340" s="10" t="inlineStr">
        <is>
          <t>D05-DOC-EPGD-001-T09</t>
        </is>
      </c>
      <c r="D340" s="10" t="inlineStr">
        <is>
          <t>protecao</t>
        </is>
      </c>
      <c r="E340" s="10" t="inlineStr">
        <is>
          <t>Definir, validar e manter: Protecao</t>
        </is>
      </c>
      <c r="F340" s="10" t="n"/>
      <c r="G340" s="10" t="b">
        <v>1</v>
      </c>
      <c r="H340" s="10" t="b">
        <v>1</v>
      </c>
      <c r="I340" s="10" t="inlineStr">
        <is>
          <t>DERIVED</t>
        </is>
      </c>
      <c r="J340" s="10" t="inlineStr">
        <is>
          <t>PROPOSED</t>
        </is>
      </c>
      <c r="K340" s="10" t="inlineStr">
        <is>
          <t>DERIVED</t>
        </is>
      </c>
      <c r="L340" s="10" t="inlineStr">
        <is>
          <t>baixa</t>
        </is>
      </c>
      <c r="M340" s="10" t="inlineStr">
        <is>
          <t>["D05-DOC-EPGD-001.SECURITY.PROTECAO"]</t>
        </is>
      </c>
    </row>
    <row r="341">
      <c r="A341" s="10" t="inlineStr">
        <is>
          <t>D05-DOC-EPGD-001.PRIVACY.DADOS_PESSOAIS</t>
        </is>
      </c>
      <c r="B341" s="10" t="inlineStr">
        <is>
          <t>D05-DOC-EPGD-001</t>
        </is>
      </c>
      <c r="C341" s="10" t="inlineStr">
        <is>
          <t>D05-DOC-EPGD-001-T10</t>
        </is>
      </c>
      <c r="D341" s="10" t="inlineStr">
        <is>
          <t>dados_pessoais</t>
        </is>
      </c>
      <c r="E341" s="10" t="inlineStr">
        <is>
          <t>Definir, validar e manter: Dados Pessoais</t>
        </is>
      </c>
      <c r="F341" s="10" t="n"/>
      <c r="G341" s="10" t="b">
        <v>1</v>
      </c>
      <c r="H341" s="10" t="b">
        <v>1</v>
      </c>
      <c r="I341" s="10" t="inlineStr">
        <is>
          <t>EXTERNAL</t>
        </is>
      </c>
      <c r="J341" s="10" t="inlineStr">
        <is>
          <t>EXTERNAL_EVIDENCE</t>
        </is>
      </c>
      <c r="K341" s="10" t="inlineStr">
        <is>
          <t>EXTERNAL</t>
        </is>
      </c>
      <c r="L341" s="10" t="inlineStr">
        <is>
          <t>media</t>
        </is>
      </c>
      <c r="M341" s="10" t="inlineStr">
        <is>
          <t>["D05-DOC-EPGD-001.PRIVACY.DADOS_PESSOAIS"]</t>
        </is>
      </c>
    </row>
    <row r="342">
      <c r="A342" s="10" t="inlineStr">
        <is>
          <t>D05-DOC-EPGD-001.PRIVACY.FINALIDADE</t>
        </is>
      </c>
      <c r="B342" s="10" t="inlineStr">
        <is>
          <t>D05-DOC-EPGD-001</t>
        </is>
      </c>
      <c r="C342" s="10" t="inlineStr">
        <is>
          <t>D05-DOC-EPGD-001-T10</t>
        </is>
      </c>
      <c r="D342" s="10" t="inlineStr">
        <is>
          <t>finalidade</t>
        </is>
      </c>
      <c r="E342" s="10" t="inlineStr">
        <is>
          <t>Definir, validar e manter: Finalidade</t>
        </is>
      </c>
      <c r="F342" s="10" t="n"/>
      <c r="G342" s="10" t="b">
        <v>1</v>
      </c>
      <c r="H342" s="10" t="b">
        <v>1</v>
      </c>
      <c r="I342" s="10" t="inlineStr">
        <is>
          <t>DERIVED</t>
        </is>
      </c>
      <c r="J342" s="10" t="inlineStr">
        <is>
          <t>PROPOSED</t>
        </is>
      </c>
      <c r="K342" s="10" t="inlineStr">
        <is>
          <t>DERIVED</t>
        </is>
      </c>
      <c r="L342" s="10" t="inlineStr">
        <is>
          <t>baixa</t>
        </is>
      </c>
      <c r="M342" s="10" t="inlineStr">
        <is>
          <t>["D05-DOC-EPGD-001.PRIVACY.FINALIDADE"]</t>
        </is>
      </c>
    </row>
    <row r="343">
      <c r="A343" s="10" t="inlineStr">
        <is>
          <t>D05-DOC-EPGD-001.LIFECYCLE.CRIACAO</t>
        </is>
      </c>
      <c r="B343" s="10" t="inlineStr">
        <is>
          <t>D05-DOC-EPGD-001</t>
        </is>
      </c>
      <c r="C343" s="10" t="inlineStr">
        <is>
          <t>D05-DOC-EPGD-001-T11</t>
        </is>
      </c>
      <c r="D343" s="10" t="inlineStr">
        <is>
          <t>criacao</t>
        </is>
      </c>
      <c r="E343" s="10" t="inlineStr">
        <is>
          <t>Definir, validar e manter: Criacao</t>
        </is>
      </c>
      <c r="F343" s="10" t="n"/>
      <c r="G343" s="10" t="b">
        <v>1</v>
      </c>
      <c r="H343" s="10" t="b">
        <v>1</v>
      </c>
      <c r="I343" s="10" t="inlineStr">
        <is>
          <t>DERIVED</t>
        </is>
      </c>
      <c r="J343" s="10" t="inlineStr">
        <is>
          <t>PROPOSED</t>
        </is>
      </c>
      <c r="K343" s="10" t="inlineStr">
        <is>
          <t>DERIVED</t>
        </is>
      </c>
      <c r="L343" s="10" t="inlineStr">
        <is>
          <t>baixa</t>
        </is>
      </c>
      <c r="M343" s="10" t="inlineStr">
        <is>
          <t>["D05-DOC-EPGD-001.LIFECYCLE.CRIACAO"]</t>
        </is>
      </c>
    </row>
    <row r="344">
      <c r="A344" s="10" t="inlineStr">
        <is>
          <t>D05-DOC-EPGD-001.LIFECYCLE.USO</t>
        </is>
      </c>
      <c r="B344" s="10" t="inlineStr">
        <is>
          <t>D05-DOC-EPGD-001</t>
        </is>
      </c>
      <c r="C344" s="10" t="inlineStr">
        <is>
          <t>D05-DOC-EPGD-001-T11</t>
        </is>
      </c>
      <c r="D344" s="10" t="inlineStr">
        <is>
          <t>uso</t>
        </is>
      </c>
      <c r="E344" s="10" t="inlineStr">
        <is>
          <t>Definir, validar e manter: Uso</t>
        </is>
      </c>
      <c r="F344" s="10" t="n"/>
      <c r="G344" s="10" t="b">
        <v>1</v>
      </c>
      <c r="H344" s="10" t="b">
        <v>1</v>
      </c>
      <c r="I344" s="10" t="inlineStr">
        <is>
          <t>DERIVED</t>
        </is>
      </c>
      <c r="J344" s="10" t="inlineStr">
        <is>
          <t>PROPOSED</t>
        </is>
      </c>
      <c r="K344" s="10" t="inlineStr">
        <is>
          <t>DERIVED</t>
        </is>
      </c>
      <c r="L344" s="10" t="inlineStr">
        <is>
          <t>baixa</t>
        </is>
      </c>
      <c r="M344" s="10" t="inlineStr">
        <is>
          <t>["D05-DOC-EPGD-001.LIFECYCLE.USO"]</t>
        </is>
      </c>
    </row>
    <row r="345">
      <c r="A345" s="10" t="inlineStr">
        <is>
          <t>D05-DOC-EPGD-001.LIFECYCLE.RETENCAO</t>
        </is>
      </c>
      <c r="B345" s="10" t="inlineStr">
        <is>
          <t>D05-DOC-EPGD-001</t>
        </is>
      </c>
      <c r="C345" s="10" t="inlineStr">
        <is>
          <t>D05-DOC-EPGD-001-T11</t>
        </is>
      </c>
      <c r="D345" s="10" t="inlineStr">
        <is>
          <t>retencao</t>
        </is>
      </c>
      <c r="E345" s="10" t="inlineStr">
        <is>
          <t>Definir, validar e manter: Retencao</t>
        </is>
      </c>
      <c r="F345" s="10" t="n"/>
      <c r="G345" s="10" t="b">
        <v>1</v>
      </c>
      <c r="H345" s="10" t="b">
        <v>1</v>
      </c>
      <c r="I345" s="10" t="inlineStr">
        <is>
          <t>EXTERNAL</t>
        </is>
      </c>
      <c r="J345" s="10" t="inlineStr">
        <is>
          <t>EXTERNAL_EVIDENCE</t>
        </is>
      </c>
      <c r="K345" s="10" t="inlineStr">
        <is>
          <t>EXTERNAL</t>
        </is>
      </c>
      <c r="L345" s="10" t="inlineStr">
        <is>
          <t>media</t>
        </is>
      </c>
      <c r="M345" s="10" t="inlineStr">
        <is>
          <t>["D05-DOC-EPGD-001.LIFECYCLE.RETENCAO"]</t>
        </is>
      </c>
    </row>
    <row r="346">
      <c r="A346" s="10" t="inlineStr">
        <is>
          <t>D05-DOC-EPGD-001.LIFECYCLE.DESCARTE</t>
        </is>
      </c>
      <c r="B346" s="10" t="inlineStr">
        <is>
          <t>D05-DOC-EPGD-001</t>
        </is>
      </c>
      <c r="C346" s="10" t="inlineStr">
        <is>
          <t>D05-DOC-EPGD-001-T11</t>
        </is>
      </c>
      <c r="D346" s="10" t="inlineStr">
        <is>
          <t>descarte</t>
        </is>
      </c>
      <c r="E346" s="10" t="inlineStr">
        <is>
          <t>Definir, validar e manter: Descarte</t>
        </is>
      </c>
      <c r="F346" s="10" t="n"/>
      <c r="G346" s="10" t="b">
        <v>1</v>
      </c>
      <c r="H346" s="10" t="b">
        <v>1</v>
      </c>
      <c r="I346" s="10" t="inlineStr">
        <is>
          <t>DERIVED</t>
        </is>
      </c>
      <c r="J346" s="10" t="inlineStr">
        <is>
          <t>PROPOSED</t>
        </is>
      </c>
      <c r="K346" s="10" t="inlineStr">
        <is>
          <t>DERIVED</t>
        </is>
      </c>
      <c r="L346" s="10" t="inlineStr">
        <is>
          <t>baixa</t>
        </is>
      </c>
      <c r="M346" s="10" t="inlineStr">
        <is>
          <t>["D05-DOC-EPGD-001.LIFECYCLE.DESCARTE"]</t>
        </is>
      </c>
    </row>
    <row r="347">
      <c r="A347" s="10" t="inlineStr">
        <is>
          <t>D05-DOC-EPGD-001.ANALYTICS.DATASETS</t>
        </is>
      </c>
      <c r="B347" s="10" t="inlineStr">
        <is>
          <t>D05-DOC-EPGD-001</t>
        </is>
      </c>
      <c r="C347" s="10" t="inlineStr">
        <is>
          <t>D05-DOC-EPGD-001-T12</t>
        </is>
      </c>
      <c r="D347" s="10" t="inlineStr">
        <is>
          <t>datasets</t>
        </is>
      </c>
      <c r="E347" s="10" t="inlineStr">
        <is>
          <t>Definir, validar e manter: Datasets</t>
        </is>
      </c>
      <c r="F347" s="10" t="n"/>
      <c r="G347" s="10" t="b">
        <v>1</v>
      </c>
      <c r="H347" s="10" t="b">
        <v>1</v>
      </c>
      <c r="I347" s="10" t="inlineStr">
        <is>
          <t>DERIVED</t>
        </is>
      </c>
      <c r="J347" s="10" t="inlineStr">
        <is>
          <t>PROPOSED</t>
        </is>
      </c>
      <c r="K347" s="10" t="inlineStr">
        <is>
          <t>DERIVED</t>
        </is>
      </c>
      <c r="L347" s="10" t="inlineStr">
        <is>
          <t>baixa</t>
        </is>
      </c>
      <c r="M347" s="10" t="inlineStr">
        <is>
          <t>["D05-DOC-EPGD-001.ANALYTICS.DATASETS"]</t>
        </is>
      </c>
    </row>
    <row r="348">
      <c r="A348" s="10" t="inlineStr">
        <is>
          <t>D05-DOC-EPGD-001.ANALYTICS.INDICADORES</t>
        </is>
      </c>
      <c r="B348" s="10" t="inlineStr">
        <is>
          <t>D05-DOC-EPGD-001</t>
        </is>
      </c>
      <c r="C348" s="10" t="inlineStr">
        <is>
          <t>D05-DOC-EPGD-001-T12</t>
        </is>
      </c>
      <c r="D348" s="10" t="inlineStr">
        <is>
          <t>indicadores</t>
        </is>
      </c>
      <c r="E348" s="10" t="inlineStr">
        <is>
          <t>Definir, validar e manter: Indicadores</t>
        </is>
      </c>
      <c r="F348" s="10" t="n"/>
      <c r="G348" s="10" t="b">
        <v>1</v>
      </c>
      <c r="H348" s="10" t="b">
        <v>1</v>
      </c>
      <c r="I348" s="10" t="inlineStr">
        <is>
          <t>DERIVED</t>
        </is>
      </c>
      <c r="J348" s="10" t="inlineStr">
        <is>
          <t>PROPOSED</t>
        </is>
      </c>
      <c r="K348" s="10" t="inlineStr">
        <is>
          <t>DERIVED</t>
        </is>
      </c>
      <c r="L348" s="10" t="inlineStr">
        <is>
          <t>baixa</t>
        </is>
      </c>
      <c r="M348" s="10" t="inlineStr">
        <is>
          <t>["D05-DOC-EPGD-001.ANALYTICS.INDICADORES"]</t>
        </is>
      </c>
    </row>
    <row r="349">
      <c r="A349" s="10" t="inlineStr">
        <is>
          <t>D05-DOC-EPGD-001.GOVERNANCE.OWNERS</t>
        </is>
      </c>
      <c r="B349" s="10" t="inlineStr">
        <is>
          <t>D05-DOC-EPGD-001</t>
        </is>
      </c>
      <c r="C349" s="10" t="inlineStr">
        <is>
          <t>D05-DOC-EPGD-001-T13</t>
        </is>
      </c>
      <c r="D349" s="10" t="inlineStr">
        <is>
          <t>owners</t>
        </is>
      </c>
      <c r="E349" s="10" t="inlineStr">
        <is>
          <t>Definir, validar e manter: Owners</t>
        </is>
      </c>
      <c r="F349" s="10" t="n"/>
      <c r="G349" s="10" t="b">
        <v>1</v>
      </c>
      <c r="H349" s="10" t="b">
        <v>1</v>
      </c>
      <c r="I349" s="10" t="inlineStr">
        <is>
          <t>DERIVED</t>
        </is>
      </c>
      <c r="J349" s="10" t="inlineStr">
        <is>
          <t>PROPOSED</t>
        </is>
      </c>
      <c r="K349" s="10" t="inlineStr">
        <is>
          <t>DERIVED</t>
        </is>
      </c>
      <c r="L349" s="10" t="inlineStr">
        <is>
          <t>baixa</t>
        </is>
      </c>
      <c r="M349" s="10" t="inlineStr">
        <is>
          <t>["D05-DOC-EPGD-001.GOVERNANCE.OWNERS"]</t>
        </is>
      </c>
    </row>
    <row r="350">
      <c r="A350" s="10" t="inlineStr">
        <is>
          <t>D05-DOC-EPGD-001.GOVERNANCE.STEWARDS</t>
        </is>
      </c>
      <c r="B350" s="10" t="inlineStr">
        <is>
          <t>D05-DOC-EPGD-001</t>
        </is>
      </c>
      <c r="C350" s="10" t="inlineStr">
        <is>
          <t>D05-DOC-EPGD-001-T13</t>
        </is>
      </c>
      <c r="D350" s="10" t="inlineStr">
        <is>
          <t>stewards</t>
        </is>
      </c>
      <c r="E350" s="10" t="inlineStr">
        <is>
          <t>Definir, validar e manter: Stewards</t>
        </is>
      </c>
      <c r="F350" s="10" t="n"/>
      <c r="G350" s="10" t="b">
        <v>1</v>
      </c>
      <c r="H350" s="10" t="b">
        <v>1</v>
      </c>
      <c r="I350" s="10" t="inlineStr">
        <is>
          <t>DERIVED</t>
        </is>
      </c>
      <c r="J350" s="10" t="inlineStr">
        <is>
          <t>PROPOSED</t>
        </is>
      </c>
      <c r="K350" s="10" t="inlineStr">
        <is>
          <t>DERIVED</t>
        </is>
      </c>
      <c r="L350" s="10" t="inlineStr">
        <is>
          <t>baixa</t>
        </is>
      </c>
      <c r="M350" s="10" t="inlineStr">
        <is>
          <t>["D05-DOC-EPGD-001.GOVERNANCE.STEWARDS"]</t>
        </is>
      </c>
    </row>
    <row r="351">
      <c r="A351" s="10" t="inlineStr">
        <is>
          <t>D05-DOC-EPGD-001.GOVERNANCE.APROVACAO</t>
        </is>
      </c>
      <c r="B351" s="10" t="inlineStr">
        <is>
          <t>D05-DOC-EPGD-001</t>
        </is>
      </c>
      <c r="C351" s="10" t="inlineStr">
        <is>
          <t>D05-DOC-EPGD-001-T13</t>
        </is>
      </c>
      <c r="D351" s="10" t="inlineStr">
        <is>
          <t>aprovacao</t>
        </is>
      </c>
      <c r="E351" s="10" t="inlineStr">
        <is>
          <t>Definir, validar e manter: Aprovacao</t>
        </is>
      </c>
      <c r="F351" s="10" t="n"/>
      <c r="G351" s="10" t="b">
        <v>1</v>
      </c>
      <c r="H351" s="10" t="b">
        <v>1</v>
      </c>
      <c r="I351" s="10" t="inlineStr">
        <is>
          <t>DERIVED</t>
        </is>
      </c>
      <c r="J351" s="10" t="inlineStr">
        <is>
          <t>PROPOSED</t>
        </is>
      </c>
      <c r="K351" s="10" t="inlineStr">
        <is>
          <t>DERIVED</t>
        </is>
      </c>
      <c r="L351" s="10" t="inlineStr">
        <is>
          <t>baixa</t>
        </is>
      </c>
      <c r="M351" s="10" t="inlineStr">
        <is>
          <t>["D05-DOC-EPGD-001.GOVERNANCE.APROVACAO"]</t>
        </is>
      </c>
    </row>
    <row r="352">
      <c r="A352" s="10" t="inlineStr">
        <is>
          <t>D05-DOC-DCM-001.SCHEMA.METRIC_OR_FIELD_ID</t>
        </is>
      </c>
      <c r="B352" s="10" t="inlineStr">
        <is>
          <t>D05-DOC-DCM-001</t>
        </is>
      </c>
      <c r="C352" s="10" t="inlineStr">
        <is>
          <t>D05-DOC-DCM-001-T01</t>
        </is>
      </c>
      <c r="D352" s="10" t="inlineStr">
        <is>
          <t>metric_or_field_id</t>
        </is>
      </c>
      <c r="E352" s="10" t="inlineStr">
        <is>
          <t>Definir, validar e manter: Metric Or Field ID</t>
        </is>
      </c>
      <c r="F352" s="10" t="n"/>
      <c r="G352" s="10" t="b">
        <v>1</v>
      </c>
      <c r="H352" s="10" t="b">
        <v>1</v>
      </c>
      <c r="I352" s="10" t="inlineStr">
        <is>
          <t>DERIVED</t>
        </is>
      </c>
      <c r="J352" s="10" t="inlineStr">
        <is>
          <t>PROPOSED</t>
        </is>
      </c>
      <c r="K352" s="10" t="inlineStr">
        <is>
          <t>DERIVED</t>
        </is>
      </c>
      <c r="L352" s="10" t="inlineStr">
        <is>
          <t>baixa</t>
        </is>
      </c>
      <c r="M352" s="10" t="inlineStr">
        <is>
          <t>["D05-DOC-DCM-001.SCHEMA.METRIC_OR_FIELD_ID"]</t>
        </is>
      </c>
    </row>
    <row r="353">
      <c r="A353" s="10" t="inlineStr">
        <is>
          <t>D05-DOC-DCM-001.SCHEMA.NOME</t>
        </is>
      </c>
      <c r="B353" s="10" t="inlineStr">
        <is>
          <t>D05-DOC-DCM-001</t>
        </is>
      </c>
      <c r="C353" s="10" t="inlineStr">
        <is>
          <t>D05-DOC-DCM-001-T01</t>
        </is>
      </c>
      <c r="D353" s="10" t="inlineStr">
        <is>
          <t>nome</t>
        </is>
      </c>
      <c r="E353" s="10" t="inlineStr">
        <is>
          <t>Definir, validar e manter: Nome</t>
        </is>
      </c>
      <c r="F353" s="10" t="n"/>
      <c r="G353" s="10" t="b">
        <v>1</v>
      </c>
      <c r="H353" s="10" t="b">
        <v>1</v>
      </c>
      <c r="I353" s="10" t="inlineStr">
        <is>
          <t>DERIVED</t>
        </is>
      </c>
      <c r="J353" s="10" t="inlineStr">
        <is>
          <t>PROPOSED</t>
        </is>
      </c>
      <c r="K353" s="10" t="inlineStr">
        <is>
          <t>DERIVED</t>
        </is>
      </c>
      <c r="L353" s="10" t="inlineStr">
        <is>
          <t>baixa</t>
        </is>
      </c>
      <c r="M353" s="10" t="inlineStr">
        <is>
          <t>["D05-DOC-DCM-001.SCHEMA.NOME"]</t>
        </is>
      </c>
    </row>
    <row r="354">
      <c r="A354" s="10" t="inlineStr">
        <is>
          <t>D05-DOC-DCM-001.SCHEMA.TIPO</t>
        </is>
      </c>
      <c r="B354" s="10" t="inlineStr">
        <is>
          <t>D05-DOC-DCM-001</t>
        </is>
      </c>
      <c r="C354" s="10" t="inlineStr">
        <is>
          <t>D05-DOC-DCM-001-T01</t>
        </is>
      </c>
      <c r="D354" s="10" t="inlineStr">
        <is>
          <t>tipo</t>
        </is>
      </c>
      <c r="E354" s="10" t="inlineStr">
        <is>
          <t>Definir, validar e manter: Tipo</t>
        </is>
      </c>
      <c r="F354" s="10" t="n"/>
      <c r="G354" s="10" t="b">
        <v>1</v>
      </c>
      <c r="H354" s="10" t="b">
        <v>1</v>
      </c>
      <c r="I354" s="10" t="inlineStr">
        <is>
          <t>DERIVED</t>
        </is>
      </c>
      <c r="J354" s="10" t="inlineStr">
        <is>
          <t>PROPOSED</t>
        </is>
      </c>
      <c r="K354" s="10" t="inlineStr">
        <is>
          <t>DERIVED</t>
        </is>
      </c>
      <c r="L354" s="10" t="inlineStr">
        <is>
          <t>baixa</t>
        </is>
      </c>
      <c r="M354" s="10" t="inlineStr">
        <is>
          <t>["D05-DOC-DCM-001.SCHEMA.TIPO"]</t>
        </is>
      </c>
    </row>
    <row r="355">
      <c r="A355" s="10" t="inlineStr">
        <is>
          <t>D05-DOC-DCM-001.SCHEMA.DEFINICAO</t>
        </is>
      </c>
      <c r="B355" s="10" t="inlineStr">
        <is>
          <t>D05-DOC-DCM-001</t>
        </is>
      </c>
      <c r="C355" s="10" t="inlineStr">
        <is>
          <t>D05-DOC-DCM-001-T01</t>
        </is>
      </c>
      <c r="D355" s="10" t="inlineStr">
        <is>
          <t>definicao</t>
        </is>
      </c>
      <c r="E355" s="10" t="inlineStr">
        <is>
          <t>Definir, validar e manter: Definicao</t>
        </is>
      </c>
      <c r="F355" s="10" t="n"/>
      <c r="G355" s="10" t="b">
        <v>1</v>
      </c>
      <c r="H355" s="10" t="b">
        <v>1</v>
      </c>
      <c r="I355" s="10" t="inlineStr">
        <is>
          <t>DERIVED</t>
        </is>
      </c>
      <c r="J355" s="10" t="inlineStr">
        <is>
          <t>PROPOSED</t>
        </is>
      </c>
      <c r="K355" s="10" t="inlineStr">
        <is>
          <t>DERIVED</t>
        </is>
      </c>
      <c r="L355" s="10" t="inlineStr">
        <is>
          <t>baixa</t>
        </is>
      </c>
      <c r="M355" s="10" t="inlineStr">
        <is>
          <t>["D05-DOC-DCM-001.SCHEMA.DEFINICAO"]</t>
        </is>
      </c>
    </row>
    <row r="356">
      <c r="A356" s="10" t="inlineStr">
        <is>
          <t>D05-DOC-DCM-001.SCHEMA.FORMULA</t>
        </is>
      </c>
      <c r="B356" s="10" t="inlineStr">
        <is>
          <t>D05-DOC-DCM-001</t>
        </is>
      </c>
      <c r="C356" s="10" t="inlineStr">
        <is>
          <t>D05-DOC-DCM-001-T01</t>
        </is>
      </c>
      <c r="D356" s="10" t="inlineStr">
        <is>
          <t>formula</t>
        </is>
      </c>
      <c r="E356" s="10" t="inlineStr">
        <is>
          <t>Definir, validar e manter: Formula</t>
        </is>
      </c>
      <c r="F356" s="10" t="n"/>
      <c r="G356" s="10" t="b">
        <v>1</v>
      </c>
      <c r="H356" s="10" t="b">
        <v>1</v>
      </c>
      <c r="I356" s="10" t="inlineStr">
        <is>
          <t>DERIVED</t>
        </is>
      </c>
      <c r="J356" s="10" t="inlineStr">
        <is>
          <t>PROPOSED</t>
        </is>
      </c>
      <c r="K356" s="10" t="inlineStr">
        <is>
          <t>DERIVED</t>
        </is>
      </c>
      <c r="L356" s="10" t="inlineStr">
        <is>
          <t>baixa</t>
        </is>
      </c>
      <c r="M356" s="10" t="inlineStr">
        <is>
          <t>["D05-DOC-DCM-001.SCHEMA.FORMULA"]</t>
        </is>
      </c>
    </row>
    <row r="357">
      <c r="A357" s="10" t="inlineStr">
        <is>
          <t>D05-DOC-DCM-001.SCHEMA.UNIDADE</t>
        </is>
      </c>
      <c r="B357" s="10" t="inlineStr">
        <is>
          <t>D05-DOC-DCM-001</t>
        </is>
      </c>
      <c r="C357" s="10" t="inlineStr">
        <is>
          <t>D05-DOC-DCM-001-T01</t>
        </is>
      </c>
      <c r="D357" s="10" t="inlineStr">
        <is>
          <t>unidade</t>
        </is>
      </c>
      <c r="E357" s="10" t="inlineStr">
        <is>
          <t>Definir, validar e manter: Unidade</t>
        </is>
      </c>
      <c r="F357" s="10" t="n"/>
      <c r="G357" s="10" t="b">
        <v>1</v>
      </c>
      <c r="H357" s="10" t="b">
        <v>1</v>
      </c>
      <c r="I357" s="10" t="inlineStr">
        <is>
          <t>DERIVED</t>
        </is>
      </c>
      <c r="J357" s="10" t="inlineStr">
        <is>
          <t>PROPOSED</t>
        </is>
      </c>
      <c r="K357" s="10" t="inlineStr">
        <is>
          <t>DERIVED</t>
        </is>
      </c>
      <c r="L357" s="10" t="inlineStr">
        <is>
          <t>baixa</t>
        </is>
      </c>
      <c r="M357" s="10" t="inlineStr">
        <is>
          <t>["D05-DOC-DCM-001.SCHEMA.UNIDADE"]</t>
        </is>
      </c>
    </row>
    <row r="358">
      <c r="A358" s="10" t="inlineStr">
        <is>
          <t>D05-DOC-DCM-001.SCHEMA.GRANULARIDADE</t>
        </is>
      </c>
      <c r="B358" s="10" t="inlineStr">
        <is>
          <t>D05-DOC-DCM-001</t>
        </is>
      </c>
      <c r="C358" s="10" t="inlineStr">
        <is>
          <t>D05-DOC-DCM-001-T01</t>
        </is>
      </c>
      <c r="D358" s="10" t="inlineStr">
        <is>
          <t>granularidade</t>
        </is>
      </c>
      <c r="E358" s="10" t="inlineStr">
        <is>
          <t>Definir, validar e manter: Granularidade</t>
        </is>
      </c>
      <c r="F358" s="10" t="n"/>
      <c r="G358" s="10" t="b">
        <v>1</v>
      </c>
      <c r="H358" s="10" t="b">
        <v>1</v>
      </c>
      <c r="I358" s="10" t="inlineStr">
        <is>
          <t>DERIVED</t>
        </is>
      </c>
      <c r="J358" s="10" t="inlineStr">
        <is>
          <t>PROPOSED</t>
        </is>
      </c>
      <c r="K358" s="10" t="inlineStr">
        <is>
          <t>DERIVED</t>
        </is>
      </c>
      <c r="L358" s="10" t="inlineStr">
        <is>
          <t>baixa</t>
        </is>
      </c>
      <c r="M358" s="10" t="inlineStr">
        <is>
          <t>["D05-DOC-DCM-001.SCHEMA.GRANULARIDADE"]</t>
        </is>
      </c>
    </row>
    <row r="359">
      <c r="A359" s="10" t="inlineStr">
        <is>
          <t>D05-DOC-DCM-001.SCHEMA.FONTE</t>
        </is>
      </c>
      <c r="B359" s="10" t="inlineStr">
        <is>
          <t>D05-DOC-DCM-001</t>
        </is>
      </c>
      <c r="C359" s="10" t="inlineStr">
        <is>
          <t>D05-DOC-DCM-001-T01</t>
        </is>
      </c>
      <c r="D359" s="10" t="inlineStr">
        <is>
          <t>fonte</t>
        </is>
      </c>
      <c r="E359" s="10" t="inlineStr">
        <is>
          <t>Definir, validar e manter: Fonte</t>
        </is>
      </c>
      <c r="F359" s="10" t="n"/>
      <c r="G359" s="10" t="b">
        <v>1</v>
      </c>
      <c r="H359" s="10" t="b">
        <v>1</v>
      </c>
      <c r="I359" s="10" t="inlineStr">
        <is>
          <t>DERIVED</t>
        </is>
      </c>
      <c r="J359" s="10" t="inlineStr">
        <is>
          <t>PROPOSED</t>
        </is>
      </c>
      <c r="K359" s="10" t="inlineStr">
        <is>
          <t>DERIVED</t>
        </is>
      </c>
      <c r="L359" s="10" t="inlineStr">
        <is>
          <t>baixa</t>
        </is>
      </c>
      <c r="M359" s="10" t="inlineStr">
        <is>
          <t>["D05-DOC-DCM-001.SCHEMA.FONTE"]</t>
        </is>
      </c>
    </row>
    <row r="360">
      <c r="A360" s="10" t="inlineStr">
        <is>
          <t>D05-DOC-DCM-001.SCHEMA.TABELA_DATASET</t>
        </is>
      </c>
      <c r="B360" s="10" t="inlineStr">
        <is>
          <t>D05-DOC-DCM-001</t>
        </is>
      </c>
      <c r="C360" s="10" t="inlineStr">
        <is>
          <t>D05-DOC-DCM-001-T01</t>
        </is>
      </c>
      <c r="D360" s="10" t="inlineStr">
        <is>
          <t>tabela_dataset</t>
        </is>
      </c>
      <c r="E360" s="10" t="inlineStr">
        <is>
          <t>Definir, validar e manter: Tabela Dataset</t>
        </is>
      </c>
      <c r="F360" s="10" t="n"/>
      <c r="G360" s="10" t="b">
        <v>1</v>
      </c>
      <c r="H360" s="10" t="b">
        <v>1</v>
      </c>
      <c r="I360" s="10" t="inlineStr">
        <is>
          <t>DERIVED</t>
        </is>
      </c>
      <c r="J360" s="10" t="inlineStr">
        <is>
          <t>PROPOSED</t>
        </is>
      </c>
      <c r="K360" s="10" t="inlineStr">
        <is>
          <t>DERIVED</t>
        </is>
      </c>
      <c r="L360" s="10" t="inlineStr">
        <is>
          <t>baixa</t>
        </is>
      </c>
      <c r="M360" s="10" t="inlineStr">
        <is>
          <t>["D05-DOC-DCM-001.SCHEMA.TABELA_DATASET"]</t>
        </is>
      </c>
    </row>
    <row r="361">
      <c r="A361" s="10" t="inlineStr">
        <is>
          <t>D05-DOC-DCM-001.SCHEMA.CAMPO_EVENTO</t>
        </is>
      </c>
      <c r="B361" s="10" t="inlineStr">
        <is>
          <t>D05-DOC-DCM-001</t>
        </is>
      </c>
      <c r="C361" s="10" t="inlineStr">
        <is>
          <t>D05-DOC-DCM-001-T01</t>
        </is>
      </c>
      <c r="D361" s="10" t="inlineStr">
        <is>
          <t>campo_evento</t>
        </is>
      </c>
      <c r="E361" s="10" t="inlineStr">
        <is>
          <t>Definir, validar e manter: Campo Evento</t>
        </is>
      </c>
      <c r="F361" s="10" t="n"/>
      <c r="G361" s="10" t="b">
        <v>1</v>
      </c>
      <c r="H361" s="10" t="b">
        <v>1</v>
      </c>
      <c r="I361" s="10" t="inlineStr">
        <is>
          <t>DERIVED</t>
        </is>
      </c>
      <c r="J361" s="10" t="inlineStr">
        <is>
          <t>PROPOSED</t>
        </is>
      </c>
      <c r="K361" s="10" t="inlineStr">
        <is>
          <t>DERIVED</t>
        </is>
      </c>
      <c r="L361" s="10" t="inlineStr">
        <is>
          <t>baixa</t>
        </is>
      </c>
      <c r="M361" s="10" t="inlineStr">
        <is>
          <t>["D05-DOC-DCM-001.SCHEMA.CAMPO_EVENTO"]</t>
        </is>
      </c>
    </row>
    <row r="362">
      <c r="A362" s="10" t="inlineStr">
        <is>
          <t>D05-DOC-DCM-001.SCHEMA.DIMENSOES</t>
        </is>
      </c>
      <c r="B362" s="10" t="inlineStr">
        <is>
          <t>D05-DOC-DCM-001</t>
        </is>
      </c>
      <c r="C362" s="10" t="inlineStr">
        <is>
          <t>D05-DOC-DCM-001-T01</t>
        </is>
      </c>
      <c r="D362" s="10" t="inlineStr">
        <is>
          <t>dimensoes</t>
        </is>
      </c>
      <c r="E362" s="10" t="inlineStr">
        <is>
          <t>Definir, validar e manter: Dimensoes</t>
        </is>
      </c>
      <c r="F362" s="10" t="n"/>
      <c r="G362" s="10" t="b">
        <v>1</v>
      </c>
      <c r="H362" s="10" t="b">
        <v>1</v>
      </c>
      <c r="I362" s="10" t="inlineStr">
        <is>
          <t>DERIVED</t>
        </is>
      </c>
      <c r="J362" s="10" t="inlineStr">
        <is>
          <t>PROPOSED</t>
        </is>
      </c>
      <c r="K362" s="10" t="inlineStr">
        <is>
          <t>DERIVED</t>
        </is>
      </c>
      <c r="L362" s="10" t="inlineStr">
        <is>
          <t>baixa</t>
        </is>
      </c>
      <c r="M362" s="10" t="inlineStr">
        <is>
          <t>["D05-DOC-DCM-001.SCHEMA.DIMENSOES"]</t>
        </is>
      </c>
    </row>
    <row r="363">
      <c r="A363" s="10" t="inlineStr">
        <is>
          <t>D05-DOC-DCM-001.SCHEMA.OWNER</t>
        </is>
      </c>
      <c r="B363" s="10" t="inlineStr">
        <is>
          <t>D05-DOC-DCM-001</t>
        </is>
      </c>
      <c r="C363" s="10" t="inlineStr">
        <is>
          <t>D05-DOC-DCM-001-T01</t>
        </is>
      </c>
      <c r="D363" s="10" t="inlineStr">
        <is>
          <t>owner</t>
        </is>
      </c>
      <c r="E363" s="10" t="inlineStr">
        <is>
          <t>Definir, validar e manter: Owner</t>
        </is>
      </c>
      <c r="F363" s="10" t="n"/>
      <c r="G363" s="10" t="b">
        <v>1</v>
      </c>
      <c r="H363" s="10" t="b">
        <v>1</v>
      </c>
      <c r="I363" s="10" t="inlineStr">
        <is>
          <t>DERIVED</t>
        </is>
      </c>
      <c r="J363" s="10" t="inlineStr">
        <is>
          <t>PROPOSED</t>
        </is>
      </c>
      <c r="K363" s="10" t="inlineStr">
        <is>
          <t>DERIVED</t>
        </is>
      </c>
      <c r="L363" s="10" t="inlineStr">
        <is>
          <t>baixa</t>
        </is>
      </c>
      <c r="M363" s="10" t="inlineStr">
        <is>
          <t>["D05-DOC-DCM-001.SCHEMA.OWNER"]</t>
        </is>
      </c>
    </row>
    <row r="364">
      <c r="A364" s="10" t="inlineStr">
        <is>
          <t>D05-DOC-DCM-001.SCHEMA.FREQUENCIA</t>
        </is>
      </c>
      <c r="B364" s="10" t="inlineStr">
        <is>
          <t>D05-DOC-DCM-001</t>
        </is>
      </c>
      <c r="C364" s="10" t="inlineStr">
        <is>
          <t>D05-DOC-DCM-001-T01</t>
        </is>
      </c>
      <c r="D364" s="10" t="inlineStr">
        <is>
          <t>frequencia</t>
        </is>
      </c>
      <c r="E364" s="10" t="inlineStr">
        <is>
          <t>Definir, validar e manter: Frequencia</t>
        </is>
      </c>
      <c r="F364" s="10" t="n"/>
      <c r="G364" s="10" t="b">
        <v>1</v>
      </c>
      <c r="H364" s="10" t="b">
        <v>1</v>
      </c>
      <c r="I364" s="10" t="inlineStr">
        <is>
          <t>DERIVED</t>
        </is>
      </c>
      <c r="J364" s="10" t="inlineStr">
        <is>
          <t>PROPOSED</t>
        </is>
      </c>
      <c r="K364" s="10" t="inlineStr">
        <is>
          <t>DERIVED</t>
        </is>
      </c>
      <c r="L364" s="10" t="inlineStr">
        <is>
          <t>baixa</t>
        </is>
      </c>
      <c r="M364" s="10" t="inlineStr">
        <is>
          <t>["D05-DOC-DCM-001.SCHEMA.FREQUENCIA"]</t>
        </is>
      </c>
    </row>
    <row r="365">
      <c r="A365" s="10" t="inlineStr">
        <is>
          <t>D05-DOC-DCM-001.SCHEMA.FRESHNESS</t>
        </is>
      </c>
      <c r="B365" s="10" t="inlineStr">
        <is>
          <t>D05-DOC-DCM-001</t>
        </is>
      </c>
      <c r="C365" s="10" t="inlineStr">
        <is>
          <t>D05-DOC-DCM-001-T01</t>
        </is>
      </c>
      <c r="D365" s="10" t="inlineStr">
        <is>
          <t>freshness</t>
        </is>
      </c>
      <c r="E365" s="10" t="inlineStr">
        <is>
          <t>Definir, validar e manter: Freshness</t>
        </is>
      </c>
      <c r="F365" s="10" t="n"/>
      <c r="G365" s="10" t="b">
        <v>1</v>
      </c>
      <c r="H365" s="10" t="b">
        <v>1</v>
      </c>
      <c r="I365" s="10" t="inlineStr">
        <is>
          <t>DERIVED</t>
        </is>
      </c>
      <c r="J365" s="10" t="inlineStr">
        <is>
          <t>PROPOSED</t>
        </is>
      </c>
      <c r="K365" s="10" t="inlineStr">
        <is>
          <t>DERIVED</t>
        </is>
      </c>
      <c r="L365" s="10" t="inlineStr">
        <is>
          <t>baixa</t>
        </is>
      </c>
      <c r="M365" s="10" t="inlineStr">
        <is>
          <t>["D05-DOC-DCM-001.SCHEMA.FRESHNESS"]</t>
        </is>
      </c>
    </row>
    <row r="366">
      <c r="A366" s="10" t="inlineStr">
        <is>
          <t>D05-DOC-DCM-001.SCHEMA.REGRA_DE_QUALIDADE</t>
        </is>
      </c>
      <c r="B366" s="10" t="inlineStr">
        <is>
          <t>D05-DOC-DCM-001</t>
        </is>
      </c>
      <c r="C366" s="10" t="inlineStr">
        <is>
          <t>D05-DOC-DCM-001-T01</t>
        </is>
      </c>
      <c r="D366" s="10" t="inlineStr">
        <is>
          <t>regra_de_qualidade</t>
        </is>
      </c>
      <c r="E366" s="10" t="inlineStr">
        <is>
          <t>Definir, validar e manter: Regra De Qualidade</t>
        </is>
      </c>
      <c r="F366" s="10" t="n"/>
      <c r="G366" s="10" t="b">
        <v>1</v>
      </c>
      <c r="H366" s="10" t="b">
        <v>1</v>
      </c>
      <c r="I366" s="10" t="inlineStr">
        <is>
          <t>EXTERNAL</t>
        </is>
      </c>
      <c r="J366" s="10" t="inlineStr">
        <is>
          <t>EXTERNAL_EVIDENCE</t>
        </is>
      </c>
      <c r="K366" s="10" t="inlineStr">
        <is>
          <t>EXTERNAL</t>
        </is>
      </c>
      <c r="L366" s="10" t="inlineStr">
        <is>
          <t>media</t>
        </is>
      </c>
      <c r="M366" s="10" t="inlineStr">
        <is>
          <t>["D05-DOC-DCM-001.SCHEMA.REGRA_DE_QUALIDADE"]</t>
        </is>
      </c>
    </row>
    <row r="367">
      <c r="A367" s="10" t="inlineStr">
        <is>
          <t>D05-DOC-DCM-001.SCHEMA.CLASSIFICACAO</t>
        </is>
      </c>
      <c r="B367" s="10" t="inlineStr">
        <is>
          <t>D05-DOC-DCM-001</t>
        </is>
      </c>
      <c r="C367" s="10" t="inlineStr">
        <is>
          <t>D05-DOC-DCM-001-T01</t>
        </is>
      </c>
      <c r="D367" s="10" t="inlineStr">
        <is>
          <t>classificacao</t>
        </is>
      </c>
      <c r="E367" s="10" t="inlineStr">
        <is>
          <t>Definir, validar e manter: Classificacao</t>
        </is>
      </c>
      <c r="F367" s="10" t="n"/>
      <c r="G367" s="10" t="b">
        <v>1</v>
      </c>
      <c r="H367" s="10" t="b">
        <v>1</v>
      </c>
      <c r="I367" s="10" t="inlineStr">
        <is>
          <t>EXTERNAL</t>
        </is>
      </c>
      <c r="J367" s="10" t="inlineStr">
        <is>
          <t>EXTERNAL_EVIDENCE</t>
        </is>
      </c>
      <c r="K367" s="10" t="inlineStr">
        <is>
          <t>EXTERNAL</t>
        </is>
      </c>
      <c r="L367" s="10" t="inlineStr">
        <is>
          <t>media</t>
        </is>
      </c>
      <c r="M367" s="10" t="inlineStr">
        <is>
          <t>["D05-DOC-DCM-001.SCHEMA.CLASSIFICACAO"]</t>
        </is>
      </c>
    </row>
    <row r="368">
      <c r="A368" s="10" t="inlineStr">
        <is>
          <t>D05-DOC-DCM-001.SCHEMA.RETENCAO</t>
        </is>
      </c>
      <c r="B368" s="10" t="inlineStr">
        <is>
          <t>D05-DOC-DCM-001</t>
        </is>
      </c>
      <c r="C368" s="10" t="inlineStr">
        <is>
          <t>D05-DOC-DCM-001-T01</t>
        </is>
      </c>
      <c r="D368" s="10" t="inlineStr">
        <is>
          <t>retencao</t>
        </is>
      </c>
      <c r="E368" s="10" t="inlineStr">
        <is>
          <t>Definir, validar e manter: Retencao</t>
        </is>
      </c>
      <c r="F368" s="10" t="n"/>
      <c r="G368" s="10" t="b">
        <v>1</v>
      </c>
      <c r="H368" s="10" t="b">
        <v>1</v>
      </c>
      <c r="I368" s="10" t="inlineStr">
        <is>
          <t>EXTERNAL</t>
        </is>
      </c>
      <c r="J368" s="10" t="inlineStr">
        <is>
          <t>EXTERNAL_EVIDENCE</t>
        </is>
      </c>
      <c r="K368" s="10" t="inlineStr">
        <is>
          <t>EXTERNAL</t>
        </is>
      </c>
      <c r="L368" s="10" t="inlineStr">
        <is>
          <t>media</t>
        </is>
      </c>
      <c r="M368" s="10" t="inlineStr">
        <is>
          <t>["D05-DOC-DCM-001.SCHEMA.RETENCAO"]</t>
        </is>
      </c>
    </row>
    <row r="369">
      <c r="A369" s="10" t="inlineStr">
        <is>
          <t>D05-DOC-DCM-001.SCHEMA.CONSUMIDORES</t>
        </is>
      </c>
      <c r="B369" s="10" t="inlineStr">
        <is>
          <t>D05-DOC-DCM-001</t>
        </is>
      </c>
      <c r="C369" s="10" t="inlineStr">
        <is>
          <t>D05-DOC-DCM-001-T01</t>
        </is>
      </c>
      <c r="D369" s="10" t="inlineStr">
        <is>
          <t>consumidores</t>
        </is>
      </c>
      <c r="E369" s="10" t="inlineStr">
        <is>
          <t>Definir, validar e manter: Consumidores</t>
        </is>
      </c>
      <c r="F369" s="10" t="n"/>
      <c r="G369" s="10" t="b">
        <v>1</v>
      </c>
      <c r="H369" s="10" t="b">
        <v>1</v>
      </c>
      <c r="I369" s="10" t="inlineStr">
        <is>
          <t>DERIVED</t>
        </is>
      </c>
      <c r="J369" s="10" t="inlineStr">
        <is>
          <t>PROPOSED</t>
        </is>
      </c>
      <c r="K369" s="10" t="inlineStr">
        <is>
          <t>DERIVED</t>
        </is>
      </c>
      <c r="L369" s="10" t="inlineStr">
        <is>
          <t>baixa</t>
        </is>
      </c>
      <c r="M369" s="10" t="inlineStr">
        <is>
          <t>["D05-DOC-DCM-001.SCHEMA.CONSUMIDORES"]</t>
        </is>
      </c>
    </row>
    <row r="370">
      <c r="A370" s="10" t="inlineStr">
        <is>
          <t>D06-DOC-EGC-001.TAXONOMY.DOMINIOS</t>
        </is>
      </c>
      <c r="B370" s="10" t="inlineStr">
        <is>
          <t>D06-DOC-EGC-001</t>
        </is>
      </c>
      <c r="C370" s="10" t="inlineStr">
        <is>
          <t>D06-DOC-EGC-001-T01</t>
        </is>
      </c>
      <c r="D370" s="10" t="inlineStr">
        <is>
          <t>dominios</t>
        </is>
      </c>
      <c r="E370" s="10" t="inlineStr">
        <is>
          <t>Definir, validar e manter: Dominios</t>
        </is>
      </c>
      <c r="F370" s="10" t="n"/>
      <c r="G370" s="10" t="b">
        <v>1</v>
      </c>
      <c r="H370" s="10" t="b">
        <v>1</v>
      </c>
      <c r="I370" s="10" t="inlineStr">
        <is>
          <t>FOUND</t>
        </is>
      </c>
      <c r="J370" s="10" t="inlineStr">
        <is>
          <t>DIRECT</t>
        </is>
      </c>
      <c r="K370" s="10" t="inlineStr">
        <is>
          <t>FOUND</t>
        </is>
      </c>
      <c r="L370" s="10" t="inlineStr">
        <is>
          <t>alta</t>
        </is>
      </c>
      <c r="M370" s="10" t="inlineStr">
        <is>
          <t>["D06-DOC-EGC-001.TAXONOMY.DOMINIOS"]</t>
        </is>
      </c>
    </row>
    <row r="371">
      <c r="A371" s="10" t="inlineStr">
        <is>
          <t>D06-DOC-EGC-001.TAXONOMY.SUBAREAS</t>
        </is>
      </c>
      <c r="B371" s="10" t="inlineStr">
        <is>
          <t>D06-DOC-EGC-001</t>
        </is>
      </c>
      <c r="C371" s="10" t="inlineStr">
        <is>
          <t>D06-DOC-EGC-001-T01</t>
        </is>
      </c>
      <c r="D371" s="10" t="inlineStr">
        <is>
          <t>subareas</t>
        </is>
      </c>
      <c r="E371" s="10" t="inlineStr">
        <is>
          <t>Definir, validar e manter: Subareas</t>
        </is>
      </c>
      <c r="F371" s="10" t="n"/>
      <c r="G371" s="10" t="b">
        <v>1</v>
      </c>
      <c r="H371" s="10" t="b">
        <v>1</v>
      </c>
      <c r="I371" s="10" t="inlineStr">
        <is>
          <t>DERIVED</t>
        </is>
      </c>
      <c r="J371" s="10" t="inlineStr">
        <is>
          <t>PROPOSED</t>
        </is>
      </c>
      <c r="K371" s="10" t="inlineStr">
        <is>
          <t>DERIVED</t>
        </is>
      </c>
      <c r="L371" s="10" t="inlineStr">
        <is>
          <t>baixa</t>
        </is>
      </c>
      <c r="M371" s="10" t="inlineStr">
        <is>
          <t>["D06-DOC-EGC-001.TAXONOMY.SUBAREAS"]</t>
        </is>
      </c>
    </row>
    <row r="372">
      <c r="A372" s="10" t="inlineStr">
        <is>
          <t>D06-DOC-EGC-001.TAXONOMY.CLASSES_DOCUMENTAIS</t>
        </is>
      </c>
      <c r="B372" s="10" t="inlineStr">
        <is>
          <t>D06-DOC-EGC-001</t>
        </is>
      </c>
      <c r="C372" s="10" t="inlineStr">
        <is>
          <t>D06-DOC-EGC-001-T01</t>
        </is>
      </c>
      <c r="D372" s="10" t="inlineStr">
        <is>
          <t>classes_documentais</t>
        </is>
      </c>
      <c r="E372" s="10" t="inlineStr">
        <is>
          <t>Definir, validar e manter: Classes Documentais</t>
        </is>
      </c>
      <c r="F372" s="10" t="n"/>
      <c r="G372" s="10" t="b">
        <v>1</v>
      </c>
      <c r="H372" s="10" t="b">
        <v>1</v>
      </c>
      <c r="I372" s="10" t="inlineStr">
        <is>
          <t>DERIVED</t>
        </is>
      </c>
      <c r="J372" s="10" t="inlineStr">
        <is>
          <t>PROPOSED</t>
        </is>
      </c>
      <c r="K372" s="10" t="inlineStr">
        <is>
          <t>DERIVED</t>
        </is>
      </c>
      <c r="L372" s="10" t="inlineStr">
        <is>
          <t>baixa</t>
        </is>
      </c>
      <c r="M372" s="10" t="inlineStr">
        <is>
          <t>["D06-DOC-EGC-001.TAXONOMY.CLASSES_DOCUMENTAIS"]</t>
        </is>
      </c>
    </row>
    <row r="373">
      <c r="A373" s="10" t="inlineStr">
        <is>
          <t>D06-DOC-EGC-001.ONTOLOGY.OBJETOS</t>
        </is>
      </c>
      <c r="B373" s="10" t="inlineStr">
        <is>
          <t>D06-DOC-EGC-001</t>
        </is>
      </c>
      <c r="C373" s="10" t="inlineStr">
        <is>
          <t>D06-DOC-EGC-001-T02</t>
        </is>
      </c>
      <c r="D373" s="10" t="inlineStr">
        <is>
          <t>objetos</t>
        </is>
      </c>
      <c r="E373" s="10" t="inlineStr">
        <is>
          <t>Definir, validar e manter: Objetos</t>
        </is>
      </c>
      <c r="F373" s="10" t="n"/>
      <c r="G373" s="10" t="b">
        <v>1</v>
      </c>
      <c r="H373" s="10" t="b">
        <v>1</v>
      </c>
      <c r="I373" s="10" t="inlineStr">
        <is>
          <t>DERIVED</t>
        </is>
      </c>
      <c r="J373" s="10" t="inlineStr">
        <is>
          <t>PROPOSED</t>
        </is>
      </c>
      <c r="K373" s="10" t="inlineStr">
        <is>
          <t>DERIVED</t>
        </is>
      </c>
      <c r="L373" s="10" t="inlineStr">
        <is>
          <t>baixa</t>
        </is>
      </c>
      <c r="M373" s="10" t="inlineStr">
        <is>
          <t>["D06-DOC-EGC-001.ONTOLOGY.OBJETOS"]</t>
        </is>
      </c>
    </row>
    <row r="374">
      <c r="A374" s="10" t="inlineStr">
        <is>
          <t>D06-DOC-EGC-001.ONTOLOGY.RELACOES</t>
        </is>
      </c>
      <c r="B374" s="10" t="inlineStr">
        <is>
          <t>D06-DOC-EGC-001</t>
        </is>
      </c>
      <c r="C374" s="10" t="inlineStr">
        <is>
          <t>D06-DOC-EGC-001-T02</t>
        </is>
      </c>
      <c r="D374" s="10" t="inlineStr">
        <is>
          <t>relacoes</t>
        </is>
      </c>
      <c r="E374" s="10" t="inlineStr">
        <is>
          <t>Definir, validar e manter: Relacoes</t>
        </is>
      </c>
      <c r="F374" s="10" t="n"/>
      <c r="G374" s="10" t="b">
        <v>1</v>
      </c>
      <c r="H374" s="10" t="b">
        <v>1</v>
      </c>
      <c r="I374" s="10" t="inlineStr">
        <is>
          <t>DERIVED</t>
        </is>
      </c>
      <c r="J374" s="10" t="inlineStr">
        <is>
          <t>PROPOSED</t>
        </is>
      </c>
      <c r="K374" s="10" t="inlineStr">
        <is>
          <t>DERIVED</t>
        </is>
      </c>
      <c r="L374" s="10" t="inlineStr">
        <is>
          <t>baixa</t>
        </is>
      </c>
      <c r="M374" s="10" t="inlineStr">
        <is>
          <t>["D06-DOC-EGC-001.ONTOLOGY.RELACOES"]</t>
        </is>
      </c>
    </row>
    <row r="375">
      <c r="A375" s="10" t="inlineStr">
        <is>
          <t>D06-DOC-EGC-001.REPOSITORIES.REPOSITORIO</t>
        </is>
      </c>
      <c r="B375" s="10" t="inlineStr">
        <is>
          <t>D06-DOC-EGC-001</t>
        </is>
      </c>
      <c r="C375" s="10" t="inlineStr">
        <is>
          <t>D06-DOC-EGC-001-T03</t>
        </is>
      </c>
      <c r="D375" s="10" t="inlineStr">
        <is>
          <t>repositorio</t>
        </is>
      </c>
      <c r="E375" s="10" t="inlineStr">
        <is>
          <t>Definir, validar e manter: Repositorio</t>
        </is>
      </c>
      <c r="F375" s="10" t="n"/>
      <c r="G375" s="10" t="b">
        <v>1</v>
      </c>
      <c r="H375" s="10" t="b">
        <v>1</v>
      </c>
      <c r="I375" s="10" t="inlineStr">
        <is>
          <t>DERIVED</t>
        </is>
      </c>
      <c r="J375" s="10" t="inlineStr">
        <is>
          <t>PROPOSED</t>
        </is>
      </c>
      <c r="K375" s="10" t="inlineStr">
        <is>
          <t>DERIVED</t>
        </is>
      </c>
      <c r="L375" s="10" t="inlineStr">
        <is>
          <t>baixa</t>
        </is>
      </c>
      <c r="M375" s="10" t="inlineStr">
        <is>
          <t>["D06-DOC-EGC-001.REPOSITORIES.REPOSITORIO"]</t>
        </is>
      </c>
    </row>
    <row r="376">
      <c r="A376" s="10" t="inlineStr">
        <is>
          <t>D06-DOC-EGC-001.REPOSITORIES.FINALIDADE</t>
        </is>
      </c>
      <c r="B376" s="10" t="inlineStr">
        <is>
          <t>D06-DOC-EGC-001</t>
        </is>
      </c>
      <c r="C376" s="10" t="inlineStr">
        <is>
          <t>D06-DOC-EGC-001-T03</t>
        </is>
      </c>
      <c r="D376" s="10" t="inlineStr">
        <is>
          <t>finalidade</t>
        </is>
      </c>
      <c r="E376" s="10" t="inlineStr">
        <is>
          <t>Definir, validar e manter: Finalidade</t>
        </is>
      </c>
      <c r="F376" s="10" t="n"/>
      <c r="G376" s="10" t="b">
        <v>1</v>
      </c>
      <c r="H376" s="10" t="b">
        <v>1</v>
      </c>
      <c r="I376" s="10" t="inlineStr">
        <is>
          <t>DERIVED</t>
        </is>
      </c>
      <c r="J376" s="10" t="inlineStr">
        <is>
          <t>PROPOSED</t>
        </is>
      </c>
      <c r="K376" s="10" t="inlineStr">
        <is>
          <t>DERIVED</t>
        </is>
      </c>
      <c r="L376" s="10" t="inlineStr">
        <is>
          <t>baixa</t>
        </is>
      </c>
      <c r="M376" s="10" t="inlineStr">
        <is>
          <t>["D06-DOC-EGC-001.REPOSITORIES.FINALIDADE"]</t>
        </is>
      </c>
    </row>
    <row r="377">
      <c r="A377" s="10" t="inlineStr">
        <is>
          <t>D06-DOC-EGC-001.REPOSITORIES.OWNER</t>
        </is>
      </c>
      <c r="B377" s="10" t="inlineStr">
        <is>
          <t>D06-DOC-EGC-001</t>
        </is>
      </c>
      <c r="C377" s="10" t="inlineStr">
        <is>
          <t>D06-DOC-EGC-001-T03</t>
        </is>
      </c>
      <c r="D377" s="10" t="inlineStr">
        <is>
          <t>owner</t>
        </is>
      </c>
      <c r="E377" s="10" t="inlineStr">
        <is>
          <t>Definir, validar e manter: Owner</t>
        </is>
      </c>
      <c r="F377" s="10" t="n"/>
      <c r="G377" s="10" t="b">
        <v>1</v>
      </c>
      <c r="H377" s="10" t="b">
        <v>1</v>
      </c>
      <c r="I377" s="10" t="inlineStr">
        <is>
          <t>DERIVED</t>
        </is>
      </c>
      <c r="J377" s="10" t="inlineStr">
        <is>
          <t>PROPOSED</t>
        </is>
      </c>
      <c r="K377" s="10" t="inlineStr">
        <is>
          <t>DERIVED</t>
        </is>
      </c>
      <c r="L377" s="10" t="inlineStr">
        <is>
          <t>baixa</t>
        </is>
      </c>
      <c r="M377" s="10" t="inlineStr">
        <is>
          <t>["D06-DOC-EGC-001.REPOSITORIES.OWNER"]</t>
        </is>
      </c>
    </row>
    <row r="378">
      <c r="A378" s="10" t="inlineStr">
        <is>
          <t>D06-DOC-EGC-001.SOURCES_OF_TRUTH.OBJETO</t>
        </is>
      </c>
      <c r="B378" s="10" t="inlineStr">
        <is>
          <t>D06-DOC-EGC-001</t>
        </is>
      </c>
      <c r="C378" s="10" t="inlineStr">
        <is>
          <t>D06-DOC-EGC-001-T04</t>
        </is>
      </c>
      <c r="D378" s="10" t="inlineStr">
        <is>
          <t>objeto</t>
        </is>
      </c>
      <c r="E378" s="10" t="inlineStr">
        <is>
          <t>Definir, validar e manter: Objeto</t>
        </is>
      </c>
      <c r="F378" s="10" t="n"/>
      <c r="G378" s="10" t="b">
        <v>1</v>
      </c>
      <c r="H378" s="10" t="b">
        <v>1</v>
      </c>
      <c r="I378" s="10" t="inlineStr">
        <is>
          <t>FOUND</t>
        </is>
      </c>
      <c r="J378" s="10" t="inlineStr">
        <is>
          <t>DIRECT</t>
        </is>
      </c>
      <c r="K378" s="10" t="inlineStr">
        <is>
          <t>FOUND</t>
        </is>
      </c>
      <c r="L378" s="10" t="inlineStr">
        <is>
          <t>alta</t>
        </is>
      </c>
      <c r="M378" s="10" t="inlineStr">
        <is>
          <t>["D06-DOC-EGC-001.SOURCES_OF_TRUTH.OBJETO"]</t>
        </is>
      </c>
    </row>
    <row r="379">
      <c r="A379" s="10" t="inlineStr">
        <is>
          <t>D06-DOC-EGC-001.SOURCES_OF_TRUTH.FONTE_CANONICA</t>
        </is>
      </c>
      <c r="B379" s="10" t="inlineStr">
        <is>
          <t>D06-DOC-EGC-001</t>
        </is>
      </c>
      <c r="C379" s="10" t="inlineStr">
        <is>
          <t>D06-DOC-EGC-001-T04</t>
        </is>
      </c>
      <c r="D379" s="10" t="inlineStr">
        <is>
          <t>fonte_canonica</t>
        </is>
      </c>
      <c r="E379" s="10" t="inlineStr">
        <is>
          <t>Definir, validar e manter: Fonte Canonica</t>
        </is>
      </c>
      <c r="F379" s="10" t="n"/>
      <c r="G379" s="10" t="b">
        <v>1</v>
      </c>
      <c r="H379" s="10" t="b">
        <v>1</v>
      </c>
      <c r="I379" s="10" t="inlineStr">
        <is>
          <t>DERIVED</t>
        </is>
      </c>
      <c r="J379" s="10" t="inlineStr">
        <is>
          <t>PROPOSED</t>
        </is>
      </c>
      <c r="K379" s="10" t="inlineStr">
        <is>
          <t>DERIVED</t>
        </is>
      </c>
      <c r="L379" s="10" t="inlineStr">
        <is>
          <t>baixa</t>
        </is>
      </c>
      <c r="M379" s="10" t="inlineStr">
        <is>
          <t>["D06-DOC-EGC-001.SOURCES_OF_TRUTH.FONTE_CANONICA"]</t>
        </is>
      </c>
    </row>
    <row r="380">
      <c r="A380" s="10" t="inlineStr">
        <is>
          <t>D06-DOC-EGC-001.IDENTITY.PADRAO_DE_IDS</t>
        </is>
      </c>
      <c r="B380" s="10" t="inlineStr">
        <is>
          <t>D06-DOC-EGC-001</t>
        </is>
      </c>
      <c r="C380" s="10" t="inlineStr">
        <is>
          <t>D06-DOC-EGC-001-T05</t>
        </is>
      </c>
      <c r="D380" s="10" t="inlineStr">
        <is>
          <t>padrao_de_ids</t>
        </is>
      </c>
      <c r="E380" s="10" t="inlineStr">
        <is>
          <t>Definir, validar e manter: Padrao De Ids</t>
        </is>
      </c>
      <c r="F380" s="10" t="n"/>
      <c r="G380" s="10" t="b">
        <v>1</v>
      </c>
      <c r="H380" s="10" t="b">
        <v>1</v>
      </c>
      <c r="I380" s="10" t="inlineStr">
        <is>
          <t>FOUND</t>
        </is>
      </c>
      <c r="J380" s="10" t="inlineStr">
        <is>
          <t>DIRECT</t>
        </is>
      </c>
      <c r="K380" s="10" t="inlineStr">
        <is>
          <t>FOUND</t>
        </is>
      </c>
      <c r="L380" s="10" t="inlineStr">
        <is>
          <t>alta</t>
        </is>
      </c>
      <c r="M380" s="10" t="inlineStr">
        <is>
          <t>["D06-DOC-EGC-001.IDENTITY.PADRAO_DE_IDS"]</t>
        </is>
      </c>
    </row>
    <row r="381">
      <c r="A381" s="10" t="inlineStr">
        <is>
          <t>D06-DOC-EGC-001.IDENTITY.NAMING</t>
        </is>
      </c>
      <c r="B381" s="10" t="inlineStr">
        <is>
          <t>D06-DOC-EGC-001</t>
        </is>
      </c>
      <c r="C381" s="10" t="inlineStr">
        <is>
          <t>D06-DOC-EGC-001-T05</t>
        </is>
      </c>
      <c r="D381" s="10" t="inlineStr">
        <is>
          <t>naming</t>
        </is>
      </c>
      <c r="E381" s="10" t="inlineStr">
        <is>
          <t>Definir, validar e manter: Naming</t>
        </is>
      </c>
      <c r="F381" s="10" t="n"/>
      <c r="G381" s="10" t="b">
        <v>1</v>
      </c>
      <c r="H381" s="10" t="b">
        <v>1</v>
      </c>
      <c r="I381" s="10" t="inlineStr">
        <is>
          <t>DERIVED</t>
        </is>
      </c>
      <c r="J381" s="10" t="inlineStr">
        <is>
          <t>PROPOSED</t>
        </is>
      </c>
      <c r="K381" s="10" t="inlineStr">
        <is>
          <t>DERIVED</t>
        </is>
      </c>
      <c r="L381" s="10" t="inlineStr">
        <is>
          <t>baixa</t>
        </is>
      </c>
      <c r="M381" s="10" t="inlineStr">
        <is>
          <t>["D06-DOC-EGC-001.IDENTITY.NAMING"]</t>
        </is>
      </c>
    </row>
    <row r="382">
      <c r="A382" s="10" t="inlineStr">
        <is>
          <t>D06-DOC-EGC-001.VERSIONING.VERSAO</t>
        </is>
      </c>
      <c r="B382" s="10" t="inlineStr">
        <is>
          <t>D06-DOC-EGC-001</t>
        </is>
      </c>
      <c r="C382" s="10" t="inlineStr">
        <is>
          <t>D06-DOC-EGC-001-T06</t>
        </is>
      </c>
      <c r="D382" s="10" t="inlineStr">
        <is>
          <t>versao</t>
        </is>
      </c>
      <c r="E382" s="10" t="inlineStr">
        <is>
          <t>Definir, validar e manter: Versao</t>
        </is>
      </c>
      <c r="F382" s="10" t="n"/>
      <c r="G382" s="10" t="b">
        <v>1</v>
      </c>
      <c r="H382" s="10" t="b">
        <v>1</v>
      </c>
      <c r="I382" s="10" t="inlineStr">
        <is>
          <t>DERIVED</t>
        </is>
      </c>
      <c r="J382" s="10" t="inlineStr">
        <is>
          <t>PROPOSED</t>
        </is>
      </c>
      <c r="K382" s="10" t="inlineStr">
        <is>
          <t>DERIVED</t>
        </is>
      </c>
      <c r="L382" s="10" t="inlineStr">
        <is>
          <t>baixa</t>
        </is>
      </c>
      <c r="M382" s="10" t="inlineStr">
        <is>
          <t>["D06-DOC-EGC-001.VERSIONING.VERSAO"]</t>
        </is>
      </c>
    </row>
    <row r="383">
      <c r="A383" s="10" t="inlineStr">
        <is>
          <t>D06-DOC-EGC-001.VERSIONING.HISTORICO</t>
        </is>
      </c>
      <c r="B383" s="10" t="inlineStr">
        <is>
          <t>D06-DOC-EGC-001</t>
        </is>
      </c>
      <c r="C383" s="10" t="inlineStr">
        <is>
          <t>D06-DOC-EGC-001-T06</t>
        </is>
      </c>
      <c r="D383" s="10" t="inlineStr">
        <is>
          <t>historico</t>
        </is>
      </c>
      <c r="E383" s="10" t="inlineStr">
        <is>
          <t>Definir, validar e manter: Historico</t>
        </is>
      </c>
      <c r="F383" s="10" t="n"/>
      <c r="G383" s="10" t="b">
        <v>1</v>
      </c>
      <c r="H383" s="10" t="b">
        <v>1</v>
      </c>
      <c r="I383" s="10" t="inlineStr">
        <is>
          <t>DERIVED</t>
        </is>
      </c>
      <c r="J383" s="10" t="inlineStr">
        <is>
          <t>PROPOSED</t>
        </is>
      </c>
      <c r="K383" s="10" t="inlineStr">
        <is>
          <t>DERIVED</t>
        </is>
      </c>
      <c r="L383" s="10" t="inlineStr">
        <is>
          <t>baixa</t>
        </is>
      </c>
      <c r="M383" s="10" t="inlineStr">
        <is>
          <t>["D06-DOC-EGC-001.VERSIONING.HISTORICO"]</t>
        </is>
      </c>
    </row>
    <row r="384">
      <c r="A384" s="10" t="inlineStr">
        <is>
          <t>D06-DOC-EGC-001.VERSIONING.SUPERSEDE</t>
        </is>
      </c>
      <c r="B384" s="10" t="inlineStr">
        <is>
          <t>D06-DOC-EGC-001</t>
        </is>
      </c>
      <c r="C384" s="10" t="inlineStr">
        <is>
          <t>D06-DOC-EGC-001-T06</t>
        </is>
      </c>
      <c r="D384" s="10" t="inlineStr">
        <is>
          <t>supersede</t>
        </is>
      </c>
      <c r="E384" s="10" t="inlineStr">
        <is>
          <t>Definir, validar e manter: Supersede</t>
        </is>
      </c>
      <c r="F384" s="10" t="n"/>
      <c r="G384" s="10" t="b">
        <v>1</v>
      </c>
      <c r="H384" s="10" t="b">
        <v>1</v>
      </c>
      <c r="I384" s="10" t="inlineStr">
        <is>
          <t>DERIVED</t>
        </is>
      </c>
      <c r="J384" s="10" t="inlineStr">
        <is>
          <t>PROPOSED</t>
        </is>
      </c>
      <c r="K384" s="10" t="inlineStr">
        <is>
          <t>DERIVED</t>
        </is>
      </c>
      <c r="L384" s="10" t="inlineStr">
        <is>
          <t>baixa</t>
        </is>
      </c>
      <c r="M384" s="10" t="inlineStr">
        <is>
          <t>["D06-DOC-EGC-001.VERSIONING.SUPERSEDE"]</t>
        </is>
      </c>
    </row>
    <row r="385">
      <c r="A385" s="10" t="inlineStr">
        <is>
          <t>D06-DOC-EGC-001.INGESTION.ENTRADA</t>
        </is>
      </c>
      <c r="B385" s="10" t="inlineStr">
        <is>
          <t>D06-DOC-EGC-001</t>
        </is>
      </c>
      <c r="C385" s="10" t="inlineStr">
        <is>
          <t>D06-DOC-EGC-001-T07</t>
        </is>
      </c>
      <c r="D385" s="10" t="inlineStr">
        <is>
          <t>entrada</t>
        </is>
      </c>
      <c r="E385" s="10" t="inlineStr">
        <is>
          <t>Definir, validar e manter: Entrada</t>
        </is>
      </c>
      <c r="F385" s="10" t="n"/>
      <c r="G385" s="10" t="b">
        <v>1</v>
      </c>
      <c r="H385" s="10" t="b">
        <v>1</v>
      </c>
      <c r="I385" s="10" t="inlineStr">
        <is>
          <t>DERIVED</t>
        </is>
      </c>
      <c r="J385" s="10" t="inlineStr">
        <is>
          <t>PROPOSED</t>
        </is>
      </c>
      <c r="K385" s="10" t="inlineStr">
        <is>
          <t>DERIVED</t>
        </is>
      </c>
      <c r="L385" s="10" t="inlineStr">
        <is>
          <t>baixa</t>
        </is>
      </c>
      <c r="M385" s="10" t="inlineStr">
        <is>
          <t>["D06-DOC-EGC-001.INGESTION.ENTRADA"]</t>
        </is>
      </c>
    </row>
    <row r="386">
      <c r="A386" s="10" t="inlineStr">
        <is>
          <t>D06-DOC-EGC-001.INGESTION.CLASSIFICACAO</t>
        </is>
      </c>
      <c r="B386" s="10" t="inlineStr">
        <is>
          <t>D06-DOC-EGC-001</t>
        </is>
      </c>
      <c r="C386" s="10" t="inlineStr">
        <is>
          <t>D06-DOC-EGC-001-T07</t>
        </is>
      </c>
      <c r="D386" s="10" t="inlineStr">
        <is>
          <t>classificacao</t>
        </is>
      </c>
      <c r="E386" s="10" t="inlineStr">
        <is>
          <t>Definir, validar e manter: Classificacao</t>
        </is>
      </c>
      <c r="F386" s="10" t="n"/>
      <c r="G386" s="10" t="b">
        <v>1</v>
      </c>
      <c r="H386" s="10" t="b">
        <v>1</v>
      </c>
      <c r="I386" s="10" t="inlineStr">
        <is>
          <t>EXTERNAL</t>
        </is>
      </c>
      <c r="J386" s="10" t="inlineStr">
        <is>
          <t>EXTERNAL_EVIDENCE</t>
        </is>
      </c>
      <c r="K386" s="10" t="inlineStr">
        <is>
          <t>EXTERNAL</t>
        </is>
      </c>
      <c r="L386" s="10" t="inlineStr">
        <is>
          <t>media</t>
        </is>
      </c>
      <c r="M386" s="10" t="inlineStr">
        <is>
          <t>["D06-DOC-EGC-001.INGESTION.CLASSIFICACAO"]</t>
        </is>
      </c>
    </row>
    <row r="387">
      <c r="A387" s="10" t="inlineStr">
        <is>
          <t>D06-DOC-EGC-001.INGESTION.PROCESSAMENTO</t>
        </is>
      </c>
      <c r="B387" s="10" t="inlineStr">
        <is>
          <t>D06-DOC-EGC-001</t>
        </is>
      </c>
      <c r="C387" s="10" t="inlineStr">
        <is>
          <t>D06-DOC-EGC-001-T07</t>
        </is>
      </c>
      <c r="D387" s="10" t="inlineStr">
        <is>
          <t>processamento</t>
        </is>
      </c>
      <c r="E387" s="10" t="inlineStr">
        <is>
          <t>Definir, validar e manter: Processamento</t>
        </is>
      </c>
      <c r="F387" s="10" t="n"/>
      <c r="G387" s="10" t="b">
        <v>1</v>
      </c>
      <c r="H387" s="10" t="b">
        <v>1</v>
      </c>
      <c r="I387" s="10" t="inlineStr">
        <is>
          <t>DERIVED</t>
        </is>
      </c>
      <c r="J387" s="10" t="inlineStr">
        <is>
          <t>PROPOSED</t>
        </is>
      </c>
      <c r="K387" s="10" t="inlineStr">
        <is>
          <t>DERIVED</t>
        </is>
      </c>
      <c r="L387" s="10" t="inlineStr">
        <is>
          <t>baixa</t>
        </is>
      </c>
      <c r="M387" s="10" t="inlineStr">
        <is>
          <t>["D06-DOC-EGC-001.INGESTION.PROCESSAMENTO"]</t>
        </is>
      </c>
    </row>
    <row r="388">
      <c r="A388" s="10" t="inlineStr">
        <is>
          <t>D06-DOC-EGC-001.RETRIEVAL.BUSCA</t>
        </is>
      </c>
      <c r="B388" s="10" t="inlineStr">
        <is>
          <t>D06-DOC-EGC-001</t>
        </is>
      </c>
      <c r="C388" s="10" t="inlineStr">
        <is>
          <t>D06-DOC-EGC-001-T08</t>
        </is>
      </c>
      <c r="D388" s="10" t="inlineStr">
        <is>
          <t>busca</t>
        </is>
      </c>
      <c r="E388" s="10" t="inlineStr">
        <is>
          <t>Definir, validar e manter: Busca</t>
        </is>
      </c>
      <c r="F388" s="10" t="n"/>
      <c r="G388" s="10" t="b">
        <v>1</v>
      </c>
      <c r="H388" s="10" t="b">
        <v>1</v>
      </c>
      <c r="I388" s="10" t="inlineStr">
        <is>
          <t>DERIVED</t>
        </is>
      </c>
      <c r="J388" s="10" t="inlineStr">
        <is>
          <t>PROPOSED</t>
        </is>
      </c>
      <c r="K388" s="10" t="inlineStr">
        <is>
          <t>DERIVED</t>
        </is>
      </c>
      <c r="L388" s="10" t="inlineStr">
        <is>
          <t>baixa</t>
        </is>
      </c>
      <c r="M388" s="10" t="inlineStr">
        <is>
          <t>["D06-DOC-EGC-001.RETRIEVAL.BUSCA"]</t>
        </is>
      </c>
    </row>
    <row r="389">
      <c r="A389" s="10" t="inlineStr">
        <is>
          <t>D06-DOC-EGC-001.RETRIEVAL.FILTROS</t>
        </is>
      </c>
      <c r="B389" s="10" t="inlineStr">
        <is>
          <t>D06-DOC-EGC-001</t>
        </is>
      </c>
      <c r="C389" s="10" t="inlineStr">
        <is>
          <t>D06-DOC-EGC-001-T08</t>
        </is>
      </c>
      <c r="D389" s="10" t="inlineStr">
        <is>
          <t>filtros</t>
        </is>
      </c>
      <c r="E389" s="10" t="inlineStr">
        <is>
          <t>Definir, validar e manter: Filtros</t>
        </is>
      </c>
      <c r="F389" s="10" t="n"/>
      <c r="G389" s="10" t="b">
        <v>1</v>
      </c>
      <c r="H389" s="10" t="b">
        <v>1</v>
      </c>
      <c r="I389" s="10" t="inlineStr">
        <is>
          <t>DERIVED</t>
        </is>
      </c>
      <c r="J389" s="10" t="inlineStr">
        <is>
          <t>PROPOSED</t>
        </is>
      </c>
      <c r="K389" s="10" t="inlineStr">
        <is>
          <t>DERIVED</t>
        </is>
      </c>
      <c r="L389" s="10" t="inlineStr">
        <is>
          <t>baixa</t>
        </is>
      </c>
      <c r="M389" s="10" t="inlineStr">
        <is>
          <t>["D06-DOC-EGC-001.RETRIEVAL.FILTROS"]</t>
        </is>
      </c>
    </row>
    <row r="390">
      <c r="A390" s="10" t="inlineStr">
        <is>
          <t>D06-DOC-EGC-001.RETRIEVAL.INDEXACAO</t>
        </is>
      </c>
      <c r="B390" s="10" t="inlineStr">
        <is>
          <t>D06-DOC-EGC-001</t>
        </is>
      </c>
      <c r="C390" s="10" t="inlineStr">
        <is>
          <t>D06-DOC-EGC-001-T08</t>
        </is>
      </c>
      <c r="D390" s="10" t="inlineStr">
        <is>
          <t>indexacao</t>
        </is>
      </c>
      <c r="E390" s="10" t="inlineStr">
        <is>
          <t>Definir, validar e manter: Indexacao</t>
        </is>
      </c>
      <c r="F390" s="10" t="n"/>
      <c r="G390" s="10" t="b">
        <v>1</v>
      </c>
      <c r="H390" s="10" t="b">
        <v>1</v>
      </c>
      <c r="I390" s="10" t="inlineStr">
        <is>
          <t>DERIVED</t>
        </is>
      </c>
      <c r="J390" s="10" t="inlineStr">
        <is>
          <t>PROPOSED</t>
        </is>
      </c>
      <c r="K390" s="10" t="inlineStr">
        <is>
          <t>DERIVED</t>
        </is>
      </c>
      <c r="L390" s="10" t="inlineStr">
        <is>
          <t>baixa</t>
        </is>
      </c>
      <c r="M390" s="10" t="inlineStr">
        <is>
          <t>["D06-DOC-EGC-001.RETRIEVAL.INDEXACAO"]</t>
        </is>
      </c>
    </row>
    <row r="391">
      <c r="A391" s="10" t="inlineStr">
        <is>
          <t>D06-DOC-EGC-001.CURATION.REVISAO</t>
        </is>
      </c>
      <c r="B391" s="10" t="inlineStr">
        <is>
          <t>D06-DOC-EGC-001</t>
        </is>
      </c>
      <c r="C391" s="10" t="inlineStr">
        <is>
          <t>D06-DOC-EGC-001-T09</t>
        </is>
      </c>
      <c r="D391" s="10" t="inlineStr">
        <is>
          <t>revisao</t>
        </is>
      </c>
      <c r="E391" s="10" t="inlineStr">
        <is>
          <t>Definir, validar e manter: Revisao</t>
        </is>
      </c>
      <c r="F391" s="10" t="n"/>
      <c r="G391" s="10" t="b">
        <v>1</v>
      </c>
      <c r="H391" s="10" t="b">
        <v>1</v>
      </c>
      <c r="I391" s="10" t="inlineStr">
        <is>
          <t>DERIVED</t>
        </is>
      </c>
      <c r="J391" s="10" t="inlineStr">
        <is>
          <t>PROPOSED</t>
        </is>
      </c>
      <c r="K391" s="10" t="inlineStr">
        <is>
          <t>DERIVED</t>
        </is>
      </c>
      <c r="L391" s="10" t="inlineStr">
        <is>
          <t>baixa</t>
        </is>
      </c>
      <c r="M391" s="10" t="inlineStr">
        <is>
          <t>["D06-DOC-EGC-001.CURATION.REVISAO"]</t>
        </is>
      </c>
    </row>
    <row r="392">
      <c r="A392" s="10" t="inlineStr">
        <is>
          <t>D06-DOC-EGC-001.CURATION.APROVACAO</t>
        </is>
      </c>
      <c r="B392" s="10" t="inlineStr">
        <is>
          <t>D06-DOC-EGC-001</t>
        </is>
      </c>
      <c r="C392" s="10" t="inlineStr">
        <is>
          <t>D06-DOC-EGC-001-T09</t>
        </is>
      </c>
      <c r="D392" s="10" t="inlineStr">
        <is>
          <t>aprovacao</t>
        </is>
      </c>
      <c r="E392" s="10" t="inlineStr">
        <is>
          <t>Definir, validar e manter: Aprovacao</t>
        </is>
      </c>
      <c r="F392" s="10" t="n"/>
      <c r="G392" s="10" t="b">
        <v>1</v>
      </c>
      <c r="H392" s="10" t="b">
        <v>1</v>
      </c>
      <c r="I392" s="10" t="inlineStr">
        <is>
          <t>DERIVED</t>
        </is>
      </c>
      <c r="J392" s="10" t="inlineStr">
        <is>
          <t>PROPOSED</t>
        </is>
      </c>
      <c r="K392" s="10" t="inlineStr">
        <is>
          <t>DERIVED</t>
        </is>
      </c>
      <c r="L392" s="10" t="inlineStr">
        <is>
          <t>baixa</t>
        </is>
      </c>
      <c r="M392" s="10" t="inlineStr">
        <is>
          <t>["D06-DOC-EGC-001.CURATION.APROVACAO"]</t>
        </is>
      </c>
    </row>
    <row r="393">
      <c r="A393" s="10" t="inlineStr">
        <is>
          <t>D06-DOC-EGC-001.ARCHIVAL.ARQUIVAMENTO</t>
        </is>
      </c>
      <c r="B393" s="10" t="inlineStr">
        <is>
          <t>D06-DOC-EGC-001</t>
        </is>
      </c>
      <c r="C393" s="10" t="inlineStr">
        <is>
          <t>D06-DOC-EGC-001-T10</t>
        </is>
      </c>
      <c r="D393" s="10" t="inlineStr">
        <is>
          <t>arquivamento</t>
        </is>
      </c>
      <c r="E393" s="10" t="inlineStr">
        <is>
          <t>Definir, validar e manter: Arquivamento</t>
        </is>
      </c>
      <c r="F393" s="10" t="n"/>
      <c r="G393" s="10" t="b">
        <v>1</v>
      </c>
      <c r="H393" s="10" t="b">
        <v>1</v>
      </c>
      <c r="I393" s="10" t="inlineStr">
        <is>
          <t>DERIVED</t>
        </is>
      </c>
      <c r="J393" s="10" t="inlineStr">
        <is>
          <t>PROPOSED</t>
        </is>
      </c>
      <c r="K393" s="10" t="inlineStr">
        <is>
          <t>DERIVED</t>
        </is>
      </c>
      <c r="L393" s="10" t="inlineStr">
        <is>
          <t>baixa</t>
        </is>
      </c>
      <c r="M393" s="10" t="inlineStr">
        <is>
          <t>["D06-DOC-EGC-001.ARCHIVAL.ARQUIVAMENTO"]</t>
        </is>
      </c>
    </row>
    <row r="394">
      <c r="A394" s="10" t="inlineStr">
        <is>
          <t>D06-DOC-EGC-001.ARCHIVAL.DESCARTE</t>
        </is>
      </c>
      <c r="B394" s="10" t="inlineStr">
        <is>
          <t>D06-DOC-EGC-001</t>
        </is>
      </c>
      <c r="C394" s="10" t="inlineStr">
        <is>
          <t>D06-DOC-EGC-001-T10</t>
        </is>
      </c>
      <c r="D394" s="10" t="inlineStr">
        <is>
          <t>descarte</t>
        </is>
      </c>
      <c r="E394" s="10" t="inlineStr">
        <is>
          <t>Definir, validar e manter: Descarte</t>
        </is>
      </c>
      <c r="F394" s="10" t="n"/>
      <c r="G394" s="10" t="b">
        <v>1</v>
      </c>
      <c r="H394" s="10" t="b">
        <v>1</v>
      </c>
      <c r="I394" s="10" t="inlineStr">
        <is>
          <t>DERIVED</t>
        </is>
      </c>
      <c r="J394" s="10" t="inlineStr">
        <is>
          <t>PROPOSED</t>
        </is>
      </c>
      <c r="K394" s="10" t="inlineStr">
        <is>
          <t>DERIVED</t>
        </is>
      </c>
      <c r="L394" s="10" t="inlineStr">
        <is>
          <t>baixa</t>
        </is>
      </c>
      <c r="M394" s="10" t="inlineStr">
        <is>
          <t>["D06-DOC-EGC-001.ARCHIVAL.DESCARTE"]</t>
        </is>
      </c>
    </row>
    <row r="395">
      <c r="A395" s="10" t="inlineStr">
        <is>
          <t>D06-DOC-EGC-001.CROSSLINKING.RELACOES_ENTRE_DOCUMENTOS</t>
        </is>
      </c>
      <c r="B395" s="10" t="inlineStr">
        <is>
          <t>D06-DOC-EGC-001</t>
        </is>
      </c>
      <c r="C395" s="10" t="inlineStr">
        <is>
          <t>D06-DOC-EGC-001-T11</t>
        </is>
      </c>
      <c r="D395" s="10" t="inlineStr">
        <is>
          <t>relacoes_entre_documentos</t>
        </is>
      </c>
      <c r="E395" s="10" t="inlineStr">
        <is>
          <t>Definir, validar e manter: Relacoes Entre Documentos</t>
        </is>
      </c>
      <c r="F395" s="10" t="n"/>
      <c r="G395" s="10" t="b">
        <v>1</v>
      </c>
      <c r="H395" s="10" t="b">
        <v>1</v>
      </c>
      <c r="I395" s="10" t="inlineStr">
        <is>
          <t>DERIVED</t>
        </is>
      </c>
      <c r="J395" s="10" t="inlineStr">
        <is>
          <t>PROPOSED</t>
        </is>
      </c>
      <c r="K395" s="10" t="inlineStr">
        <is>
          <t>DERIVED</t>
        </is>
      </c>
      <c r="L395" s="10" t="inlineStr">
        <is>
          <t>baixa</t>
        </is>
      </c>
      <c r="M395" s="10" t="inlineStr">
        <is>
          <t>["D06-DOC-EGC-001.CROSSLINKING.RELACOES_ENTRE_DOCUMENTOS"]</t>
        </is>
      </c>
    </row>
    <row r="396">
      <c r="A396" s="10" t="inlineStr">
        <is>
          <t>D06-DOC-EGC-001.GOVERNANCE.OWNER</t>
        </is>
      </c>
      <c r="B396" s="10" t="inlineStr">
        <is>
          <t>D06-DOC-EGC-001</t>
        </is>
      </c>
      <c r="C396" s="10" t="inlineStr">
        <is>
          <t>D06-DOC-EGC-001-T12</t>
        </is>
      </c>
      <c r="D396" s="10" t="inlineStr">
        <is>
          <t>owner</t>
        </is>
      </c>
      <c r="E396" s="10" t="inlineStr">
        <is>
          <t>Definir, validar e manter: Owner</t>
        </is>
      </c>
      <c r="F396" s="10" t="n"/>
      <c r="G396" s="10" t="b">
        <v>1</v>
      </c>
      <c r="H396" s="10" t="b">
        <v>1</v>
      </c>
      <c r="I396" s="10" t="inlineStr">
        <is>
          <t>CONFLICT</t>
        </is>
      </c>
      <c r="J396" s="10" t="inlineStr">
        <is>
          <t>CONFLICT</t>
        </is>
      </c>
      <c r="K396" s="10" t="inlineStr">
        <is>
          <t>CONFLICT</t>
        </is>
      </c>
      <c r="L396" s="10" t="inlineStr">
        <is>
          <t>alta</t>
        </is>
      </c>
      <c r="M396" s="10" t="inlineStr">
        <is>
          <t>["D06-DOC-EGC-001.GOVERNANCE.OWNER"]</t>
        </is>
      </c>
    </row>
    <row r="397">
      <c r="A397" s="10" t="inlineStr">
        <is>
          <t>D06-DOC-EGC-001.GOVERNANCE.ESTADO</t>
        </is>
      </c>
      <c r="B397" s="10" t="inlineStr">
        <is>
          <t>D06-DOC-EGC-001</t>
        </is>
      </c>
      <c r="C397" s="10" t="inlineStr">
        <is>
          <t>D06-DOC-EGC-001-T12</t>
        </is>
      </c>
      <c r="D397" s="10" t="inlineStr">
        <is>
          <t>estado</t>
        </is>
      </c>
      <c r="E397" s="10" t="inlineStr">
        <is>
          <t>Definir, validar e manter: Estado</t>
        </is>
      </c>
      <c r="F397" s="10" t="n"/>
      <c r="G397" s="10" t="b">
        <v>1</v>
      </c>
      <c r="H397" s="10" t="b">
        <v>1</v>
      </c>
      <c r="I397" s="10" t="inlineStr">
        <is>
          <t>CONFLICT</t>
        </is>
      </c>
      <c r="J397" s="10" t="inlineStr">
        <is>
          <t>CONFLICT</t>
        </is>
      </c>
      <c r="K397" s="10" t="inlineStr">
        <is>
          <t>CONFLICT</t>
        </is>
      </c>
      <c r="L397" s="10" t="inlineStr">
        <is>
          <t>alta</t>
        </is>
      </c>
      <c r="M397" s="10" t="inlineStr">
        <is>
          <t>["D06-DOC-EGC-001.GOVERNANCE.ESTADO"]</t>
        </is>
      </c>
    </row>
    <row r="398">
      <c r="A398" s="10" t="inlineStr">
        <is>
          <t>D06-DOC-EGC-001.GOVERNANCE.EVIDENCIA</t>
        </is>
      </c>
      <c r="B398" s="10" t="inlineStr">
        <is>
          <t>D06-DOC-EGC-001</t>
        </is>
      </c>
      <c r="C398" s="10" t="inlineStr">
        <is>
          <t>D06-DOC-EGC-001-T12</t>
        </is>
      </c>
      <c r="D398" s="10" t="inlineStr">
        <is>
          <t>evidencia</t>
        </is>
      </c>
      <c r="E398" s="10" t="inlineStr">
        <is>
          <t>Definir, validar e manter: Evidencia</t>
        </is>
      </c>
      <c r="F398" s="10" t="n"/>
      <c r="G398" s="10" t="b">
        <v>1</v>
      </c>
      <c r="H398" s="10" t="b">
        <v>1</v>
      </c>
      <c r="I398" s="10" t="inlineStr">
        <is>
          <t>DERIVED</t>
        </is>
      </c>
      <c r="J398" s="10" t="inlineStr">
        <is>
          <t>PROPOSED</t>
        </is>
      </c>
      <c r="K398" s="10" t="inlineStr">
        <is>
          <t>DERIVED</t>
        </is>
      </c>
      <c r="L398" s="10" t="inlineStr">
        <is>
          <t>baixa</t>
        </is>
      </c>
      <c r="M398" s="10" t="inlineStr">
        <is>
          <t>["D06-DOC-EGC-001.GOVERNANCE.EVIDENCIA"]</t>
        </is>
      </c>
    </row>
    <row r="399">
      <c r="A399" s="10" t="inlineStr">
        <is>
          <t>D06-DOC-RMI-001.SCHEMA.CANONICAL_ID</t>
        </is>
      </c>
      <c r="B399" s="10" t="inlineStr">
        <is>
          <t>D06-DOC-RMI-001</t>
        </is>
      </c>
      <c r="C399" s="10" t="inlineStr">
        <is>
          <t>D06-DOC-RMI-001-T01</t>
        </is>
      </c>
      <c r="D399" s="10" t="inlineStr">
        <is>
          <t>canonical_id</t>
        </is>
      </c>
      <c r="E399" s="10" t="inlineStr">
        <is>
          <t>Definir, validar e manter: Canonical ID</t>
        </is>
      </c>
      <c r="F399" s="10" t="n"/>
      <c r="G399" s="10" t="b">
        <v>1</v>
      </c>
      <c r="H399" s="10" t="b">
        <v>1</v>
      </c>
      <c r="I399" s="10" t="inlineStr">
        <is>
          <t>DERIVED</t>
        </is>
      </c>
      <c r="J399" s="10" t="inlineStr">
        <is>
          <t>PROPOSED</t>
        </is>
      </c>
      <c r="K399" s="10" t="inlineStr">
        <is>
          <t>DERIVED</t>
        </is>
      </c>
      <c r="L399" s="10" t="inlineStr">
        <is>
          <t>baixa</t>
        </is>
      </c>
      <c r="M399" s="10" t="inlineStr">
        <is>
          <t>["D06-DOC-RMI-001.SCHEMA.CANONICAL_ID"]</t>
        </is>
      </c>
    </row>
    <row r="400">
      <c r="A400" s="10" t="inlineStr">
        <is>
          <t>D06-DOC-RMI-001.SCHEMA.OBJECT_TYPE</t>
        </is>
      </c>
      <c r="B400" s="10" t="inlineStr">
        <is>
          <t>D06-DOC-RMI-001</t>
        </is>
      </c>
      <c r="C400" s="10" t="inlineStr">
        <is>
          <t>D06-DOC-RMI-001-T01</t>
        </is>
      </c>
      <c r="D400" s="10" t="inlineStr">
        <is>
          <t>object_type</t>
        </is>
      </c>
      <c r="E400" s="10" t="inlineStr">
        <is>
          <t>Definir, validar e manter: Object Type</t>
        </is>
      </c>
      <c r="F400" s="10" t="n"/>
      <c r="G400" s="10" t="b">
        <v>1</v>
      </c>
      <c r="H400" s="10" t="b">
        <v>1</v>
      </c>
      <c r="I400" s="10" t="inlineStr">
        <is>
          <t>DERIVED</t>
        </is>
      </c>
      <c r="J400" s="10" t="inlineStr">
        <is>
          <t>PROPOSED</t>
        </is>
      </c>
      <c r="K400" s="10" t="inlineStr">
        <is>
          <t>DERIVED</t>
        </is>
      </c>
      <c r="L400" s="10" t="inlineStr">
        <is>
          <t>baixa</t>
        </is>
      </c>
      <c r="M400" s="10" t="inlineStr">
        <is>
          <t>["D06-DOC-RMI-001.SCHEMA.OBJECT_TYPE"]</t>
        </is>
      </c>
    </row>
    <row r="401">
      <c r="A401" s="10" t="inlineStr">
        <is>
          <t>D06-DOC-RMI-001.SCHEMA.DOMAIN_ID</t>
        </is>
      </c>
      <c r="B401" s="10" t="inlineStr">
        <is>
          <t>D06-DOC-RMI-001</t>
        </is>
      </c>
      <c r="C401" s="10" t="inlineStr">
        <is>
          <t>D06-DOC-RMI-001-T01</t>
        </is>
      </c>
      <c r="D401" s="10" t="inlineStr">
        <is>
          <t>domain_id</t>
        </is>
      </c>
      <c r="E401" s="10" t="inlineStr">
        <is>
          <t>Definir, validar e manter: Domain ID</t>
        </is>
      </c>
      <c r="F401" s="10" t="n"/>
      <c r="G401" s="10" t="b">
        <v>1</v>
      </c>
      <c r="H401" s="10" t="b">
        <v>1</v>
      </c>
      <c r="I401" s="10" t="inlineStr">
        <is>
          <t>DERIVED</t>
        </is>
      </c>
      <c r="J401" s="10" t="inlineStr">
        <is>
          <t>PROPOSED</t>
        </is>
      </c>
      <c r="K401" s="10" t="inlineStr">
        <is>
          <t>DERIVED</t>
        </is>
      </c>
      <c r="L401" s="10" t="inlineStr">
        <is>
          <t>baixa</t>
        </is>
      </c>
      <c r="M401" s="10" t="inlineStr">
        <is>
          <t>["D06-DOC-RMI-001.SCHEMA.DOMAIN_ID"]</t>
        </is>
      </c>
    </row>
    <row r="402">
      <c r="A402" s="10" t="inlineStr">
        <is>
          <t>D06-DOC-RMI-001.SCHEMA.SUBAREA_ID</t>
        </is>
      </c>
      <c r="B402" s="10" t="inlineStr">
        <is>
          <t>D06-DOC-RMI-001</t>
        </is>
      </c>
      <c r="C402" s="10" t="inlineStr">
        <is>
          <t>D06-DOC-RMI-001-T01</t>
        </is>
      </c>
      <c r="D402" s="10" t="inlineStr">
        <is>
          <t>subarea_id</t>
        </is>
      </c>
      <c r="E402" s="10" t="inlineStr">
        <is>
          <t>Definir, validar e manter: Subarea ID</t>
        </is>
      </c>
      <c r="F402" s="10" t="n"/>
      <c r="G402" s="10" t="b">
        <v>1</v>
      </c>
      <c r="H402" s="10" t="b">
        <v>1</v>
      </c>
      <c r="I402" s="10" t="inlineStr">
        <is>
          <t>DERIVED</t>
        </is>
      </c>
      <c r="J402" s="10" t="inlineStr">
        <is>
          <t>PROPOSED</t>
        </is>
      </c>
      <c r="K402" s="10" t="inlineStr">
        <is>
          <t>DERIVED</t>
        </is>
      </c>
      <c r="L402" s="10" t="inlineStr">
        <is>
          <t>baixa</t>
        </is>
      </c>
      <c r="M402" s="10" t="inlineStr">
        <is>
          <t>["D06-DOC-RMI-001.SCHEMA.SUBAREA_ID"]</t>
        </is>
      </c>
    </row>
    <row r="403">
      <c r="A403" s="10" t="inlineStr">
        <is>
          <t>D06-DOC-RMI-001.SCHEMA.PARENT_ID</t>
        </is>
      </c>
      <c r="B403" s="10" t="inlineStr">
        <is>
          <t>D06-DOC-RMI-001</t>
        </is>
      </c>
      <c r="C403" s="10" t="inlineStr">
        <is>
          <t>D06-DOC-RMI-001-T01</t>
        </is>
      </c>
      <c r="D403" s="10" t="inlineStr">
        <is>
          <t>parent_id</t>
        </is>
      </c>
      <c r="E403" s="10" t="inlineStr">
        <is>
          <t>Definir, validar e manter: Parent ID</t>
        </is>
      </c>
      <c r="F403" s="10" t="n"/>
      <c r="G403" s="10" t="b">
        <v>1</v>
      </c>
      <c r="H403" s="10" t="b">
        <v>1</v>
      </c>
      <c r="I403" s="10" t="inlineStr">
        <is>
          <t>DERIVED</t>
        </is>
      </c>
      <c r="J403" s="10" t="inlineStr">
        <is>
          <t>PROPOSED</t>
        </is>
      </c>
      <c r="K403" s="10" t="inlineStr">
        <is>
          <t>DERIVED</t>
        </is>
      </c>
      <c r="L403" s="10" t="inlineStr">
        <is>
          <t>baixa</t>
        </is>
      </c>
      <c r="M403" s="10" t="inlineStr">
        <is>
          <t>["D06-DOC-RMI-001.SCHEMA.PARENT_ID"]</t>
        </is>
      </c>
    </row>
    <row r="404">
      <c r="A404" s="10" t="inlineStr">
        <is>
          <t>D06-DOC-RMI-001.SCHEMA.CANONICAL_NAME</t>
        </is>
      </c>
      <c r="B404" s="10" t="inlineStr">
        <is>
          <t>D06-DOC-RMI-001</t>
        </is>
      </c>
      <c r="C404" s="10" t="inlineStr">
        <is>
          <t>D06-DOC-RMI-001-T01</t>
        </is>
      </c>
      <c r="D404" s="10" t="inlineStr">
        <is>
          <t>canonical_name</t>
        </is>
      </c>
      <c r="E404" s="10" t="inlineStr">
        <is>
          <t>Definir, validar e manter: Canonical Name</t>
        </is>
      </c>
      <c r="F404" s="10" t="n"/>
      <c r="G404" s="10" t="b">
        <v>1</v>
      </c>
      <c r="H404" s="10" t="b">
        <v>1</v>
      </c>
      <c r="I404" s="10" t="inlineStr">
        <is>
          <t>DERIVED</t>
        </is>
      </c>
      <c r="J404" s="10" t="inlineStr">
        <is>
          <t>PROPOSED</t>
        </is>
      </c>
      <c r="K404" s="10" t="inlineStr">
        <is>
          <t>DERIVED</t>
        </is>
      </c>
      <c r="L404" s="10" t="inlineStr">
        <is>
          <t>baixa</t>
        </is>
      </c>
      <c r="M404" s="10" t="inlineStr">
        <is>
          <t>["D06-DOC-RMI-001.SCHEMA.CANONICAL_NAME"]</t>
        </is>
      </c>
    </row>
    <row r="405">
      <c r="A405" s="10" t="inlineStr">
        <is>
          <t>D06-DOC-RMI-001.SCHEMA.ALIASES</t>
        </is>
      </c>
      <c r="B405" s="10" t="inlineStr">
        <is>
          <t>D06-DOC-RMI-001</t>
        </is>
      </c>
      <c r="C405" s="10" t="inlineStr">
        <is>
          <t>D06-DOC-RMI-001-T01</t>
        </is>
      </c>
      <c r="D405" s="10" t="inlineStr">
        <is>
          <t>aliases</t>
        </is>
      </c>
      <c r="E405" s="10" t="inlineStr">
        <is>
          <t>Definir, validar e manter: Aliases</t>
        </is>
      </c>
      <c r="F405" s="10" t="n"/>
      <c r="G405" s="10" t="b">
        <v>1</v>
      </c>
      <c r="H405" s="10" t="b">
        <v>1</v>
      </c>
      <c r="I405" s="10" t="inlineStr">
        <is>
          <t>DERIVED</t>
        </is>
      </c>
      <c r="J405" s="10" t="inlineStr">
        <is>
          <t>PROPOSED</t>
        </is>
      </c>
      <c r="K405" s="10" t="inlineStr">
        <is>
          <t>DERIVED</t>
        </is>
      </c>
      <c r="L405" s="10" t="inlineStr">
        <is>
          <t>baixa</t>
        </is>
      </c>
      <c r="M405" s="10" t="inlineStr">
        <is>
          <t>["D06-DOC-RMI-001.SCHEMA.ALIASES"]</t>
        </is>
      </c>
    </row>
    <row r="406">
      <c r="A406" s="10" t="inlineStr">
        <is>
          <t>D06-DOC-RMI-001.SCHEMA.VERSION</t>
        </is>
      </c>
      <c r="B406" s="10" t="inlineStr">
        <is>
          <t>D06-DOC-RMI-001</t>
        </is>
      </c>
      <c r="C406" s="10" t="inlineStr">
        <is>
          <t>D06-DOC-RMI-001-T01</t>
        </is>
      </c>
      <c r="D406" s="10" t="inlineStr">
        <is>
          <t>version</t>
        </is>
      </c>
      <c r="E406" s="10" t="inlineStr">
        <is>
          <t>Definir, validar e manter: Version</t>
        </is>
      </c>
      <c r="F406" s="10" t="n"/>
      <c r="G406" s="10" t="b">
        <v>1</v>
      </c>
      <c r="H406" s="10" t="b">
        <v>1</v>
      </c>
      <c r="I406" s="10" t="inlineStr">
        <is>
          <t>DERIVED</t>
        </is>
      </c>
      <c r="J406" s="10" t="inlineStr">
        <is>
          <t>PROPOSED</t>
        </is>
      </c>
      <c r="K406" s="10" t="inlineStr">
        <is>
          <t>DERIVED</t>
        </is>
      </c>
      <c r="L406" s="10" t="inlineStr">
        <is>
          <t>baixa</t>
        </is>
      </c>
      <c r="M406" s="10" t="inlineStr">
        <is>
          <t>["D06-DOC-RMI-001.SCHEMA.VERSION"]</t>
        </is>
      </c>
    </row>
    <row r="407">
      <c r="A407" s="10" t="inlineStr">
        <is>
          <t>D06-DOC-RMI-001.SCHEMA.STATUS</t>
        </is>
      </c>
      <c r="B407" s="10" t="inlineStr">
        <is>
          <t>D06-DOC-RMI-001</t>
        </is>
      </c>
      <c r="C407" s="10" t="inlineStr">
        <is>
          <t>D06-DOC-RMI-001-T01</t>
        </is>
      </c>
      <c r="D407" s="10" t="inlineStr">
        <is>
          <t>status</t>
        </is>
      </c>
      <c r="E407" s="10" t="inlineStr">
        <is>
          <t>Definir, validar e manter: Status</t>
        </is>
      </c>
      <c r="F407" s="10" t="n"/>
      <c r="G407" s="10" t="b">
        <v>1</v>
      </c>
      <c r="H407" s="10" t="b">
        <v>1</v>
      </c>
      <c r="I407" s="10" t="inlineStr">
        <is>
          <t>DERIVED</t>
        </is>
      </c>
      <c r="J407" s="10" t="inlineStr">
        <is>
          <t>PROPOSED</t>
        </is>
      </c>
      <c r="K407" s="10" t="inlineStr">
        <is>
          <t>DERIVED</t>
        </is>
      </c>
      <c r="L407" s="10" t="inlineStr">
        <is>
          <t>baixa</t>
        </is>
      </c>
      <c r="M407" s="10" t="inlineStr">
        <is>
          <t>["D06-DOC-RMI-001.SCHEMA.STATUS"]</t>
        </is>
      </c>
    </row>
    <row r="408">
      <c r="A408" s="10" t="inlineStr">
        <is>
          <t>D06-DOC-RMI-001.SCHEMA.OWNER</t>
        </is>
      </c>
      <c r="B408" s="10" t="inlineStr">
        <is>
          <t>D06-DOC-RMI-001</t>
        </is>
      </c>
      <c r="C408" s="10" t="inlineStr">
        <is>
          <t>D06-DOC-RMI-001-T01</t>
        </is>
      </c>
      <c r="D408" s="10" t="inlineStr">
        <is>
          <t>owner</t>
        </is>
      </c>
      <c r="E408" s="10" t="inlineStr">
        <is>
          <t>Definir, validar e manter: Owner</t>
        </is>
      </c>
      <c r="F408" s="10" t="n"/>
      <c r="G408" s="10" t="b">
        <v>1</v>
      </c>
      <c r="H408" s="10" t="b">
        <v>1</v>
      </c>
      <c r="I408" s="10" t="inlineStr">
        <is>
          <t>DERIVED</t>
        </is>
      </c>
      <c r="J408" s="10" t="inlineStr">
        <is>
          <t>PROPOSED</t>
        </is>
      </c>
      <c r="K408" s="10" t="inlineStr">
        <is>
          <t>DERIVED</t>
        </is>
      </c>
      <c r="L408" s="10" t="inlineStr">
        <is>
          <t>baixa</t>
        </is>
      </c>
      <c r="M408" s="10" t="inlineStr">
        <is>
          <t>["D06-DOC-RMI-001.SCHEMA.OWNER"]</t>
        </is>
      </c>
    </row>
    <row r="409">
      <c r="A409" s="10" t="inlineStr">
        <is>
          <t>D06-DOC-RMI-001.SCHEMA.SOURCE</t>
        </is>
      </c>
      <c r="B409" s="10" t="inlineStr">
        <is>
          <t>D06-DOC-RMI-001</t>
        </is>
      </c>
      <c r="C409" s="10" t="inlineStr">
        <is>
          <t>D06-DOC-RMI-001-T01</t>
        </is>
      </c>
      <c r="D409" s="10" t="inlineStr">
        <is>
          <t>source</t>
        </is>
      </c>
      <c r="E409" s="10" t="inlineStr">
        <is>
          <t>Definir, validar e manter: Source</t>
        </is>
      </c>
      <c r="F409" s="10" t="n"/>
      <c r="G409" s="10" t="b">
        <v>1</v>
      </c>
      <c r="H409" s="10" t="b">
        <v>1</v>
      </c>
      <c r="I409" s="10" t="inlineStr">
        <is>
          <t>DERIVED</t>
        </is>
      </c>
      <c r="J409" s="10" t="inlineStr">
        <is>
          <t>PROPOSED</t>
        </is>
      </c>
      <c r="K409" s="10" t="inlineStr">
        <is>
          <t>DERIVED</t>
        </is>
      </c>
      <c r="L409" s="10" t="inlineStr">
        <is>
          <t>baixa</t>
        </is>
      </c>
      <c r="M409" s="10" t="inlineStr">
        <is>
          <t>["D06-DOC-RMI-001.SCHEMA.SOURCE"]</t>
        </is>
      </c>
    </row>
    <row r="410">
      <c r="A410" s="10" t="inlineStr">
        <is>
          <t>D06-DOC-RMI-001.SCHEMA.EVIDENCE</t>
        </is>
      </c>
      <c r="B410" s="10" t="inlineStr">
        <is>
          <t>D06-DOC-RMI-001</t>
        </is>
      </c>
      <c r="C410" s="10" t="inlineStr">
        <is>
          <t>D06-DOC-RMI-001-T01</t>
        </is>
      </c>
      <c r="D410" s="10" t="inlineStr">
        <is>
          <t>evidence</t>
        </is>
      </c>
      <c r="E410" s="10" t="inlineStr">
        <is>
          <t>Definir, validar e manter: Evidence</t>
        </is>
      </c>
      <c r="F410" s="10" t="n"/>
      <c r="G410" s="10" t="b">
        <v>1</v>
      </c>
      <c r="H410" s="10" t="b">
        <v>1</v>
      </c>
      <c r="I410" s="10" t="inlineStr">
        <is>
          <t>DERIVED</t>
        </is>
      </c>
      <c r="J410" s="10" t="inlineStr">
        <is>
          <t>PROPOSED</t>
        </is>
      </c>
      <c r="K410" s="10" t="inlineStr">
        <is>
          <t>DERIVED</t>
        </is>
      </c>
      <c r="L410" s="10" t="inlineStr">
        <is>
          <t>baixa</t>
        </is>
      </c>
      <c r="M410" s="10" t="inlineStr">
        <is>
          <t>["D06-DOC-RMI-001.SCHEMA.EVIDENCE"]</t>
        </is>
      </c>
    </row>
    <row r="411">
      <c r="A411" s="10" t="inlineStr">
        <is>
          <t>D06-DOC-RMI-001.SCHEMA.REPOSITORY</t>
        </is>
      </c>
      <c r="B411" s="10" t="inlineStr">
        <is>
          <t>D06-DOC-RMI-001</t>
        </is>
      </c>
      <c r="C411" s="10" t="inlineStr">
        <is>
          <t>D06-DOC-RMI-001-T01</t>
        </is>
      </c>
      <c r="D411" s="10" t="inlineStr">
        <is>
          <t>repository</t>
        </is>
      </c>
      <c r="E411" s="10" t="inlineStr">
        <is>
          <t>Definir, validar e manter: Repository</t>
        </is>
      </c>
      <c r="F411" s="10" t="n"/>
      <c r="G411" s="10" t="b">
        <v>1</v>
      </c>
      <c r="H411" s="10" t="b">
        <v>1</v>
      </c>
      <c r="I411" s="10" t="inlineStr">
        <is>
          <t>DERIVED</t>
        </is>
      </c>
      <c r="J411" s="10" t="inlineStr">
        <is>
          <t>PROPOSED</t>
        </is>
      </c>
      <c r="K411" s="10" t="inlineStr">
        <is>
          <t>DERIVED</t>
        </is>
      </c>
      <c r="L411" s="10" t="inlineStr">
        <is>
          <t>baixa</t>
        </is>
      </c>
      <c r="M411" s="10" t="inlineStr">
        <is>
          <t>["D06-DOC-RMI-001.SCHEMA.REPOSITORY"]</t>
        </is>
      </c>
    </row>
    <row r="412">
      <c r="A412" s="10" t="inlineStr">
        <is>
          <t>D06-DOC-RMI-001.SCHEMA.LOCATION</t>
        </is>
      </c>
      <c r="B412" s="10" t="inlineStr">
        <is>
          <t>D06-DOC-RMI-001</t>
        </is>
      </c>
      <c r="C412" s="10" t="inlineStr">
        <is>
          <t>D06-DOC-RMI-001-T01</t>
        </is>
      </c>
      <c r="D412" s="10" t="inlineStr">
        <is>
          <t>location</t>
        </is>
      </c>
      <c r="E412" s="10" t="inlineStr">
        <is>
          <t>Definir, validar e manter: Location</t>
        </is>
      </c>
      <c r="F412" s="10" t="n"/>
      <c r="G412" s="10" t="b">
        <v>1</v>
      </c>
      <c r="H412" s="10" t="b">
        <v>1</v>
      </c>
      <c r="I412" s="10" t="inlineStr">
        <is>
          <t>DERIVED</t>
        </is>
      </c>
      <c r="J412" s="10" t="inlineStr">
        <is>
          <t>PROPOSED</t>
        </is>
      </c>
      <c r="K412" s="10" t="inlineStr">
        <is>
          <t>DERIVED</t>
        </is>
      </c>
      <c r="L412" s="10" t="inlineStr">
        <is>
          <t>baixa</t>
        </is>
      </c>
      <c r="M412" s="10" t="inlineStr">
        <is>
          <t>["D06-DOC-RMI-001.SCHEMA.LOCATION"]</t>
        </is>
      </c>
    </row>
    <row r="413">
      <c r="A413" s="10" t="inlineStr">
        <is>
          <t>D06-DOC-RMI-001.SCHEMA.DEPENDS_ON</t>
        </is>
      </c>
      <c r="B413" s="10" t="inlineStr">
        <is>
          <t>D06-DOC-RMI-001</t>
        </is>
      </c>
      <c r="C413" s="10" t="inlineStr">
        <is>
          <t>D06-DOC-RMI-001-T01</t>
        </is>
      </c>
      <c r="D413" s="10" t="inlineStr">
        <is>
          <t>depends_on</t>
        </is>
      </c>
      <c r="E413" s="10" t="inlineStr">
        <is>
          <t>Definir, validar e manter: Depends On</t>
        </is>
      </c>
      <c r="F413" s="10" t="n"/>
      <c r="G413" s="10" t="b">
        <v>1</v>
      </c>
      <c r="H413" s="10" t="b">
        <v>1</v>
      </c>
      <c r="I413" s="10" t="inlineStr">
        <is>
          <t>DERIVED</t>
        </is>
      </c>
      <c r="J413" s="10" t="inlineStr">
        <is>
          <t>PROPOSED</t>
        </is>
      </c>
      <c r="K413" s="10" t="inlineStr">
        <is>
          <t>DERIVED</t>
        </is>
      </c>
      <c r="L413" s="10" t="inlineStr">
        <is>
          <t>baixa</t>
        </is>
      </c>
      <c r="M413" s="10" t="inlineStr">
        <is>
          <t>["D06-DOC-RMI-001.SCHEMA.DEPENDS_ON"]</t>
        </is>
      </c>
    </row>
    <row r="414">
      <c r="A414" s="10" t="inlineStr">
        <is>
          <t>D06-DOC-RMI-001.SCHEMA.BLOCKS</t>
        </is>
      </c>
      <c r="B414" s="10" t="inlineStr">
        <is>
          <t>D06-DOC-RMI-001</t>
        </is>
      </c>
      <c r="C414" s="10" t="inlineStr">
        <is>
          <t>D06-DOC-RMI-001-T01</t>
        </is>
      </c>
      <c r="D414" s="10" t="inlineStr">
        <is>
          <t>blocks</t>
        </is>
      </c>
      <c r="E414" s="10" t="inlineStr">
        <is>
          <t>Definir, validar e manter: Blocks</t>
        </is>
      </c>
      <c r="F414" s="10" t="n"/>
      <c r="G414" s="10" t="b">
        <v>1</v>
      </c>
      <c r="H414" s="10" t="b">
        <v>1</v>
      </c>
      <c r="I414" s="10" t="inlineStr">
        <is>
          <t>DERIVED</t>
        </is>
      </c>
      <c r="J414" s="10" t="inlineStr">
        <is>
          <t>PROPOSED</t>
        </is>
      </c>
      <c r="K414" s="10" t="inlineStr">
        <is>
          <t>DERIVED</t>
        </is>
      </c>
      <c r="L414" s="10" t="inlineStr">
        <is>
          <t>baixa</t>
        </is>
      </c>
      <c r="M414" s="10" t="inlineStr">
        <is>
          <t>["D06-DOC-RMI-001.SCHEMA.BLOCKS"]</t>
        </is>
      </c>
    </row>
    <row r="415">
      <c r="A415" s="10" t="inlineStr">
        <is>
          <t>D06-DOC-RMI-001.SCHEMA.SUPERSEDES</t>
        </is>
      </c>
      <c r="B415" s="10" t="inlineStr">
        <is>
          <t>D06-DOC-RMI-001</t>
        </is>
      </c>
      <c r="C415" s="10" t="inlineStr">
        <is>
          <t>D06-DOC-RMI-001-T01</t>
        </is>
      </c>
      <c r="D415" s="10" t="inlineStr">
        <is>
          <t>supersedes</t>
        </is>
      </c>
      <c r="E415" s="10" t="inlineStr">
        <is>
          <t>Definir, validar e manter: Supersedes</t>
        </is>
      </c>
      <c r="F415" s="10" t="n"/>
      <c r="G415" s="10" t="b">
        <v>1</v>
      </c>
      <c r="H415" s="10" t="b">
        <v>1</v>
      </c>
      <c r="I415" s="10" t="inlineStr">
        <is>
          <t>DERIVED</t>
        </is>
      </c>
      <c r="J415" s="10" t="inlineStr">
        <is>
          <t>PROPOSED</t>
        </is>
      </c>
      <c r="K415" s="10" t="inlineStr">
        <is>
          <t>DERIVED</t>
        </is>
      </c>
      <c r="L415" s="10" t="inlineStr">
        <is>
          <t>baixa</t>
        </is>
      </c>
      <c r="M415" s="10" t="inlineStr">
        <is>
          <t>["D06-DOC-RMI-001.SCHEMA.SUPERSEDES"]</t>
        </is>
      </c>
    </row>
    <row r="416">
      <c r="A416" s="10" t="inlineStr">
        <is>
          <t>D06-DOC-RMI-001.SCHEMA.CREATED_AT</t>
        </is>
      </c>
      <c r="B416" s="10" t="inlineStr">
        <is>
          <t>D06-DOC-RMI-001</t>
        </is>
      </c>
      <c r="C416" s="10" t="inlineStr">
        <is>
          <t>D06-DOC-RMI-001-T01</t>
        </is>
      </c>
      <c r="D416" s="10" t="inlineStr">
        <is>
          <t>created_at</t>
        </is>
      </c>
      <c r="E416" s="10" t="inlineStr">
        <is>
          <t>Definir, validar e manter: Created At</t>
        </is>
      </c>
      <c r="F416" s="10" t="n"/>
      <c r="G416" s="10" t="b">
        <v>1</v>
      </c>
      <c r="H416" s="10" t="b">
        <v>1</v>
      </c>
      <c r="I416" s="10" t="inlineStr">
        <is>
          <t>DERIVED</t>
        </is>
      </c>
      <c r="J416" s="10" t="inlineStr">
        <is>
          <t>PROPOSED</t>
        </is>
      </c>
      <c r="K416" s="10" t="inlineStr">
        <is>
          <t>DERIVED</t>
        </is>
      </c>
      <c r="L416" s="10" t="inlineStr">
        <is>
          <t>baixa</t>
        </is>
      </c>
      <c r="M416" s="10" t="inlineStr">
        <is>
          <t>["D06-DOC-RMI-001.SCHEMA.CREATED_AT"]</t>
        </is>
      </c>
    </row>
    <row r="417">
      <c r="A417" s="10" t="inlineStr">
        <is>
          <t>D06-DOC-RMI-001.SCHEMA.UPDATED_AT</t>
        </is>
      </c>
      <c r="B417" s="10" t="inlineStr">
        <is>
          <t>D06-DOC-RMI-001</t>
        </is>
      </c>
      <c r="C417" s="10" t="inlineStr">
        <is>
          <t>D06-DOC-RMI-001-T01</t>
        </is>
      </c>
      <c r="D417" s="10" t="inlineStr">
        <is>
          <t>updated_at</t>
        </is>
      </c>
      <c r="E417" s="10" t="inlineStr">
        <is>
          <t>Definir, validar e manter: Updated At</t>
        </is>
      </c>
      <c r="F417" s="10" t="n"/>
      <c r="G417" s="10" t="b">
        <v>1</v>
      </c>
      <c r="H417" s="10" t="b">
        <v>1</v>
      </c>
      <c r="I417" s="10" t="inlineStr">
        <is>
          <t>DERIVED</t>
        </is>
      </c>
      <c r="J417" s="10" t="inlineStr">
        <is>
          <t>PROPOSED</t>
        </is>
      </c>
      <c r="K417" s="10" t="inlineStr">
        <is>
          <t>DERIVED</t>
        </is>
      </c>
      <c r="L417" s="10" t="inlineStr">
        <is>
          <t>baixa</t>
        </is>
      </c>
      <c r="M417" s="10" t="inlineStr">
        <is>
          <t>["D06-DOC-RMI-001.SCHEMA.UPDATED_AT"]</t>
        </is>
      </c>
    </row>
    <row r="418">
      <c r="A418" s="10" t="inlineStr">
        <is>
          <t>D07-DOC-PEX-001.OBJECTIVES.OBJETIVO</t>
        </is>
      </c>
      <c r="B418" s="10" t="inlineStr">
        <is>
          <t>D07-DOC-PEX-001</t>
        </is>
      </c>
      <c r="C418" s="10" t="inlineStr">
        <is>
          <t>D07-DOC-PEX-001-T01</t>
        </is>
      </c>
      <c r="D418" s="10" t="inlineStr">
        <is>
          <t>objetivo</t>
        </is>
      </c>
      <c r="E418" s="10" t="inlineStr">
        <is>
          <t>Definir, validar e manter: Objetivo</t>
        </is>
      </c>
      <c r="F418" s="10" t="n"/>
      <c r="G418" s="10" t="b">
        <v>1</v>
      </c>
      <c r="H418" s="10" t="b">
        <v>1</v>
      </c>
      <c r="I418" s="10" t="inlineStr">
        <is>
          <t>DERIVED</t>
        </is>
      </c>
      <c r="J418" s="10" t="inlineStr">
        <is>
          <t>PROPOSED</t>
        </is>
      </c>
      <c r="K418" s="10" t="inlineStr">
        <is>
          <t>DERIVED</t>
        </is>
      </c>
      <c r="L418" s="10" t="inlineStr">
        <is>
          <t>baixa</t>
        </is>
      </c>
      <c r="M418" s="10" t="inlineStr">
        <is>
          <t>["D07-DOC-PEX-001.OBJECTIVES.OBJETIVO"]</t>
        </is>
      </c>
    </row>
    <row r="419">
      <c r="A419" s="10" t="inlineStr">
        <is>
          <t>D07-DOC-PEX-001.OBJECTIVES.RESULTADO</t>
        </is>
      </c>
      <c r="B419" s="10" t="inlineStr">
        <is>
          <t>D07-DOC-PEX-001</t>
        </is>
      </c>
      <c r="C419" s="10" t="inlineStr">
        <is>
          <t>D07-DOC-PEX-001-T01</t>
        </is>
      </c>
      <c r="D419" s="10" t="inlineStr">
        <is>
          <t>resultado</t>
        </is>
      </c>
      <c r="E419" s="10" t="inlineStr">
        <is>
          <t>Definir, validar e manter: Resultado</t>
        </is>
      </c>
      <c r="F419" s="10" t="n"/>
      <c r="G419" s="10" t="b">
        <v>1</v>
      </c>
      <c r="H419" s="10" t="b">
        <v>1</v>
      </c>
      <c r="I419" s="10" t="inlineStr">
        <is>
          <t>DERIVED</t>
        </is>
      </c>
      <c r="J419" s="10" t="inlineStr">
        <is>
          <t>PROPOSED</t>
        </is>
      </c>
      <c r="K419" s="10" t="inlineStr">
        <is>
          <t>DERIVED</t>
        </is>
      </c>
      <c r="L419" s="10" t="inlineStr">
        <is>
          <t>baixa</t>
        </is>
      </c>
      <c r="M419" s="10" t="inlineStr">
        <is>
          <t>["D07-DOC-PEX-001.OBJECTIVES.RESULTADO"]</t>
        </is>
      </c>
    </row>
    <row r="420">
      <c r="A420" s="10" t="inlineStr">
        <is>
          <t>D07-DOC-PEX-001.DELIVERABLES.ENTREGAVEL</t>
        </is>
      </c>
      <c r="B420" s="10" t="inlineStr">
        <is>
          <t>D07-DOC-PEX-001</t>
        </is>
      </c>
      <c r="C420" s="10" t="inlineStr">
        <is>
          <t>D07-DOC-PEX-001-T02</t>
        </is>
      </c>
      <c r="D420" s="10" t="inlineStr">
        <is>
          <t>entregavel</t>
        </is>
      </c>
      <c r="E420" s="10" t="inlineStr">
        <is>
          <t>Definir, validar e manter: Entregavel</t>
        </is>
      </c>
      <c r="F420" s="10" t="n"/>
      <c r="G420" s="10" t="b">
        <v>1</v>
      </c>
      <c r="H420" s="10" t="b">
        <v>1</v>
      </c>
      <c r="I420" s="10" t="inlineStr">
        <is>
          <t>DERIVED</t>
        </is>
      </c>
      <c r="J420" s="10" t="inlineStr">
        <is>
          <t>PROPOSED</t>
        </is>
      </c>
      <c r="K420" s="10" t="inlineStr">
        <is>
          <t>DERIVED</t>
        </is>
      </c>
      <c r="L420" s="10" t="inlineStr">
        <is>
          <t>baixa</t>
        </is>
      </c>
      <c r="M420" s="10" t="inlineStr">
        <is>
          <t>["D07-DOC-PEX-001.DELIVERABLES.ENTREGAVEL"]</t>
        </is>
      </c>
    </row>
    <row r="421">
      <c r="A421" s="10" t="inlineStr">
        <is>
          <t>D07-DOC-PEX-001.DELIVERABLES.DOD</t>
        </is>
      </c>
      <c r="B421" s="10" t="inlineStr">
        <is>
          <t>D07-DOC-PEX-001</t>
        </is>
      </c>
      <c r="C421" s="10" t="inlineStr">
        <is>
          <t>D07-DOC-PEX-001-T02</t>
        </is>
      </c>
      <c r="D421" s="10" t="inlineStr">
        <is>
          <t>dod</t>
        </is>
      </c>
      <c r="E421" s="10" t="inlineStr">
        <is>
          <t>Definir, validar e manter: Dod</t>
        </is>
      </c>
      <c r="F421" s="10" t="n"/>
      <c r="G421" s="10" t="b">
        <v>1</v>
      </c>
      <c r="H421" s="10" t="b">
        <v>1</v>
      </c>
      <c r="I421" s="10" t="inlineStr">
        <is>
          <t>DERIVED</t>
        </is>
      </c>
      <c r="J421" s="10" t="inlineStr">
        <is>
          <t>PROPOSED</t>
        </is>
      </c>
      <c r="K421" s="10" t="inlineStr">
        <is>
          <t>DERIVED</t>
        </is>
      </c>
      <c r="L421" s="10" t="inlineStr">
        <is>
          <t>baixa</t>
        </is>
      </c>
      <c r="M421" s="10" t="inlineStr">
        <is>
          <t>["D07-DOC-PEX-001.DELIVERABLES.DOD"]</t>
        </is>
      </c>
    </row>
    <row r="422">
      <c r="A422" s="10" t="inlineStr">
        <is>
          <t>D07-DOC-PEX-001.DELIVERABLES.EVIDENCIA</t>
        </is>
      </c>
      <c r="B422" s="10" t="inlineStr">
        <is>
          <t>D07-DOC-PEX-001</t>
        </is>
      </c>
      <c r="C422" s="10" t="inlineStr">
        <is>
          <t>D07-DOC-PEX-001-T02</t>
        </is>
      </c>
      <c r="D422" s="10" t="inlineStr">
        <is>
          <t>evidencia</t>
        </is>
      </c>
      <c r="E422" s="10" t="inlineStr">
        <is>
          <t>Definir, validar e manter: Evidencia</t>
        </is>
      </c>
      <c r="F422" s="10" t="n"/>
      <c r="G422" s="10" t="b">
        <v>1</v>
      </c>
      <c r="H422" s="10" t="b">
        <v>1</v>
      </c>
      <c r="I422" s="10" t="inlineStr">
        <is>
          <t>DERIVED</t>
        </is>
      </c>
      <c r="J422" s="10" t="inlineStr">
        <is>
          <t>PROPOSED</t>
        </is>
      </c>
      <c r="K422" s="10" t="inlineStr">
        <is>
          <t>DERIVED</t>
        </is>
      </c>
      <c r="L422" s="10" t="inlineStr">
        <is>
          <t>baixa</t>
        </is>
      </c>
      <c r="M422" s="10" t="inlineStr">
        <is>
          <t>["D07-DOC-PEX-001.DELIVERABLES.EVIDENCIA"]</t>
        </is>
      </c>
    </row>
    <row r="423">
      <c r="A423" s="10" t="inlineStr">
        <is>
          <t>D07-DOC-PEX-001.PORTFOLIO.PROJETO</t>
        </is>
      </c>
      <c r="B423" s="10" t="inlineStr">
        <is>
          <t>D07-DOC-PEX-001</t>
        </is>
      </c>
      <c r="C423" s="10" t="inlineStr">
        <is>
          <t>D07-DOC-PEX-001-T03</t>
        </is>
      </c>
      <c r="D423" s="10" t="inlineStr">
        <is>
          <t>projeto</t>
        </is>
      </c>
      <c r="E423" s="10" t="inlineStr">
        <is>
          <t>Definir, validar e manter: Projeto</t>
        </is>
      </c>
      <c r="F423" s="10" t="n"/>
      <c r="G423" s="10" t="b">
        <v>1</v>
      </c>
      <c r="H423" s="10" t="b">
        <v>1</v>
      </c>
      <c r="I423" s="10" t="inlineStr">
        <is>
          <t>DERIVED</t>
        </is>
      </c>
      <c r="J423" s="10" t="inlineStr">
        <is>
          <t>PROPOSED</t>
        </is>
      </c>
      <c r="K423" s="10" t="inlineStr">
        <is>
          <t>DERIVED</t>
        </is>
      </c>
      <c r="L423" s="10" t="inlineStr">
        <is>
          <t>baixa</t>
        </is>
      </c>
      <c r="M423" s="10" t="inlineStr">
        <is>
          <t>["D07-DOC-PEX-001.PORTFOLIO.PROJETO"]</t>
        </is>
      </c>
    </row>
    <row r="424">
      <c r="A424" s="10" t="inlineStr">
        <is>
          <t>D07-DOC-PEX-001.PORTFOLIO.PRIORIDADE</t>
        </is>
      </c>
      <c r="B424" s="10" t="inlineStr">
        <is>
          <t>D07-DOC-PEX-001</t>
        </is>
      </c>
      <c r="C424" s="10" t="inlineStr">
        <is>
          <t>D07-DOC-PEX-001-T03</t>
        </is>
      </c>
      <c r="D424" s="10" t="inlineStr">
        <is>
          <t>prioridade</t>
        </is>
      </c>
      <c r="E424" s="10" t="inlineStr">
        <is>
          <t>Definir, validar e manter: Prioridade</t>
        </is>
      </c>
      <c r="F424" s="10" t="n"/>
      <c r="G424" s="10" t="b">
        <v>1</v>
      </c>
      <c r="H424" s="10" t="b">
        <v>1</v>
      </c>
      <c r="I424" s="10" t="inlineStr">
        <is>
          <t>EXTERNAL</t>
        </is>
      </c>
      <c r="J424" s="10" t="inlineStr">
        <is>
          <t>EXTERNAL_EVIDENCE</t>
        </is>
      </c>
      <c r="K424" s="10" t="inlineStr">
        <is>
          <t>EXTERNAL</t>
        </is>
      </c>
      <c r="L424" s="10" t="inlineStr">
        <is>
          <t>media</t>
        </is>
      </c>
      <c r="M424" s="10" t="inlineStr">
        <is>
          <t>["D07-DOC-PEX-001.PORTFOLIO.PRIORIDADE"]</t>
        </is>
      </c>
    </row>
    <row r="425">
      <c r="A425" s="10" t="inlineStr">
        <is>
          <t>D07-DOC-PEX-001.PORTFOLIO.ESTADO</t>
        </is>
      </c>
      <c r="B425" s="10" t="inlineStr">
        <is>
          <t>D07-DOC-PEX-001</t>
        </is>
      </c>
      <c r="C425" s="10" t="inlineStr">
        <is>
          <t>D07-DOC-PEX-001-T03</t>
        </is>
      </c>
      <c r="D425" s="10" t="inlineStr">
        <is>
          <t>estado</t>
        </is>
      </c>
      <c r="E425" s="10" t="inlineStr">
        <is>
          <t>Definir, validar e manter: Estado</t>
        </is>
      </c>
      <c r="F425" s="10" t="n"/>
      <c r="G425" s="10" t="b">
        <v>1</v>
      </c>
      <c r="H425" s="10" t="b">
        <v>1</v>
      </c>
      <c r="I425" s="10" t="inlineStr">
        <is>
          <t>DERIVED</t>
        </is>
      </c>
      <c r="J425" s="10" t="inlineStr">
        <is>
          <t>PROPOSED</t>
        </is>
      </c>
      <c r="K425" s="10" t="inlineStr">
        <is>
          <t>DERIVED</t>
        </is>
      </c>
      <c r="L425" s="10" t="inlineStr">
        <is>
          <t>baixa</t>
        </is>
      </c>
      <c r="M425" s="10" t="inlineStr">
        <is>
          <t>["D07-DOC-PEX-001.PORTFOLIO.ESTADO"]</t>
        </is>
      </c>
    </row>
    <row r="426">
      <c r="A426" s="10" t="inlineStr">
        <is>
          <t>D07-DOC-PEX-001.DEPENDENCIES.UPSTREAM</t>
        </is>
      </c>
      <c r="B426" s="10" t="inlineStr">
        <is>
          <t>D07-DOC-PEX-001</t>
        </is>
      </c>
      <c r="C426" s="10" t="inlineStr">
        <is>
          <t>D07-DOC-PEX-001-T04</t>
        </is>
      </c>
      <c r="D426" s="10" t="inlineStr">
        <is>
          <t>upstream</t>
        </is>
      </c>
      <c r="E426" s="10" t="inlineStr">
        <is>
          <t>Definir, validar e manter: Upstream</t>
        </is>
      </c>
      <c r="F426" s="10" t="n"/>
      <c r="G426" s="10" t="b">
        <v>1</v>
      </c>
      <c r="H426" s="10" t="b">
        <v>1</v>
      </c>
      <c r="I426" s="10" t="inlineStr">
        <is>
          <t>DERIVED</t>
        </is>
      </c>
      <c r="J426" s="10" t="inlineStr">
        <is>
          <t>PROPOSED</t>
        </is>
      </c>
      <c r="K426" s="10" t="inlineStr">
        <is>
          <t>DERIVED</t>
        </is>
      </c>
      <c r="L426" s="10" t="inlineStr">
        <is>
          <t>baixa</t>
        </is>
      </c>
      <c r="M426" s="10" t="inlineStr">
        <is>
          <t>["D07-DOC-PEX-001.DEPENDENCIES.UPSTREAM"]</t>
        </is>
      </c>
    </row>
    <row r="427">
      <c r="A427" s="10" t="inlineStr">
        <is>
          <t>D07-DOC-PEX-001.DEPENDENCIES.DOWNSTREAM</t>
        </is>
      </c>
      <c r="B427" s="10" t="inlineStr">
        <is>
          <t>D07-DOC-PEX-001</t>
        </is>
      </c>
      <c r="C427" s="10" t="inlineStr">
        <is>
          <t>D07-DOC-PEX-001-T04</t>
        </is>
      </c>
      <c r="D427" s="10" t="inlineStr">
        <is>
          <t>downstream</t>
        </is>
      </c>
      <c r="E427" s="10" t="inlineStr">
        <is>
          <t>Definir, validar e manter: Downstream</t>
        </is>
      </c>
      <c r="F427" s="10" t="n"/>
      <c r="G427" s="10" t="b">
        <v>1</v>
      </c>
      <c r="H427" s="10" t="b">
        <v>1</v>
      </c>
      <c r="I427" s="10" t="inlineStr">
        <is>
          <t>DERIVED</t>
        </is>
      </c>
      <c r="J427" s="10" t="inlineStr">
        <is>
          <t>PROPOSED</t>
        </is>
      </c>
      <c r="K427" s="10" t="inlineStr">
        <is>
          <t>DERIVED</t>
        </is>
      </c>
      <c r="L427" s="10" t="inlineStr">
        <is>
          <t>baixa</t>
        </is>
      </c>
      <c r="M427" s="10" t="inlineStr">
        <is>
          <t>["D07-DOC-PEX-001.DEPENDENCIES.DOWNSTREAM"]</t>
        </is>
      </c>
    </row>
    <row r="428">
      <c r="A428" s="10" t="inlineStr">
        <is>
          <t>D07-DOC-PEX-001.CAPACITY.CAPACIDADE_BRUTA</t>
        </is>
      </c>
      <c r="B428" s="10" t="inlineStr">
        <is>
          <t>D07-DOC-PEX-001</t>
        </is>
      </c>
      <c r="C428" s="10" t="inlineStr">
        <is>
          <t>D07-DOC-PEX-001-T05</t>
        </is>
      </c>
      <c r="D428" s="10" t="inlineStr">
        <is>
          <t>capacidade_bruta</t>
        </is>
      </c>
      <c r="E428" s="10" t="inlineStr">
        <is>
          <t>Definir, validar e manter: Capacidade Bruta</t>
        </is>
      </c>
      <c r="F428" s="10" t="n"/>
      <c r="G428" s="10" t="b">
        <v>1</v>
      </c>
      <c r="H428" s="10" t="b">
        <v>1</v>
      </c>
      <c r="I428" s="10" t="inlineStr">
        <is>
          <t>FOUND</t>
        </is>
      </c>
      <c r="J428" s="10" t="inlineStr">
        <is>
          <t>DIRECT</t>
        </is>
      </c>
      <c r="K428" s="10" t="inlineStr">
        <is>
          <t>FOUND</t>
        </is>
      </c>
      <c r="L428" s="10" t="inlineStr">
        <is>
          <t>alta</t>
        </is>
      </c>
      <c r="M428" s="10" t="inlineStr">
        <is>
          <t>["D07-DOC-PEX-001.CAPACITY.CAPACIDADE_BRUTA"]</t>
        </is>
      </c>
    </row>
    <row r="429">
      <c r="A429" s="10" t="inlineStr">
        <is>
          <t>D07-DOC-PEX-001.CAPACITY.FIXA</t>
        </is>
      </c>
      <c r="B429" s="10" t="inlineStr">
        <is>
          <t>D07-DOC-PEX-001</t>
        </is>
      </c>
      <c r="C429" s="10" t="inlineStr">
        <is>
          <t>D07-DOC-PEX-001-T05</t>
        </is>
      </c>
      <c r="D429" s="10" t="inlineStr">
        <is>
          <t>fixa</t>
        </is>
      </c>
      <c r="E429" s="10" t="inlineStr">
        <is>
          <t>Definir, validar e manter: Fixa</t>
        </is>
      </c>
      <c r="F429" s="10" t="n"/>
      <c r="G429" s="10" t="b">
        <v>1</v>
      </c>
      <c r="H429" s="10" t="b">
        <v>1</v>
      </c>
      <c r="I429" s="10" t="inlineStr">
        <is>
          <t>DERIVED</t>
        </is>
      </c>
      <c r="J429" s="10" t="inlineStr">
        <is>
          <t>PROPOSED</t>
        </is>
      </c>
      <c r="K429" s="10" t="inlineStr">
        <is>
          <t>DERIVED</t>
        </is>
      </c>
      <c r="L429" s="10" t="inlineStr">
        <is>
          <t>baixa</t>
        </is>
      </c>
      <c r="M429" s="10" t="inlineStr">
        <is>
          <t>["D07-DOC-PEX-001.CAPACITY.FIXA"]</t>
        </is>
      </c>
    </row>
    <row r="430">
      <c r="A430" s="10" t="inlineStr">
        <is>
          <t>D07-DOC-PEX-001.CAPACITY.LIQUIDA</t>
        </is>
      </c>
      <c r="B430" s="10" t="inlineStr">
        <is>
          <t>D07-DOC-PEX-001</t>
        </is>
      </c>
      <c r="C430" s="10" t="inlineStr">
        <is>
          <t>D07-DOC-PEX-001-T05</t>
        </is>
      </c>
      <c r="D430" s="10" t="inlineStr">
        <is>
          <t>liquida</t>
        </is>
      </c>
      <c r="E430" s="10" t="inlineStr">
        <is>
          <t>Definir, validar e manter: Liquida</t>
        </is>
      </c>
      <c r="F430" s="10" t="n"/>
      <c r="G430" s="10" t="b">
        <v>1</v>
      </c>
      <c r="H430" s="10" t="b">
        <v>1</v>
      </c>
      <c r="I430" s="10" t="inlineStr">
        <is>
          <t>DERIVED</t>
        </is>
      </c>
      <c r="J430" s="10" t="inlineStr">
        <is>
          <t>PROPOSED</t>
        </is>
      </c>
      <c r="K430" s="10" t="inlineStr">
        <is>
          <t>DERIVED</t>
        </is>
      </c>
      <c r="L430" s="10" t="inlineStr">
        <is>
          <t>baixa</t>
        </is>
      </c>
      <c r="M430" s="10" t="inlineStr">
        <is>
          <t>["D07-DOC-PEX-001.CAPACITY.LIQUIDA"]</t>
        </is>
      </c>
    </row>
    <row r="431">
      <c r="A431" s="10" t="inlineStr">
        <is>
          <t>D07-DOC-PEX-001.WIP.LIMITE</t>
        </is>
      </c>
      <c r="B431" s="10" t="inlineStr">
        <is>
          <t>D07-DOC-PEX-001</t>
        </is>
      </c>
      <c r="C431" s="10" t="inlineStr">
        <is>
          <t>D07-DOC-PEX-001-T06</t>
        </is>
      </c>
      <c r="D431" s="10" t="inlineStr">
        <is>
          <t>limite</t>
        </is>
      </c>
      <c r="E431" s="10" t="inlineStr">
        <is>
          <t>Definir, validar e manter: Limite</t>
        </is>
      </c>
      <c r="F431" s="10" t="n"/>
      <c r="G431" s="10" t="b">
        <v>1</v>
      </c>
      <c r="H431" s="10" t="b">
        <v>1</v>
      </c>
      <c r="I431" s="10" t="inlineStr">
        <is>
          <t>DERIVED</t>
        </is>
      </c>
      <c r="J431" s="10" t="inlineStr">
        <is>
          <t>PROPOSED</t>
        </is>
      </c>
      <c r="K431" s="10" t="inlineStr">
        <is>
          <t>DERIVED</t>
        </is>
      </c>
      <c r="L431" s="10" t="inlineStr">
        <is>
          <t>baixa</t>
        </is>
      </c>
      <c r="M431" s="10" t="inlineStr">
        <is>
          <t>["D07-DOC-PEX-001.WIP.LIMITE"]</t>
        </is>
      </c>
    </row>
    <row r="432">
      <c r="A432" s="10" t="inlineStr">
        <is>
          <t>D07-DOC-PEX-001.WIP.TRABALHO_ATIVO</t>
        </is>
      </c>
      <c r="B432" s="10" t="inlineStr">
        <is>
          <t>D07-DOC-PEX-001</t>
        </is>
      </c>
      <c r="C432" s="10" t="inlineStr">
        <is>
          <t>D07-DOC-PEX-001-T06</t>
        </is>
      </c>
      <c r="D432" s="10" t="inlineStr">
        <is>
          <t>trabalho_ativo</t>
        </is>
      </c>
      <c r="E432" s="10" t="inlineStr">
        <is>
          <t>Definir, validar e manter: Trabalho Ativo</t>
        </is>
      </c>
      <c r="F432" s="10" t="n"/>
      <c r="G432" s="10" t="b">
        <v>1</v>
      </c>
      <c r="H432" s="10" t="b">
        <v>1</v>
      </c>
      <c r="I432" s="10" t="inlineStr">
        <is>
          <t>DERIVED</t>
        </is>
      </c>
      <c r="J432" s="10" t="inlineStr">
        <is>
          <t>PROPOSED</t>
        </is>
      </c>
      <c r="K432" s="10" t="inlineStr">
        <is>
          <t>DERIVED</t>
        </is>
      </c>
      <c r="L432" s="10" t="inlineStr">
        <is>
          <t>baixa</t>
        </is>
      </c>
      <c r="M432" s="10" t="inlineStr">
        <is>
          <t>["D07-DOC-PEX-001.WIP.TRABALHO_ATIVO"]</t>
        </is>
      </c>
    </row>
    <row r="433">
      <c r="A433" s="10" t="inlineStr">
        <is>
          <t>D07-DOC-PEX-001.BACKLOG.ITEM</t>
        </is>
      </c>
      <c r="B433" s="10" t="inlineStr">
        <is>
          <t>D07-DOC-PEX-001</t>
        </is>
      </c>
      <c r="C433" s="10" t="inlineStr">
        <is>
          <t>D07-DOC-PEX-001-T07</t>
        </is>
      </c>
      <c r="D433" s="10" t="inlineStr">
        <is>
          <t>item</t>
        </is>
      </c>
      <c r="E433" s="10" t="inlineStr">
        <is>
          <t>Definir, validar e manter: Item</t>
        </is>
      </c>
      <c r="F433" s="10" t="n"/>
      <c r="G433" s="10" t="b">
        <v>1</v>
      </c>
      <c r="H433" s="10" t="b">
        <v>1</v>
      </c>
      <c r="I433" s="10" t="inlineStr">
        <is>
          <t>FOUND</t>
        </is>
      </c>
      <c r="J433" s="10" t="inlineStr">
        <is>
          <t>DIRECT</t>
        </is>
      </c>
      <c r="K433" s="10" t="inlineStr">
        <is>
          <t>FOUND</t>
        </is>
      </c>
      <c r="L433" s="10" t="inlineStr">
        <is>
          <t>alta</t>
        </is>
      </c>
      <c r="M433" s="10" t="inlineStr">
        <is>
          <t>["D07-DOC-PEX-001.BACKLOG.ITEM"]</t>
        </is>
      </c>
    </row>
    <row r="434">
      <c r="A434" s="10" t="inlineStr">
        <is>
          <t>D07-DOC-PEX-001.BACKLOG.PRIORIDADE</t>
        </is>
      </c>
      <c r="B434" s="10" t="inlineStr">
        <is>
          <t>D07-DOC-PEX-001</t>
        </is>
      </c>
      <c r="C434" s="10" t="inlineStr">
        <is>
          <t>D07-DOC-PEX-001-T07</t>
        </is>
      </c>
      <c r="D434" s="10" t="inlineStr">
        <is>
          <t>prioridade</t>
        </is>
      </c>
      <c r="E434" s="10" t="inlineStr">
        <is>
          <t>Definir, validar e manter: Prioridade</t>
        </is>
      </c>
      <c r="F434" s="10" t="n"/>
      <c r="G434" s="10" t="b">
        <v>1</v>
      </c>
      <c r="H434" s="10" t="b">
        <v>1</v>
      </c>
      <c r="I434" s="10" t="inlineStr">
        <is>
          <t>EXTERNAL</t>
        </is>
      </c>
      <c r="J434" s="10" t="inlineStr">
        <is>
          <t>EXTERNAL_EVIDENCE</t>
        </is>
      </c>
      <c r="K434" s="10" t="inlineStr">
        <is>
          <t>EXTERNAL</t>
        </is>
      </c>
      <c r="L434" s="10" t="inlineStr">
        <is>
          <t>media</t>
        </is>
      </c>
      <c r="M434" s="10" t="inlineStr">
        <is>
          <t>["D07-DOC-PEX-001.BACKLOG.PRIORIDADE"]</t>
        </is>
      </c>
    </row>
    <row r="435">
      <c r="A435" s="10" t="inlineStr">
        <is>
          <t>D07-DOC-PEX-001.BACKLOG.ELEGIBILIDADE</t>
        </is>
      </c>
      <c r="B435" s="10" t="inlineStr">
        <is>
          <t>D07-DOC-PEX-001</t>
        </is>
      </c>
      <c r="C435" s="10" t="inlineStr">
        <is>
          <t>D07-DOC-PEX-001-T07</t>
        </is>
      </c>
      <c r="D435" s="10" t="inlineStr">
        <is>
          <t>elegibilidade</t>
        </is>
      </c>
      <c r="E435" s="10" t="inlineStr">
        <is>
          <t>Definir, validar e manter: Elegibilidade</t>
        </is>
      </c>
      <c r="F435" s="10" t="n"/>
      <c r="G435" s="10" t="b">
        <v>1</v>
      </c>
      <c r="H435" s="10" t="b">
        <v>1</v>
      </c>
      <c r="I435" s="10" t="inlineStr">
        <is>
          <t>DERIVED</t>
        </is>
      </c>
      <c r="J435" s="10" t="inlineStr">
        <is>
          <t>PROPOSED</t>
        </is>
      </c>
      <c r="K435" s="10" t="inlineStr">
        <is>
          <t>DERIVED</t>
        </is>
      </c>
      <c r="L435" s="10" t="inlineStr">
        <is>
          <t>baixa</t>
        </is>
      </c>
      <c r="M435" s="10" t="inlineStr">
        <is>
          <t>["D07-DOC-PEX-001.BACKLOG.ELEGIBILIDADE"]</t>
        </is>
      </c>
    </row>
    <row r="436">
      <c r="A436" s="10" t="inlineStr">
        <is>
          <t>D07-DOC-PEX-001.SCHEDULE.CICLO</t>
        </is>
      </c>
      <c r="B436" s="10" t="inlineStr">
        <is>
          <t>D07-DOC-PEX-001</t>
        </is>
      </c>
      <c r="C436" s="10" t="inlineStr">
        <is>
          <t>D07-DOC-PEX-001-T08</t>
        </is>
      </c>
      <c r="D436" s="10" t="inlineStr">
        <is>
          <t>ciclo</t>
        </is>
      </c>
      <c r="E436" s="10" t="inlineStr">
        <is>
          <t>Definir, validar e manter: Ciclo</t>
        </is>
      </c>
      <c r="F436" s="10" t="n"/>
      <c r="G436" s="10" t="b">
        <v>1</v>
      </c>
      <c r="H436" s="10" t="b">
        <v>1</v>
      </c>
      <c r="I436" s="10" t="inlineStr">
        <is>
          <t>DERIVED</t>
        </is>
      </c>
      <c r="J436" s="10" t="inlineStr">
        <is>
          <t>PROPOSED</t>
        </is>
      </c>
      <c r="K436" s="10" t="inlineStr">
        <is>
          <t>DERIVED</t>
        </is>
      </c>
      <c r="L436" s="10" t="inlineStr">
        <is>
          <t>baixa</t>
        </is>
      </c>
      <c r="M436" s="10" t="inlineStr">
        <is>
          <t>["D07-DOC-PEX-001.SCHEDULE.CICLO"]</t>
        </is>
      </c>
    </row>
    <row r="437">
      <c r="A437" s="10" t="inlineStr">
        <is>
          <t>D07-DOC-PEX-001.SCHEDULE.DATA</t>
        </is>
      </c>
      <c r="B437" s="10" t="inlineStr">
        <is>
          <t>D07-DOC-PEX-001</t>
        </is>
      </c>
      <c r="C437" s="10" t="inlineStr">
        <is>
          <t>D07-DOC-PEX-001-T08</t>
        </is>
      </c>
      <c r="D437" s="10" t="inlineStr">
        <is>
          <t>data</t>
        </is>
      </c>
      <c r="E437" s="10" t="inlineStr">
        <is>
          <t>Definir, validar e manter: Data</t>
        </is>
      </c>
      <c r="F437" s="10" t="n"/>
      <c r="G437" s="10" t="b">
        <v>1</v>
      </c>
      <c r="H437" s="10" t="b">
        <v>1</v>
      </c>
      <c r="I437" s="10" t="inlineStr">
        <is>
          <t>DERIVED</t>
        </is>
      </c>
      <c r="J437" s="10" t="inlineStr">
        <is>
          <t>PROPOSED</t>
        </is>
      </c>
      <c r="K437" s="10" t="inlineStr">
        <is>
          <t>DERIVED</t>
        </is>
      </c>
      <c r="L437" s="10" t="inlineStr">
        <is>
          <t>baixa</t>
        </is>
      </c>
      <c r="M437" s="10" t="inlineStr">
        <is>
          <t>["D07-DOC-PEX-001.SCHEDULE.DATA"]</t>
        </is>
      </c>
    </row>
    <row r="438">
      <c r="A438" s="10" t="inlineStr">
        <is>
          <t>D07-DOC-PEX-001.SCHEDULE.MARCO</t>
        </is>
      </c>
      <c r="B438" s="10" t="inlineStr">
        <is>
          <t>D07-DOC-PEX-001</t>
        </is>
      </c>
      <c r="C438" s="10" t="inlineStr">
        <is>
          <t>D07-DOC-PEX-001-T08</t>
        </is>
      </c>
      <c r="D438" s="10" t="inlineStr">
        <is>
          <t>marco</t>
        </is>
      </c>
      <c r="E438" s="10" t="inlineStr">
        <is>
          <t>Definir, validar e manter: Marco</t>
        </is>
      </c>
      <c r="F438" s="10" t="n"/>
      <c r="G438" s="10" t="b">
        <v>1</v>
      </c>
      <c r="H438" s="10" t="b">
        <v>1</v>
      </c>
      <c r="I438" s="10" t="inlineStr">
        <is>
          <t>DERIVED</t>
        </is>
      </c>
      <c r="J438" s="10" t="inlineStr">
        <is>
          <t>PROPOSED</t>
        </is>
      </c>
      <c r="K438" s="10" t="inlineStr">
        <is>
          <t>DERIVED</t>
        </is>
      </c>
      <c r="L438" s="10" t="inlineStr">
        <is>
          <t>baixa</t>
        </is>
      </c>
      <c r="M438" s="10" t="inlineStr">
        <is>
          <t>["D07-DOC-PEX-001.SCHEDULE.MARCO"]</t>
        </is>
      </c>
    </row>
    <row r="439">
      <c r="A439" s="10" t="inlineStr">
        <is>
          <t>D07-DOC-PEX-001.GATES.GATE</t>
        </is>
      </c>
      <c r="B439" s="10" t="inlineStr">
        <is>
          <t>D07-DOC-PEX-001</t>
        </is>
      </c>
      <c r="C439" s="10" t="inlineStr">
        <is>
          <t>D07-DOC-PEX-001-T09</t>
        </is>
      </c>
      <c r="D439" s="10" t="inlineStr">
        <is>
          <t>gate</t>
        </is>
      </c>
      <c r="E439" s="10" t="inlineStr">
        <is>
          <t>Definir, validar e manter: Gate</t>
        </is>
      </c>
      <c r="F439" s="10" t="n"/>
      <c r="G439" s="10" t="b">
        <v>1</v>
      </c>
      <c r="H439" s="10" t="b">
        <v>1</v>
      </c>
      <c r="I439" s="10" t="inlineStr">
        <is>
          <t>FOUND</t>
        </is>
      </c>
      <c r="J439" s="10" t="inlineStr">
        <is>
          <t>DIRECT</t>
        </is>
      </c>
      <c r="K439" s="10" t="inlineStr">
        <is>
          <t>FOUND</t>
        </is>
      </c>
      <c r="L439" s="10" t="inlineStr">
        <is>
          <t>alta</t>
        </is>
      </c>
      <c r="M439" s="10" t="inlineStr">
        <is>
          <t>["D07-DOC-PEX-001.GATES.GATE"]</t>
        </is>
      </c>
    </row>
    <row r="440">
      <c r="A440" s="10" t="inlineStr">
        <is>
          <t>D07-DOC-PEX-001.GATES.CRITERIO</t>
        </is>
      </c>
      <c r="B440" s="10" t="inlineStr">
        <is>
          <t>D07-DOC-PEX-001</t>
        </is>
      </c>
      <c r="C440" s="10" t="inlineStr">
        <is>
          <t>D07-DOC-PEX-001-T09</t>
        </is>
      </c>
      <c r="D440" s="10" t="inlineStr">
        <is>
          <t>criterio</t>
        </is>
      </c>
      <c r="E440" s="10" t="inlineStr">
        <is>
          <t>Definir, validar e manter: Criterio</t>
        </is>
      </c>
      <c r="F440" s="10" t="n"/>
      <c r="G440" s="10" t="b">
        <v>1</v>
      </c>
      <c r="H440" s="10" t="b">
        <v>1</v>
      </c>
      <c r="I440" s="10" t="inlineStr">
        <is>
          <t>DERIVED</t>
        </is>
      </c>
      <c r="J440" s="10" t="inlineStr">
        <is>
          <t>PROPOSED</t>
        </is>
      </c>
      <c r="K440" s="10" t="inlineStr">
        <is>
          <t>DERIVED</t>
        </is>
      </c>
      <c r="L440" s="10" t="inlineStr">
        <is>
          <t>baixa</t>
        </is>
      </c>
      <c r="M440" s="10" t="inlineStr">
        <is>
          <t>["D07-DOC-PEX-001.GATES.CRITERIO"]</t>
        </is>
      </c>
    </row>
    <row r="441">
      <c r="A441" s="10" t="inlineStr">
        <is>
          <t>D07-DOC-PEX-001.GATES.EVIDENCIA</t>
        </is>
      </c>
      <c r="B441" s="10" t="inlineStr">
        <is>
          <t>D07-DOC-PEX-001</t>
        </is>
      </c>
      <c r="C441" s="10" t="inlineStr">
        <is>
          <t>D07-DOC-PEX-001-T09</t>
        </is>
      </c>
      <c r="D441" s="10" t="inlineStr">
        <is>
          <t>evidencia</t>
        </is>
      </c>
      <c r="E441" s="10" t="inlineStr">
        <is>
          <t>Definir, validar e manter: Evidencia</t>
        </is>
      </c>
      <c r="F441" s="10" t="n"/>
      <c r="G441" s="10" t="b">
        <v>1</v>
      </c>
      <c r="H441" s="10" t="b">
        <v>1</v>
      </c>
      <c r="I441" s="10" t="inlineStr">
        <is>
          <t>DERIVED</t>
        </is>
      </c>
      <c r="J441" s="10" t="inlineStr">
        <is>
          <t>PROPOSED</t>
        </is>
      </c>
      <c r="K441" s="10" t="inlineStr">
        <is>
          <t>DERIVED</t>
        </is>
      </c>
      <c r="L441" s="10" t="inlineStr">
        <is>
          <t>baixa</t>
        </is>
      </c>
      <c r="M441" s="10" t="inlineStr">
        <is>
          <t>["D07-DOC-PEX-001.GATES.EVIDENCIA"]</t>
        </is>
      </c>
    </row>
    <row r="442">
      <c r="A442" s="10" t="inlineStr">
        <is>
          <t>D07-DOC-PEX-001.RISKS.BLOQUEIO</t>
        </is>
      </c>
      <c r="B442" s="10" t="inlineStr">
        <is>
          <t>D07-DOC-PEX-001</t>
        </is>
      </c>
      <c r="C442" s="10" t="inlineStr">
        <is>
          <t>D07-DOC-PEX-001-T10</t>
        </is>
      </c>
      <c r="D442" s="10" t="inlineStr">
        <is>
          <t>bloqueio</t>
        </is>
      </c>
      <c r="E442" s="10" t="inlineStr">
        <is>
          <t>Definir, validar e manter: Bloqueio</t>
        </is>
      </c>
      <c r="F442" s="10" t="n"/>
      <c r="G442" s="10" t="b">
        <v>1</v>
      </c>
      <c r="H442" s="10" t="b">
        <v>1</v>
      </c>
      <c r="I442" s="10" t="inlineStr">
        <is>
          <t>DERIVED</t>
        </is>
      </c>
      <c r="J442" s="10" t="inlineStr">
        <is>
          <t>PROPOSED</t>
        </is>
      </c>
      <c r="K442" s="10" t="inlineStr">
        <is>
          <t>DERIVED</t>
        </is>
      </c>
      <c r="L442" s="10" t="inlineStr">
        <is>
          <t>baixa</t>
        </is>
      </c>
      <c r="M442" s="10" t="inlineStr">
        <is>
          <t>["D07-DOC-PEX-001.RISKS.BLOQUEIO"]</t>
        </is>
      </c>
    </row>
    <row r="443">
      <c r="A443" s="10" t="inlineStr">
        <is>
          <t>D07-DOC-PEX-001.RISKS.IMPACTO</t>
        </is>
      </c>
      <c r="B443" s="10" t="inlineStr">
        <is>
          <t>D07-DOC-PEX-001</t>
        </is>
      </c>
      <c r="C443" s="10" t="inlineStr">
        <is>
          <t>D07-DOC-PEX-001-T10</t>
        </is>
      </c>
      <c r="D443" s="10" t="inlineStr">
        <is>
          <t>impacto</t>
        </is>
      </c>
      <c r="E443" s="10" t="inlineStr">
        <is>
          <t>Definir, validar e manter: Impacto</t>
        </is>
      </c>
      <c r="F443" s="10" t="n"/>
      <c r="G443" s="10" t="b">
        <v>1</v>
      </c>
      <c r="H443" s="10" t="b">
        <v>1</v>
      </c>
      <c r="I443" s="10" t="inlineStr">
        <is>
          <t>DERIVED</t>
        </is>
      </c>
      <c r="J443" s="10" t="inlineStr">
        <is>
          <t>PROPOSED</t>
        </is>
      </c>
      <c r="K443" s="10" t="inlineStr">
        <is>
          <t>DERIVED</t>
        </is>
      </c>
      <c r="L443" s="10" t="inlineStr">
        <is>
          <t>baixa</t>
        </is>
      </c>
      <c r="M443" s="10" t="inlineStr">
        <is>
          <t>["D07-DOC-PEX-001.RISKS.IMPACTO"]</t>
        </is>
      </c>
    </row>
    <row r="444">
      <c r="A444" s="10" t="inlineStr">
        <is>
          <t>D07-DOC-PEX-001.RISKS.RESPOSTA</t>
        </is>
      </c>
      <c r="B444" s="10" t="inlineStr">
        <is>
          <t>D07-DOC-PEX-001</t>
        </is>
      </c>
      <c r="C444" s="10" t="inlineStr">
        <is>
          <t>D07-DOC-PEX-001-T10</t>
        </is>
      </c>
      <c r="D444" s="10" t="inlineStr">
        <is>
          <t>resposta</t>
        </is>
      </c>
      <c r="E444" s="10" t="inlineStr">
        <is>
          <t>Definir, validar e manter: Resposta</t>
        </is>
      </c>
      <c r="F444" s="10" t="n"/>
      <c r="G444" s="10" t="b">
        <v>1</v>
      </c>
      <c r="H444" s="10" t="b">
        <v>1</v>
      </c>
      <c r="I444" s="10" t="inlineStr">
        <is>
          <t>DERIVED</t>
        </is>
      </c>
      <c r="J444" s="10" t="inlineStr">
        <is>
          <t>PROPOSED</t>
        </is>
      </c>
      <c r="K444" s="10" t="inlineStr">
        <is>
          <t>DERIVED</t>
        </is>
      </c>
      <c r="L444" s="10" t="inlineStr">
        <is>
          <t>baixa</t>
        </is>
      </c>
      <c r="M444" s="10" t="inlineStr">
        <is>
          <t>["D07-DOC-PEX-001.RISKS.RESPOSTA"]</t>
        </is>
      </c>
    </row>
    <row r="445">
      <c r="A445" s="10" t="inlineStr">
        <is>
          <t>D07-DOC-PEX-001.VERIFICATION.CRITERIO_DE_ACEITE</t>
        </is>
      </c>
      <c r="B445" s="10" t="inlineStr">
        <is>
          <t>D07-DOC-PEX-001</t>
        </is>
      </c>
      <c r="C445" s="10" t="inlineStr">
        <is>
          <t>D07-DOC-PEX-001-T11</t>
        </is>
      </c>
      <c r="D445" s="10" t="inlineStr">
        <is>
          <t>criterio_de_aceite</t>
        </is>
      </c>
      <c r="E445" s="10" t="inlineStr">
        <is>
          <t>Definir, validar e manter: Criterio De Aceite</t>
        </is>
      </c>
      <c r="F445" s="10" t="n"/>
      <c r="G445" s="10" t="b">
        <v>1</v>
      </c>
      <c r="H445" s="10" t="b">
        <v>1</v>
      </c>
      <c r="I445" s="10" t="inlineStr">
        <is>
          <t>DERIVED</t>
        </is>
      </c>
      <c r="J445" s="10" t="inlineStr">
        <is>
          <t>PROPOSED</t>
        </is>
      </c>
      <c r="K445" s="10" t="inlineStr">
        <is>
          <t>DERIVED</t>
        </is>
      </c>
      <c r="L445" s="10" t="inlineStr">
        <is>
          <t>baixa</t>
        </is>
      </c>
      <c r="M445" s="10" t="inlineStr">
        <is>
          <t>["D07-DOC-PEX-001.VERIFICATION.CRITERIO_DE_ACEITE"]</t>
        </is>
      </c>
    </row>
    <row r="446">
      <c r="A446" s="10" t="inlineStr">
        <is>
          <t>D07-DOC-PEX-001.VERIFICATION.EVIDENCIA</t>
        </is>
      </c>
      <c r="B446" s="10" t="inlineStr">
        <is>
          <t>D07-DOC-PEX-001</t>
        </is>
      </c>
      <c r="C446" s="10" t="inlineStr">
        <is>
          <t>D07-DOC-PEX-001-T11</t>
        </is>
      </c>
      <c r="D446" s="10" t="inlineStr">
        <is>
          <t>evidencia</t>
        </is>
      </c>
      <c r="E446" s="10" t="inlineStr">
        <is>
          <t>Definir, validar e manter: Evidencia</t>
        </is>
      </c>
      <c r="F446" s="10" t="n"/>
      <c r="G446" s="10" t="b">
        <v>1</v>
      </c>
      <c r="H446" s="10" t="b">
        <v>1</v>
      </c>
      <c r="I446" s="10" t="inlineStr">
        <is>
          <t>DERIVED</t>
        </is>
      </c>
      <c r="J446" s="10" t="inlineStr">
        <is>
          <t>PROPOSED</t>
        </is>
      </c>
      <c r="K446" s="10" t="inlineStr">
        <is>
          <t>DERIVED</t>
        </is>
      </c>
      <c r="L446" s="10" t="inlineStr">
        <is>
          <t>baixa</t>
        </is>
      </c>
      <c r="M446" s="10" t="inlineStr">
        <is>
          <t>["D07-DOC-PEX-001.VERIFICATION.EVIDENCIA"]</t>
        </is>
      </c>
    </row>
    <row r="447">
      <c r="A447" s="10" t="inlineStr">
        <is>
          <t>D07-DOC-PEX-001.PROGRESS.PLANEJADO</t>
        </is>
      </c>
      <c r="B447" s="10" t="inlineStr">
        <is>
          <t>D07-DOC-PEX-001</t>
        </is>
      </c>
      <c r="C447" s="10" t="inlineStr">
        <is>
          <t>D07-DOC-PEX-001-T12</t>
        </is>
      </c>
      <c r="D447" s="10" t="inlineStr">
        <is>
          <t>planejado</t>
        </is>
      </c>
      <c r="E447" s="10" t="inlineStr">
        <is>
          <t>Definir, validar e manter: Planejado</t>
        </is>
      </c>
      <c r="F447" s="10" t="n"/>
      <c r="G447" s="10" t="b">
        <v>1</v>
      </c>
      <c r="H447" s="10" t="b">
        <v>1</v>
      </c>
      <c r="I447" s="10" t="inlineStr">
        <is>
          <t>DERIVED</t>
        </is>
      </c>
      <c r="J447" s="10" t="inlineStr">
        <is>
          <t>PROPOSED</t>
        </is>
      </c>
      <c r="K447" s="10" t="inlineStr">
        <is>
          <t>DERIVED</t>
        </is>
      </c>
      <c r="L447" s="10" t="inlineStr">
        <is>
          <t>baixa</t>
        </is>
      </c>
      <c r="M447" s="10" t="inlineStr">
        <is>
          <t>["D07-DOC-PEX-001.PROGRESS.PLANEJADO"]</t>
        </is>
      </c>
    </row>
    <row r="448">
      <c r="A448" s="10" t="inlineStr">
        <is>
          <t>D07-DOC-PEX-001.PROGRESS.REALIZADO</t>
        </is>
      </c>
      <c r="B448" s="10" t="inlineStr">
        <is>
          <t>D07-DOC-PEX-001</t>
        </is>
      </c>
      <c r="C448" s="10" t="inlineStr">
        <is>
          <t>D07-DOC-PEX-001-T12</t>
        </is>
      </c>
      <c r="D448" s="10" t="inlineStr">
        <is>
          <t>realizado</t>
        </is>
      </c>
      <c r="E448" s="10" t="inlineStr">
        <is>
          <t>Definir, validar e manter: Realizado</t>
        </is>
      </c>
      <c r="F448" s="10" t="n"/>
      <c r="G448" s="10" t="b">
        <v>1</v>
      </c>
      <c r="H448" s="10" t="b">
        <v>1</v>
      </c>
      <c r="I448" s="10" t="inlineStr">
        <is>
          <t>DERIVED</t>
        </is>
      </c>
      <c r="J448" s="10" t="inlineStr">
        <is>
          <t>PROPOSED</t>
        </is>
      </c>
      <c r="K448" s="10" t="inlineStr">
        <is>
          <t>DERIVED</t>
        </is>
      </c>
      <c r="L448" s="10" t="inlineStr">
        <is>
          <t>baixa</t>
        </is>
      </c>
      <c r="M448" s="10" t="inlineStr">
        <is>
          <t>["D07-DOC-PEX-001.PROGRESS.REALIZADO"]</t>
        </is>
      </c>
    </row>
    <row r="449">
      <c r="A449" s="10" t="inlineStr">
        <is>
          <t>D07-DOC-PEX-001.PROGRESS.RESTANTE</t>
        </is>
      </c>
      <c r="B449" s="10" t="inlineStr">
        <is>
          <t>D07-DOC-PEX-001</t>
        </is>
      </c>
      <c r="C449" s="10" t="inlineStr">
        <is>
          <t>D07-DOC-PEX-001-T12</t>
        </is>
      </c>
      <c r="D449" s="10" t="inlineStr">
        <is>
          <t>restante</t>
        </is>
      </c>
      <c r="E449" s="10" t="inlineStr">
        <is>
          <t>Definir, validar e manter: Restante</t>
        </is>
      </c>
      <c r="F449" s="10" t="n"/>
      <c r="G449" s="10" t="b">
        <v>1</v>
      </c>
      <c r="H449" s="10" t="b">
        <v>1</v>
      </c>
      <c r="I449" s="10" t="inlineStr">
        <is>
          <t>DERIVED</t>
        </is>
      </c>
      <c r="J449" s="10" t="inlineStr">
        <is>
          <t>PROPOSED</t>
        </is>
      </c>
      <c r="K449" s="10" t="inlineStr">
        <is>
          <t>DERIVED</t>
        </is>
      </c>
      <c r="L449" s="10" t="inlineStr">
        <is>
          <t>baixa</t>
        </is>
      </c>
      <c r="M449" s="10" t="inlineStr">
        <is>
          <t>["D07-DOC-PEX-001.PROGRESS.RESTANTE"]</t>
        </is>
      </c>
    </row>
    <row r="450">
      <c r="A450" s="10" t="inlineStr">
        <is>
          <t>D07-DOC-PIM-001.IMPLEMENTATION_STRATEGY.ABORDAGEM</t>
        </is>
      </c>
      <c r="B450" s="10" t="inlineStr">
        <is>
          <t>D07-DOC-PIM-001</t>
        </is>
      </c>
      <c r="C450" s="10" t="inlineStr">
        <is>
          <t>D07-DOC-PIM-001-T01</t>
        </is>
      </c>
      <c r="D450" s="10" t="inlineStr">
        <is>
          <t>abordagem</t>
        </is>
      </c>
      <c r="E450" s="10" t="inlineStr">
        <is>
          <t>Definir, validar e manter: Abordagem</t>
        </is>
      </c>
      <c r="F450" s="10" t="n"/>
      <c r="G450" s="10" t="b">
        <v>1</v>
      </c>
      <c r="H450" s="10" t="b">
        <v>1</v>
      </c>
      <c r="I450" s="10" t="inlineStr">
        <is>
          <t>DERIVED</t>
        </is>
      </c>
      <c r="J450" s="10" t="inlineStr">
        <is>
          <t>PROPOSED</t>
        </is>
      </c>
      <c r="K450" s="10" t="inlineStr">
        <is>
          <t>DERIVED</t>
        </is>
      </c>
      <c r="L450" s="10" t="inlineStr">
        <is>
          <t>baixa</t>
        </is>
      </c>
      <c r="M450" s="10" t="inlineStr">
        <is>
          <t>["D07-DOC-PIM-001.IMPLEMENTATION_STRATEGY.ABORDAGEM"]</t>
        </is>
      </c>
    </row>
    <row r="451">
      <c r="A451" s="10" t="inlineStr">
        <is>
          <t>D07-DOC-PIM-001.IMPLEMENTATION_STRATEGY.ONDAS</t>
        </is>
      </c>
      <c r="B451" s="10" t="inlineStr">
        <is>
          <t>D07-DOC-PIM-001</t>
        </is>
      </c>
      <c r="C451" s="10" t="inlineStr">
        <is>
          <t>D07-DOC-PIM-001-T01</t>
        </is>
      </c>
      <c r="D451" s="10" t="inlineStr">
        <is>
          <t>ondas</t>
        </is>
      </c>
      <c r="E451" s="10" t="inlineStr">
        <is>
          <t>Definir, validar e manter: Ondas</t>
        </is>
      </c>
      <c r="F451" s="10" t="n"/>
      <c r="G451" s="10" t="b">
        <v>1</v>
      </c>
      <c r="H451" s="10" t="b">
        <v>1</v>
      </c>
      <c r="I451" s="10" t="inlineStr">
        <is>
          <t>DERIVED</t>
        </is>
      </c>
      <c r="J451" s="10" t="inlineStr">
        <is>
          <t>PROPOSED</t>
        </is>
      </c>
      <c r="K451" s="10" t="inlineStr">
        <is>
          <t>DERIVED</t>
        </is>
      </c>
      <c r="L451" s="10" t="inlineStr">
        <is>
          <t>baixa</t>
        </is>
      </c>
      <c r="M451" s="10" t="inlineStr">
        <is>
          <t>["D07-DOC-PIM-001.IMPLEMENTATION_STRATEGY.ONDAS"]</t>
        </is>
      </c>
    </row>
    <row r="452">
      <c r="A452" s="10" t="inlineStr">
        <is>
          <t>D07-DOC-PIM-001.MILESTONES.MARCO</t>
        </is>
      </c>
      <c r="B452" s="10" t="inlineStr">
        <is>
          <t>D07-DOC-PIM-001</t>
        </is>
      </c>
      <c r="C452" s="10" t="inlineStr">
        <is>
          <t>D07-DOC-PIM-001-T02</t>
        </is>
      </c>
      <c r="D452" s="10" t="inlineStr">
        <is>
          <t>marco</t>
        </is>
      </c>
      <c r="E452" s="10" t="inlineStr">
        <is>
          <t>Definir, validar e manter: Marco</t>
        </is>
      </c>
      <c r="F452" s="10" t="n"/>
      <c r="G452" s="10" t="b">
        <v>1</v>
      </c>
      <c r="H452" s="10" t="b">
        <v>1</v>
      </c>
      <c r="I452" s="10" t="inlineStr">
        <is>
          <t>CONFLICT</t>
        </is>
      </c>
      <c r="J452" s="10" t="inlineStr">
        <is>
          <t>CONFLICT</t>
        </is>
      </c>
      <c r="K452" s="10" t="inlineStr">
        <is>
          <t>CONFLICT</t>
        </is>
      </c>
      <c r="L452" s="10" t="inlineStr">
        <is>
          <t>alta</t>
        </is>
      </c>
      <c r="M452" s="10" t="inlineStr">
        <is>
          <t>["D07-DOC-PIM-001.MILESTONES.MARCO"]</t>
        </is>
      </c>
    </row>
    <row r="453">
      <c r="A453" s="10" t="inlineStr">
        <is>
          <t>D07-DOC-PIM-001.MILESTONES.RESULTADO</t>
        </is>
      </c>
      <c r="B453" s="10" t="inlineStr">
        <is>
          <t>D07-DOC-PIM-001</t>
        </is>
      </c>
      <c r="C453" s="10" t="inlineStr">
        <is>
          <t>D07-DOC-PIM-001-T02</t>
        </is>
      </c>
      <c r="D453" s="10" t="inlineStr">
        <is>
          <t>resultado</t>
        </is>
      </c>
      <c r="E453" s="10" t="inlineStr">
        <is>
          <t>Definir, validar e manter: Resultado</t>
        </is>
      </c>
      <c r="F453" s="10" t="n"/>
      <c r="G453" s="10" t="b">
        <v>1</v>
      </c>
      <c r="H453" s="10" t="b">
        <v>1</v>
      </c>
      <c r="I453" s="10" t="inlineStr">
        <is>
          <t>DERIVED</t>
        </is>
      </c>
      <c r="J453" s="10" t="inlineStr">
        <is>
          <t>PROPOSED</t>
        </is>
      </c>
      <c r="K453" s="10" t="inlineStr">
        <is>
          <t>DERIVED</t>
        </is>
      </c>
      <c r="L453" s="10" t="inlineStr">
        <is>
          <t>baixa</t>
        </is>
      </c>
      <c r="M453" s="10" t="inlineStr">
        <is>
          <t>["D07-DOC-PIM-001.MILESTONES.RESULTADO"]</t>
        </is>
      </c>
    </row>
    <row r="454">
      <c r="A454" s="10" t="inlineStr">
        <is>
          <t>D07-DOC-PIM-001.MILESTONES.CRITERIO</t>
        </is>
      </c>
      <c r="B454" s="10" t="inlineStr">
        <is>
          <t>D07-DOC-PIM-001</t>
        </is>
      </c>
      <c r="C454" s="10" t="inlineStr">
        <is>
          <t>D07-DOC-PIM-001-T02</t>
        </is>
      </c>
      <c r="D454" s="10" t="inlineStr">
        <is>
          <t>criterio</t>
        </is>
      </c>
      <c r="E454" s="10" t="inlineStr">
        <is>
          <t>Definir, validar e manter: Criterio</t>
        </is>
      </c>
      <c r="F454" s="10" t="n"/>
      <c r="G454" s="10" t="b">
        <v>1</v>
      </c>
      <c r="H454" s="10" t="b">
        <v>1</v>
      </c>
      <c r="I454" s="10" t="inlineStr">
        <is>
          <t>DERIVED</t>
        </is>
      </c>
      <c r="J454" s="10" t="inlineStr">
        <is>
          <t>PROPOSED</t>
        </is>
      </c>
      <c r="K454" s="10" t="inlineStr">
        <is>
          <t>DERIVED</t>
        </is>
      </c>
      <c r="L454" s="10" t="inlineStr">
        <is>
          <t>baixa</t>
        </is>
      </c>
      <c r="M454" s="10" t="inlineStr">
        <is>
          <t>["D07-DOC-PIM-001.MILESTONES.CRITERIO"]</t>
        </is>
      </c>
    </row>
    <row r="455">
      <c r="A455" s="10" t="inlineStr">
        <is>
          <t>D07-DOC-PIM-001.WORK_PACKAGES.PACOTE</t>
        </is>
      </c>
      <c r="B455" s="10" t="inlineStr">
        <is>
          <t>D07-DOC-PIM-001</t>
        </is>
      </c>
      <c r="C455" s="10" t="inlineStr">
        <is>
          <t>D07-DOC-PIM-001-T03</t>
        </is>
      </c>
      <c r="D455" s="10" t="inlineStr">
        <is>
          <t>pacote</t>
        </is>
      </c>
      <c r="E455" s="10" t="inlineStr">
        <is>
          <t>Definir, validar e manter: Pacote</t>
        </is>
      </c>
      <c r="F455" s="10" t="n"/>
      <c r="G455" s="10" t="b">
        <v>1</v>
      </c>
      <c r="H455" s="10" t="b">
        <v>1</v>
      </c>
      <c r="I455" s="10" t="inlineStr">
        <is>
          <t>DERIVED</t>
        </is>
      </c>
      <c r="J455" s="10" t="inlineStr">
        <is>
          <t>PROPOSED</t>
        </is>
      </c>
      <c r="K455" s="10" t="inlineStr">
        <is>
          <t>DERIVED</t>
        </is>
      </c>
      <c r="L455" s="10" t="inlineStr">
        <is>
          <t>baixa</t>
        </is>
      </c>
      <c r="M455" s="10" t="inlineStr">
        <is>
          <t>["D07-DOC-PIM-001.WORK_PACKAGES.PACOTE"]</t>
        </is>
      </c>
    </row>
    <row r="456">
      <c r="A456" s="10" t="inlineStr">
        <is>
          <t>D07-DOC-PIM-001.WORK_PACKAGES.ENTREGAVEL</t>
        </is>
      </c>
      <c r="B456" s="10" t="inlineStr">
        <is>
          <t>D07-DOC-PIM-001</t>
        </is>
      </c>
      <c r="C456" s="10" t="inlineStr">
        <is>
          <t>D07-DOC-PIM-001-T03</t>
        </is>
      </c>
      <c r="D456" s="10" t="inlineStr">
        <is>
          <t>entregavel</t>
        </is>
      </c>
      <c r="E456" s="10" t="inlineStr">
        <is>
          <t>Definir, validar e manter: Entregavel</t>
        </is>
      </c>
      <c r="F456" s="10" t="n"/>
      <c r="G456" s="10" t="b">
        <v>1</v>
      </c>
      <c r="H456" s="10" t="b">
        <v>1</v>
      </c>
      <c r="I456" s="10" t="inlineStr">
        <is>
          <t>DERIVED</t>
        </is>
      </c>
      <c r="J456" s="10" t="inlineStr">
        <is>
          <t>PROPOSED</t>
        </is>
      </c>
      <c r="K456" s="10" t="inlineStr">
        <is>
          <t>DERIVED</t>
        </is>
      </c>
      <c r="L456" s="10" t="inlineStr">
        <is>
          <t>baixa</t>
        </is>
      </c>
      <c r="M456" s="10" t="inlineStr">
        <is>
          <t>["D07-DOC-PIM-001.WORK_PACKAGES.ENTREGAVEL"]</t>
        </is>
      </c>
    </row>
    <row r="457">
      <c r="A457" s="10" t="inlineStr">
        <is>
          <t>D07-DOC-PIM-001.DEPENDENCIES.DEPENDENCIA</t>
        </is>
      </c>
      <c r="B457" s="10" t="inlineStr">
        <is>
          <t>D07-DOC-PIM-001</t>
        </is>
      </c>
      <c r="C457" s="10" t="inlineStr">
        <is>
          <t>D07-DOC-PIM-001-T04</t>
        </is>
      </c>
      <c r="D457" s="10" t="inlineStr">
        <is>
          <t>dependencia</t>
        </is>
      </c>
      <c r="E457" s="10" t="inlineStr">
        <is>
          <t>Definir, validar e manter: Dependencia</t>
        </is>
      </c>
      <c r="F457" s="10" t="n"/>
      <c r="G457" s="10" t="b">
        <v>1</v>
      </c>
      <c r="H457" s="10" t="b">
        <v>1</v>
      </c>
      <c r="I457" s="10" t="inlineStr">
        <is>
          <t>DERIVED</t>
        </is>
      </c>
      <c r="J457" s="10" t="inlineStr">
        <is>
          <t>PROPOSED</t>
        </is>
      </c>
      <c r="K457" s="10" t="inlineStr">
        <is>
          <t>DERIVED</t>
        </is>
      </c>
      <c r="L457" s="10" t="inlineStr">
        <is>
          <t>baixa</t>
        </is>
      </c>
      <c r="M457" s="10" t="inlineStr">
        <is>
          <t>["D07-DOC-PIM-001.DEPENDENCIES.DEPENDENCIA"]</t>
        </is>
      </c>
    </row>
    <row r="458">
      <c r="A458" s="10" t="inlineStr">
        <is>
          <t>D07-DOC-PIM-001.DEPENDENCIES.PRECONDICAO</t>
        </is>
      </c>
      <c r="B458" s="10" t="inlineStr">
        <is>
          <t>D07-DOC-PIM-001</t>
        </is>
      </c>
      <c r="C458" s="10" t="inlineStr">
        <is>
          <t>D07-DOC-PIM-001-T04</t>
        </is>
      </c>
      <c r="D458" s="10" t="inlineStr">
        <is>
          <t>precondicao</t>
        </is>
      </c>
      <c r="E458" s="10" t="inlineStr">
        <is>
          <t>Definir, validar e manter: Precondicao</t>
        </is>
      </c>
      <c r="F458" s="10" t="n"/>
      <c r="G458" s="10" t="b">
        <v>1</v>
      </c>
      <c r="H458" s="10" t="b">
        <v>1</v>
      </c>
      <c r="I458" s="10" t="inlineStr">
        <is>
          <t>DERIVED</t>
        </is>
      </c>
      <c r="J458" s="10" t="inlineStr">
        <is>
          <t>PROPOSED</t>
        </is>
      </c>
      <c r="K458" s="10" t="inlineStr">
        <is>
          <t>DERIVED</t>
        </is>
      </c>
      <c r="L458" s="10" t="inlineStr">
        <is>
          <t>baixa</t>
        </is>
      </c>
      <c r="M458" s="10" t="inlineStr">
        <is>
          <t>["D07-DOC-PIM-001.DEPENDENCIES.PRECONDICAO"]</t>
        </is>
      </c>
    </row>
    <row r="459">
      <c r="A459" s="10" t="inlineStr">
        <is>
          <t>D07-DOC-PIM-001.RESOURCES.PESSOA</t>
        </is>
      </c>
      <c r="B459" s="10" t="inlineStr">
        <is>
          <t>D07-DOC-PIM-001</t>
        </is>
      </c>
      <c r="C459" s="10" t="inlineStr">
        <is>
          <t>D07-DOC-PIM-001-T05</t>
        </is>
      </c>
      <c r="D459" s="10" t="inlineStr">
        <is>
          <t>pessoa</t>
        </is>
      </c>
      <c r="E459" s="10" t="inlineStr">
        <is>
          <t>Definir, validar e manter: Pessoa</t>
        </is>
      </c>
      <c r="F459" s="10" t="n"/>
      <c r="G459" s="10" t="b">
        <v>1</v>
      </c>
      <c r="H459" s="10" t="b">
        <v>1</v>
      </c>
      <c r="I459" s="10" t="inlineStr">
        <is>
          <t>DERIVED</t>
        </is>
      </c>
      <c r="J459" s="10" t="inlineStr">
        <is>
          <t>PROPOSED</t>
        </is>
      </c>
      <c r="K459" s="10" t="inlineStr">
        <is>
          <t>DERIVED</t>
        </is>
      </c>
      <c r="L459" s="10" t="inlineStr">
        <is>
          <t>baixa</t>
        </is>
      </c>
      <c r="M459" s="10" t="inlineStr">
        <is>
          <t>["D07-DOC-PIM-001.RESOURCES.PESSOA"]</t>
        </is>
      </c>
    </row>
    <row r="460">
      <c r="A460" s="10" t="inlineStr">
        <is>
          <t>D07-DOC-PIM-001.RESOURCES.SISTEMA</t>
        </is>
      </c>
      <c r="B460" s="10" t="inlineStr">
        <is>
          <t>D07-DOC-PIM-001</t>
        </is>
      </c>
      <c r="C460" s="10" t="inlineStr">
        <is>
          <t>D07-DOC-PIM-001-T05</t>
        </is>
      </c>
      <c r="D460" s="10" t="inlineStr">
        <is>
          <t>sistema</t>
        </is>
      </c>
      <c r="E460" s="10" t="inlineStr">
        <is>
          <t>Definir, validar e manter: Sistema</t>
        </is>
      </c>
      <c r="F460" s="10" t="n"/>
      <c r="G460" s="10" t="b">
        <v>1</v>
      </c>
      <c r="H460" s="10" t="b">
        <v>1</v>
      </c>
      <c r="I460" s="10" t="inlineStr">
        <is>
          <t>DERIVED</t>
        </is>
      </c>
      <c r="J460" s="10" t="inlineStr">
        <is>
          <t>PROPOSED</t>
        </is>
      </c>
      <c r="K460" s="10" t="inlineStr">
        <is>
          <t>DERIVED</t>
        </is>
      </c>
      <c r="L460" s="10" t="inlineStr">
        <is>
          <t>baixa</t>
        </is>
      </c>
      <c r="M460" s="10" t="inlineStr">
        <is>
          <t>["D07-DOC-PIM-001.RESOURCES.SISTEMA"]</t>
        </is>
      </c>
    </row>
    <row r="461">
      <c r="A461" s="10" t="inlineStr">
        <is>
          <t>D07-DOC-PIM-001.RESOURCES.RECURSO</t>
        </is>
      </c>
      <c r="B461" s="10" t="inlineStr">
        <is>
          <t>D07-DOC-PIM-001</t>
        </is>
      </c>
      <c r="C461" s="10" t="inlineStr">
        <is>
          <t>D07-DOC-PIM-001-T05</t>
        </is>
      </c>
      <c r="D461" s="10" t="inlineStr">
        <is>
          <t>recurso</t>
        </is>
      </c>
      <c r="E461" s="10" t="inlineStr">
        <is>
          <t>Definir, validar e manter: Recurso</t>
        </is>
      </c>
      <c r="F461" s="10" t="n"/>
      <c r="G461" s="10" t="b">
        <v>1</v>
      </c>
      <c r="H461" s="10" t="b">
        <v>1</v>
      </c>
      <c r="I461" s="10" t="inlineStr">
        <is>
          <t>DERIVED</t>
        </is>
      </c>
      <c r="J461" s="10" t="inlineStr">
        <is>
          <t>PROPOSED</t>
        </is>
      </c>
      <c r="K461" s="10" t="inlineStr">
        <is>
          <t>DERIVED</t>
        </is>
      </c>
      <c r="L461" s="10" t="inlineStr">
        <is>
          <t>baixa</t>
        </is>
      </c>
      <c r="M461" s="10" t="inlineStr">
        <is>
          <t>["D07-DOC-PIM-001.RESOURCES.RECURSO"]</t>
        </is>
      </c>
    </row>
    <row r="462">
      <c r="A462" s="10" t="inlineStr">
        <is>
          <t>D07-DOC-PIM-001.SCHEDULE.INICIO</t>
        </is>
      </c>
      <c r="B462" s="10" t="inlineStr">
        <is>
          <t>D07-DOC-PIM-001</t>
        </is>
      </c>
      <c r="C462" s="10" t="inlineStr">
        <is>
          <t>D07-DOC-PIM-001-T06</t>
        </is>
      </c>
      <c r="D462" s="10" t="inlineStr">
        <is>
          <t>inicio</t>
        </is>
      </c>
      <c r="E462" s="10" t="inlineStr">
        <is>
          <t>Definir, validar e manter: Inicio</t>
        </is>
      </c>
      <c r="F462" s="10" t="n"/>
      <c r="G462" s="10" t="b">
        <v>1</v>
      </c>
      <c r="H462" s="10" t="b">
        <v>1</v>
      </c>
      <c r="I462" s="10" t="inlineStr">
        <is>
          <t>DERIVED</t>
        </is>
      </c>
      <c r="J462" s="10" t="inlineStr">
        <is>
          <t>PROPOSED</t>
        </is>
      </c>
      <c r="K462" s="10" t="inlineStr">
        <is>
          <t>DERIVED</t>
        </is>
      </c>
      <c r="L462" s="10" t="inlineStr">
        <is>
          <t>baixa</t>
        </is>
      </c>
      <c r="M462" s="10" t="inlineStr">
        <is>
          <t>["D07-DOC-PIM-001.SCHEDULE.INICIO"]</t>
        </is>
      </c>
    </row>
    <row r="463">
      <c r="A463" s="10" t="inlineStr">
        <is>
          <t>D07-DOC-PIM-001.SCHEDULE.FIM</t>
        </is>
      </c>
      <c r="B463" s="10" t="inlineStr">
        <is>
          <t>D07-DOC-PIM-001</t>
        </is>
      </c>
      <c r="C463" s="10" t="inlineStr">
        <is>
          <t>D07-DOC-PIM-001-T06</t>
        </is>
      </c>
      <c r="D463" s="10" t="inlineStr">
        <is>
          <t>fim</t>
        </is>
      </c>
      <c r="E463" s="10" t="inlineStr">
        <is>
          <t>Definir, validar e manter: Fim</t>
        </is>
      </c>
      <c r="F463" s="10" t="n"/>
      <c r="G463" s="10" t="b">
        <v>1</v>
      </c>
      <c r="H463" s="10" t="b">
        <v>1</v>
      </c>
      <c r="I463" s="10" t="inlineStr">
        <is>
          <t>DERIVED</t>
        </is>
      </c>
      <c r="J463" s="10" t="inlineStr">
        <is>
          <t>PROPOSED</t>
        </is>
      </c>
      <c r="K463" s="10" t="inlineStr">
        <is>
          <t>DERIVED</t>
        </is>
      </c>
      <c r="L463" s="10" t="inlineStr">
        <is>
          <t>baixa</t>
        </is>
      </c>
      <c r="M463" s="10" t="inlineStr">
        <is>
          <t>["D07-DOC-PIM-001.SCHEDULE.FIM"]</t>
        </is>
      </c>
    </row>
    <row r="464">
      <c r="A464" s="10" t="inlineStr">
        <is>
          <t>D07-DOC-PIM-001.SCHEDULE.CICLO</t>
        </is>
      </c>
      <c r="B464" s="10" t="inlineStr">
        <is>
          <t>D07-DOC-PIM-001</t>
        </is>
      </c>
      <c r="C464" s="10" t="inlineStr">
        <is>
          <t>D07-DOC-PIM-001-T06</t>
        </is>
      </c>
      <c r="D464" s="10" t="inlineStr">
        <is>
          <t>ciclo</t>
        </is>
      </c>
      <c r="E464" s="10" t="inlineStr">
        <is>
          <t>Definir, validar e manter: Ciclo</t>
        </is>
      </c>
      <c r="F464" s="10" t="n"/>
      <c r="G464" s="10" t="b">
        <v>1</v>
      </c>
      <c r="H464" s="10" t="b">
        <v>1</v>
      </c>
      <c r="I464" s="10" t="inlineStr">
        <is>
          <t>DERIVED</t>
        </is>
      </c>
      <c r="J464" s="10" t="inlineStr">
        <is>
          <t>PROPOSED</t>
        </is>
      </c>
      <c r="K464" s="10" t="inlineStr">
        <is>
          <t>DERIVED</t>
        </is>
      </c>
      <c r="L464" s="10" t="inlineStr">
        <is>
          <t>baixa</t>
        </is>
      </c>
      <c r="M464" s="10" t="inlineStr">
        <is>
          <t>["D07-DOC-PIM-001.SCHEDULE.CICLO"]</t>
        </is>
      </c>
    </row>
    <row r="465">
      <c r="A465" s="10" t="inlineStr">
        <is>
          <t>D07-DOC-PIM-001.GATES.GATE</t>
        </is>
      </c>
      <c r="B465" s="10" t="inlineStr">
        <is>
          <t>D07-DOC-PIM-001</t>
        </is>
      </c>
      <c r="C465" s="10" t="inlineStr">
        <is>
          <t>D07-DOC-PIM-001-T07</t>
        </is>
      </c>
      <c r="D465" s="10" t="inlineStr">
        <is>
          <t>gate</t>
        </is>
      </c>
      <c r="E465" s="10" t="inlineStr">
        <is>
          <t>Definir, validar e manter: Gate</t>
        </is>
      </c>
      <c r="F465" s="10" t="n"/>
      <c r="G465" s="10" t="b">
        <v>1</v>
      </c>
      <c r="H465" s="10" t="b">
        <v>1</v>
      </c>
      <c r="I465" s="10" t="inlineStr">
        <is>
          <t>DERIVED</t>
        </is>
      </c>
      <c r="J465" s="10" t="inlineStr">
        <is>
          <t>PROPOSED</t>
        </is>
      </c>
      <c r="K465" s="10" t="inlineStr">
        <is>
          <t>DERIVED</t>
        </is>
      </c>
      <c r="L465" s="10" t="inlineStr">
        <is>
          <t>baixa</t>
        </is>
      </c>
      <c r="M465" s="10" t="inlineStr">
        <is>
          <t>["D07-DOC-PIM-001.GATES.GATE"]</t>
        </is>
      </c>
    </row>
    <row r="466">
      <c r="A466" s="10" t="inlineStr">
        <is>
          <t>D07-DOC-PIM-001.GATES.ENTRADA</t>
        </is>
      </c>
      <c r="B466" s="10" t="inlineStr">
        <is>
          <t>D07-DOC-PIM-001</t>
        </is>
      </c>
      <c r="C466" s="10" t="inlineStr">
        <is>
          <t>D07-DOC-PIM-001-T07</t>
        </is>
      </c>
      <c r="D466" s="10" t="inlineStr">
        <is>
          <t>entrada</t>
        </is>
      </c>
      <c r="E466" s="10" t="inlineStr">
        <is>
          <t>Definir, validar e manter: Entrada</t>
        </is>
      </c>
      <c r="F466" s="10" t="n"/>
      <c r="G466" s="10" t="b">
        <v>1</v>
      </c>
      <c r="H466" s="10" t="b">
        <v>1</v>
      </c>
      <c r="I466" s="10" t="inlineStr">
        <is>
          <t>DERIVED</t>
        </is>
      </c>
      <c r="J466" s="10" t="inlineStr">
        <is>
          <t>PROPOSED</t>
        </is>
      </c>
      <c r="K466" s="10" t="inlineStr">
        <is>
          <t>DERIVED</t>
        </is>
      </c>
      <c r="L466" s="10" t="inlineStr">
        <is>
          <t>baixa</t>
        </is>
      </c>
      <c r="M466" s="10" t="inlineStr">
        <is>
          <t>["D07-DOC-PIM-001.GATES.ENTRADA"]</t>
        </is>
      </c>
    </row>
    <row r="467">
      <c r="A467" s="10" t="inlineStr">
        <is>
          <t>D07-DOC-PIM-001.GATES.SAIDA</t>
        </is>
      </c>
      <c r="B467" s="10" t="inlineStr">
        <is>
          <t>D07-DOC-PIM-001</t>
        </is>
      </c>
      <c r="C467" s="10" t="inlineStr">
        <is>
          <t>D07-DOC-PIM-001-T07</t>
        </is>
      </c>
      <c r="D467" s="10" t="inlineStr">
        <is>
          <t>saida</t>
        </is>
      </c>
      <c r="E467" s="10" t="inlineStr">
        <is>
          <t>Definir, validar e manter: Saida</t>
        </is>
      </c>
      <c r="F467" s="10" t="n"/>
      <c r="G467" s="10" t="b">
        <v>1</v>
      </c>
      <c r="H467" s="10" t="b">
        <v>1</v>
      </c>
      <c r="I467" s="10" t="inlineStr">
        <is>
          <t>DERIVED</t>
        </is>
      </c>
      <c r="J467" s="10" t="inlineStr">
        <is>
          <t>PROPOSED</t>
        </is>
      </c>
      <c r="K467" s="10" t="inlineStr">
        <is>
          <t>DERIVED</t>
        </is>
      </c>
      <c r="L467" s="10" t="inlineStr">
        <is>
          <t>baixa</t>
        </is>
      </c>
      <c r="M467" s="10" t="inlineStr">
        <is>
          <t>["D07-DOC-PIM-001.GATES.SAIDA"]</t>
        </is>
      </c>
    </row>
    <row r="468">
      <c r="A468" s="10" t="inlineStr">
        <is>
          <t>D07-DOC-PIM-001.ROLLOUT.PILOTO</t>
        </is>
      </c>
      <c r="B468" s="10" t="inlineStr">
        <is>
          <t>D07-DOC-PIM-001</t>
        </is>
      </c>
      <c r="C468" s="10" t="inlineStr">
        <is>
          <t>D07-DOC-PIM-001-T08</t>
        </is>
      </c>
      <c r="D468" s="10" t="inlineStr">
        <is>
          <t>piloto</t>
        </is>
      </c>
      <c r="E468" s="10" t="inlineStr">
        <is>
          <t>Definir, validar e manter: Piloto</t>
        </is>
      </c>
      <c r="F468" s="10" t="n"/>
      <c r="G468" s="10" t="b">
        <v>1</v>
      </c>
      <c r="H468" s="10" t="b">
        <v>1</v>
      </c>
      <c r="I468" s="10" t="inlineStr">
        <is>
          <t>DERIVED</t>
        </is>
      </c>
      <c r="J468" s="10" t="inlineStr">
        <is>
          <t>PROPOSED</t>
        </is>
      </c>
      <c r="K468" s="10" t="inlineStr">
        <is>
          <t>DERIVED</t>
        </is>
      </c>
      <c r="L468" s="10" t="inlineStr">
        <is>
          <t>baixa</t>
        </is>
      </c>
      <c r="M468" s="10" t="inlineStr">
        <is>
          <t>["D07-DOC-PIM-001.ROLLOUT.PILOTO"]</t>
        </is>
      </c>
    </row>
    <row r="469">
      <c r="A469" s="10" t="inlineStr">
        <is>
          <t>D07-DOC-PIM-001.ROLLOUT.EXPANSAO</t>
        </is>
      </c>
      <c r="B469" s="10" t="inlineStr">
        <is>
          <t>D07-DOC-PIM-001</t>
        </is>
      </c>
      <c r="C469" s="10" t="inlineStr">
        <is>
          <t>D07-DOC-PIM-001-T08</t>
        </is>
      </c>
      <c r="D469" s="10" t="inlineStr">
        <is>
          <t>expansao</t>
        </is>
      </c>
      <c r="E469" s="10" t="inlineStr">
        <is>
          <t>Definir, validar e manter: Expansao</t>
        </is>
      </c>
      <c r="F469" s="10" t="n"/>
      <c r="G469" s="10" t="b">
        <v>1</v>
      </c>
      <c r="H469" s="10" t="b">
        <v>1</v>
      </c>
      <c r="I469" s="10" t="inlineStr">
        <is>
          <t>DERIVED</t>
        </is>
      </c>
      <c r="J469" s="10" t="inlineStr">
        <is>
          <t>PROPOSED</t>
        </is>
      </c>
      <c r="K469" s="10" t="inlineStr">
        <is>
          <t>DERIVED</t>
        </is>
      </c>
      <c r="L469" s="10" t="inlineStr">
        <is>
          <t>baixa</t>
        </is>
      </c>
      <c r="M469" s="10" t="inlineStr">
        <is>
          <t>["D07-DOC-PIM-001.ROLLOUT.EXPANSAO"]</t>
        </is>
      </c>
    </row>
    <row r="470">
      <c r="A470" s="10" t="inlineStr">
        <is>
          <t>D07-DOC-PIM-001.HANDOFF.ORIGEM</t>
        </is>
      </c>
      <c r="B470" s="10" t="inlineStr">
        <is>
          <t>D07-DOC-PIM-001</t>
        </is>
      </c>
      <c r="C470" s="10" t="inlineStr">
        <is>
          <t>D07-DOC-PIM-001-T09</t>
        </is>
      </c>
      <c r="D470" s="10" t="inlineStr">
        <is>
          <t>origem</t>
        </is>
      </c>
      <c r="E470" s="10" t="inlineStr">
        <is>
          <t>Definir, validar e manter: Origem</t>
        </is>
      </c>
      <c r="F470" s="10" t="n"/>
      <c r="G470" s="10" t="b">
        <v>1</v>
      </c>
      <c r="H470" s="10" t="b">
        <v>1</v>
      </c>
      <c r="I470" s="10" t="inlineStr">
        <is>
          <t>DERIVED</t>
        </is>
      </c>
      <c r="J470" s="10" t="inlineStr">
        <is>
          <t>PROPOSED</t>
        </is>
      </c>
      <c r="K470" s="10" t="inlineStr">
        <is>
          <t>DERIVED</t>
        </is>
      </c>
      <c r="L470" s="10" t="inlineStr">
        <is>
          <t>baixa</t>
        </is>
      </c>
      <c r="M470" s="10" t="inlineStr">
        <is>
          <t>["D07-DOC-PIM-001.HANDOFF.ORIGEM"]</t>
        </is>
      </c>
    </row>
    <row r="471">
      <c r="A471" s="10" t="inlineStr">
        <is>
          <t>D07-DOC-PIM-001.HANDOFF.DESTINO</t>
        </is>
      </c>
      <c r="B471" s="10" t="inlineStr">
        <is>
          <t>D07-DOC-PIM-001</t>
        </is>
      </c>
      <c r="C471" s="10" t="inlineStr">
        <is>
          <t>D07-DOC-PIM-001-T09</t>
        </is>
      </c>
      <c r="D471" s="10" t="inlineStr">
        <is>
          <t>destino</t>
        </is>
      </c>
      <c r="E471" s="10" t="inlineStr">
        <is>
          <t>Definir, validar e manter: Destino</t>
        </is>
      </c>
      <c r="F471" s="10" t="n"/>
      <c r="G471" s="10" t="b">
        <v>1</v>
      </c>
      <c r="H471" s="10" t="b">
        <v>1</v>
      </c>
      <c r="I471" s="10" t="inlineStr">
        <is>
          <t>DERIVED</t>
        </is>
      </c>
      <c r="J471" s="10" t="inlineStr">
        <is>
          <t>PROPOSED</t>
        </is>
      </c>
      <c r="K471" s="10" t="inlineStr">
        <is>
          <t>DERIVED</t>
        </is>
      </c>
      <c r="L471" s="10" t="inlineStr">
        <is>
          <t>baixa</t>
        </is>
      </c>
      <c r="M471" s="10" t="inlineStr">
        <is>
          <t>["D07-DOC-PIM-001.HANDOFF.DESTINO"]</t>
        </is>
      </c>
    </row>
    <row r="472">
      <c r="A472" s="10" t="inlineStr">
        <is>
          <t>D07-DOC-PIM-001.HANDOFF.CONTRATO</t>
        </is>
      </c>
      <c r="B472" s="10" t="inlineStr">
        <is>
          <t>D07-DOC-PIM-001</t>
        </is>
      </c>
      <c r="C472" s="10" t="inlineStr">
        <is>
          <t>D07-DOC-PIM-001-T09</t>
        </is>
      </c>
      <c r="D472" s="10" t="inlineStr">
        <is>
          <t>contrato</t>
        </is>
      </c>
      <c r="E472" s="10" t="inlineStr">
        <is>
          <t>Definir, validar e manter: Contrato</t>
        </is>
      </c>
      <c r="F472" s="10" t="n"/>
      <c r="G472" s="10" t="b">
        <v>1</v>
      </c>
      <c r="H472" s="10" t="b">
        <v>1</v>
      </c>
      <c r="I472" s="10" t="inlineStr">
        <is>
          <t>DERIVED</t>
        </is>
      </c>
      <c r="J472" s="10" t="inlineStr">
        <is>
          <t>PROPOSED</t>
        </is>
      </c>
      <c r="K472" s="10" t="inlineStr">
        <is>
          <t>DERIVED</t>
        </is>
      </c>
      <c r="L472" s="10" t="inlineStr">
        <is>
          <t>baixa</t>
        </is>
      </c>
      <c r="M472" s="10" t="inlineStr">
        <is>
          <t>["D07-DOC-PIM-001.HANDOFF.CONTRATO"]</t>
        </is>
      </c>
    </row>
    <row r="473">
      <c r="A473" s="10" t="inlineStr">
        <is>
          <t>D07-DOC-PIM-001.VERIFICATION.TESTE</t>
        </is>
      </c>
      <c r="B473" s="10" t="inlineStr">
        <is>
          <t>D07-DOC-PIM-001</t>
        </is>
      </c>
      <c r="C473" s="10" t="inlineStr">
        <is>
          <t>D07-DOC-PIM-001-T10</t>
        </is>
      </c>
      <c r="D473" s="10" t="inlineStr">
        <is>
          <t>teste</t>
        </is>
      </c>
      <c r="E473" s="10" t="inlineStr">
        <is>
          <t>Definir, validar e manter: Teste</t>
        </is>
      </c>
      <c r="F473" s="10" t="n"/>
      <c r="G473" s="10" t="b">
        <v>1</v>
      </c>
      <c r="H473" s="10" t="b">
        <v>1</v>
      </c>
      <c r="I473" s="10" t="inlineStr">
        <is>
          <t>DERIVED</t>
        </is>
      </c>
      <c r="J473" s="10" t="inlineStr">
        <is>
          <t>PROPOSED</t>
        </is>
      </c>
      <c r="K473" s="10" t="inlineStr">
        <is>
          <t>DERIVED</t>
        </is>
      </c>
      <c r="L473" s="10" t="inlineStr">
        <is>
          <t>baixa</t>
        </is>
      </c>
      <c r="M473" s="10" t="inlineStr">
        <is>
          <t>["D07-DOC-PIM-001.VERIFICATION.TESTE"]</t>
        </is>
      </c>
    </row>
    <row r="474">
      <c r="A474" s="10" t="inlineStr">
        <is>
          <t>D07-DOC-PIM-001.VERIFICATION.EVIDENCIA</t>
        </is>
      </c>
      <c r="B474" s="10" t="inlineStr">
        <is>
          <t>D07-DOC-PIM-001</t>
        </is>
      </c>
      <c r="C474" s="10" t="inlineStr">
        <is>
          <t>D07-DOC-PIM-001-T10</t>
        </is>
      </c>
      <c r="D474" s="10" t="inlineStr">
        <is>
          <t>evidencia</t>
        </is>
      </c>
      <c r="E474" s="10" t="inlineStr">
        <is>
          <t>Definir, validar e manter: Evidencia</t>
        </is>
      </c>
      <c r="F474" s="10" t="n"/>
      <c r="G474" s="10" t="b">
        <v>1</v>
      </c>
      <c r="H474" s="10" t="b">
        <v>1</v>
      </c>
      <c r="I474" s="10" t="inlineStr">
        <is>
          <t>DERIVED</t>
        </is>
      </c>
      <c r="J474" s="10" t="inlineStr">
        <is>
          <t>PROPOSED</t>
        </is>
      </c>
      <c r="K474" s="10" t="inlineStr">
        <is>
          <t>DERIVED</t>
        </is>
      </c>
      <c r="L474" s="10" t="inlineStr">
        <is>
          <t>baixa</t>
        </is>
      </c>
      <c r="M474" s="10" t="inlineStr">
        <is>
          <t>["D07-DOC-PIM-001.VERIFICATION.EVIDENCIA"]</t>
        </is>
      </c>
    </row>
    <row r="475">
      <c r="A475" s="10" t="inlineStr">
        <is>
          <t>D07-DOC-PIM-001.ROLLBACK.CONDICAO</t>
        </is>
      </c>
      <c r="B475" s="10" t="inlineStr">
        <is>
          <t>D07-DOC-PIM-001</t>
        </is>
      </c>
      <c r="C475" s="10" t="inlineStr">
        <is>
          <t>D07-DOC-PIM-001-T11</t>
        </is>
      </c>
      <c r="D475" s="10" t="inlineStr">
        <is>
          <t>condicao</t>
        </is>
      </c>
      <c r="E475" s="10" t="inlineStr">
        <is>
          <t>Definir, validar e manter: Condicao</t>
        </is>
      </c>
      <c r="F475" s="10" t="n"/>
      <c r="G475" s="10" t="b">
        <v>1</v>
      </c>
      <c r="H475" s="10" t="b">
        <v>1</v>
      </c>
      <c r="I475" s="10" t="inlineStr">
        <is>
          <t>DERIVED</t>
        </is>
      </c>
      <c r="J475" s="10" t="inlineStr">
        <is>
          <t>PROPOSED</t>
        </is>
      </c>
      <c r="K475" s="10" t="inlineStr">
        <is>
          <t>DERIVED</t>
        </is>
      </c>
      <c r="L475" s="10" t="inlineStr">
        <is>
          <t>baixa</t>
        </is>
      </c>
      <c r="M475" s="10" t="inlineStr">
        <is>
          <t>["D07-DOC-PIM-001.ROLLBACK.CONDICAO"]</t>
        </is>
      </c>
    </row>
    <row r="476">
      <c r="A476" s="10" t="inlineStr">
        <is>
          <t>D07-DOC-PIM-001.ROLLBACK.PROCEDIMENTO</t>
        </is>
      </c>
      <c r="B476" s="10" t="inlineStr">
        <is>
          <t>D07-DOC-PIM-001</t>
        </is>
      </c>
      <c r="C476" s="10" t="inlineStr">
        <is>
          <t>D07-DOC-PIM-001-T11</t>
        </is>
      </c>
      <c r="D476" s="10" t="inlineStr">
        <is>
          <t>procedimento</t>
        </is>
      </c>
      <c r="E476" s="10" t="inlineStr">
        <is>
          <t>Definir, validar e manter: Procedimento</t>
        </is>
      </c>
      <c r="F476" s="10" t="n"/>
      <c r="G476" s="10" t="b">
        <v>1</v>
      </c>
      <c r="H476" s="10" t="b">
        <v>1</v>
      </c>
      <c r="I476" s="10" t="inlineStr">
        <is>
          <t>DERIVED</t>
        </is>
      </c>
      <c r="J476" s="10" t="inlineStr">
        <is>
          <t>PROPOSED</t>
        </is>
      </c>
      <c r="K476" s="10" t="inlineStr">
        <is>
          <t>DERIVED</t>
        </is>
      </c>
      <c r="L476" s="10" t="inlineStr">
        <is>
          <t>baixa</t>
        </is>
      </c>
      <c r="M476" s="10" t="inlineStr">
        <is>
          <t>["D07-DOC-PIM-001.ROLLBACK.PROCEDIMENTO"]</t>
        </is>
      </c>
    </row>
    <row r="477">
      <c r="A477" s="10" t="inlineStr">
        <is>
          <t>D08-DOC-MOP-001.OPERATING_MODEL.SERVICOS</t>
        </is>
      </c>
      <c r="B477" s="10" t="inlineStr">
        <is>
          <t>D08-DOC-MOP-001</t>
        </is>
      </c>
      <c r="C477" s="10" t="inlineStr">
        <is>
          <t>D08-DOC-MOP-001-T01</t>
        </is>
      </c>
      <c r="D477" s="10" t="inlineStr">
        <is>
          <t>servicos</t>
        </is>
      </c>
      <c r="E477" s="10" t="inlineStr">
        <is>
          <t>Definir, validar e manter: Servicos</t>
        </is>
      </c>
      <c r="F477" s="10" t="n"/>
      <c r="G477" s="10" t="b">
        <v>1</v>
      </c>
      <c r="H477" s="10" t="b">
        <v>1</v>
      </c>
      <c r="I477" s="10" t="inlineStr">
        <is>
          <t>DERIVED</t>
        </is>
      </c>
      <c r="J477" s="10" t="inlineStr">
        <is>
          <t>PROPOSED</t>
        </is>
      </c>
      <c r="K477" s="10" t="inlineStr">
        <is>
          <t>DERIVED</t>
        </is>
      </c>
      <c r="L477" s="10" t="inlineStr">
        <is>
          <t>baixa</t>
        </is>
      </c>
      <c r="M477" s="10" t="inlineStr">
        <is>
          <t>["D08-DOC-MOP-001.OPERATING_MODEL.SERVICOS"]</t>
        </is>
      </c>
    </row>
    <row r="478">
      <c r="A478" s="10" t="inlineStr">
        <is>
          <t>D08-DOC-MOP-001.OPERATING_MODEL.PROCESSOS</t>
        </is>
      </c>
      <c r="B478" s="10" t="inlineStr">
        <is>
          <t>D08-DOC-MOP-001</t>
        </is>
      </c>
      <c r="C478" s="10" t="inlineStr">
        <is>
          <t>D08-DOC-MOP-001-T01</t>
        </is>
      </c>
      <c r="D478" s="10" t="inlineStr">
        <is>
          <t>processos</t>
        </is>
      </c>
      <c r="E478" s="10" t="inlineStr">
        <is>
          <t>Definir, validar e manter: Processos</t>
        </is>
      </c>
      <c r="F478" s="10" t="n"/>
      <c r="G478" s="10" t="b">
        <v>1</v>
      </c>
      <c r="H478" s="10" t="b">
        <v>1</v>
      </c>
      <c r="I478" s="10" t="inlineStr">
        <is>
          <t>FOUND</t>
        </is>
      </c>
      <c r="J478" s="10" t="inlineStr">
        <is>
          <t>DIRECT</t>
        </is>
      </c>
      <c r="K478" s="10" t="inlineStr">
        <is>
          <t>FOUND</t>
        </is>
      </c>
      <c r="L478" s="10" t="inlineStr">
        <is>
          <t>alta</t>
        </is>
      </c>
      <c r="M478" s="10" t="inlineStr">
        <is>
          <t>["D08-DOC-MOP-001.OPERATING_MODEL.PROCESSOS"]</t>
        </is>
      </c>
    </row>
    <row r="479">
      <c r="A479" s="10" t="inlineStr">
        <is>
          <t>D08-DOC-MOP-001.PROCESS_INVENTORY.PROCESSO</t>
        </is>
      </c>
      <c r="B479" s="10" t="inlineStr">
        <is>
          <t>D08-DOC-MOP-001</t>
        </is>
      </c>
      <c r="C479" s="10" t="inlineStr">
        <is>
          <t>D08-DOC-MOP-001-T02</t>
        </is>
      </c>
      <c r="D479" s="10" t="inlineStr">
        <is>
          <t>processo</t>
        </is>
      </c>
      <c r="E479" s="10" t="inlineStr">
        <is>
          <t>Definir, validar e manter: Processo</t>
        </is>
      </c>
      <c r="F479" s="10" t="n"/>
      <c r="G479" s="10" t="b">
        <v>1</v>
      </c>
      <c r="H479" s="10" t="b">
        <v>1</v>
      </c>
      <c r="I479" s="10" t="inlineStr">
        <is>
          <t>FOUND</t>
        </is>
      </c>
      <c r="J479" s="10" t="inlineStr">
        <is>
          <t>DIRECT</t>
        </is>
      </c>
      <c r="K479" s="10" t="inlineStr">
        <is>
          <t>FOUND</t>
        </is>
      </c>
      <c r="L479" s="10" t="inlineStr">
        <is>
          <t>alta</t>
        </is>
      </c>
      <c r="M479" s="10" t="inlineStr">
        <is>
          <t>["D08-DOC-MOP-001.PROCESS_INVENTORY.PROCESSO"]</t>
        </is>
      </c>
    </row>
    <row r="480">
      <c r="A480" s="10" t="inlineStr">
        <is>
          <t>D08-DOC-MOP-001.PROCESS_INVENTORY.OBJETIVO</t>
        </is>
      </c>
      <c r="B480" s="10" t="inlineStr">
        <is>
          <t>D08-DOC-MOP-001</t>
        </is>
      </c>
      <c r="C480" s="10" t="inlineStr">
        <is>
          <t>D08-DOC-MOP-001-T02</t>
        </is>
      </c>
      <c r="D480" s="10" t="inlineStr">
        <is>
          <t>objetivo</t>
        </is>
      </c>
      <c r="E480" s="10" t="inlineStr">
        <is>
          <t>Definir, validar e manter: Objetivo</t>
        </is>
      </c>
      <c r="F480" s="10" t="n"/>
      <c r="G480" s="10" t="b">
        <v>1</v>
      </c>
      <c r="H480" s="10" t="b">
        <v>1</v>
      </c>
      <c r="I480" s="10" t="inlineStr">
        <is>
          <t>DERIVED</t>
        </is>
      </c>
      <c r="J480" s="10" t="inlineStr">
        <is>
          <t>PROPOSED</t>
        </is>
      </c>
      <c r="K480" s="10" t="inlineStr">
        <is>
          <t>DERIVED</t>
        </is>
      </c>
      <c r="L480" s="10" t="inlineStr">
        <is>
          <t>baixa</t>
        </is>
      </c>
      <c r="M480" s="10" t="inlineStr">
        <is>
          <t>["D08-DOC-MOP-001.PROCESS_INVENTORY.OBJETIVO"]</t>
        </is>
      </c>
    </row>
    <row r="481">
      <c r="A481" s="10" t="inlineStr">
        <is>
          <t>D08-DOC-MOP-001.PROCESS_INVENTORY.OWNER</t>
        </is>
      </c>
      <c r="B481" s="10" t="inlineStr">
        <is>
          <t>D08-DOC-MOP-001</t>
        </is>
      </c>
      <c r="C481" s="10" t="inlineStr">
        <is>
          <t>D08-DOC-MOP-001-T02</t>
        </is>
      </c>
      <c r="D481" s="10" t="inlineStr">
        <is>
          <t>owner</t>
        </is>
      </c>
      <c r="E481" s="10" t="inlineStr">
        <is>
          <t>Definir, validar e manter: Owner</t>
        </is>
      </c>
      <c r="F481" s="10" t="n"/>
      <c r="G481" s="10" t="b">
        <v>1</v>
      </c>
      <c r="H481" s="10" t="b">
        <v>1</v>
      </c>
      <c r="I481" s="10" t="inlineStr">
        <is>
          <t>DERIVED</t>
        </is>
      </c>
      <c r="J481" s="10" t="inlineStr">
        <is>
          <t>PROPOSED</t>
        </is>
      </c>
      <c r="K481" s="10" t="inlineStr">
        <is>
          <t>DERIVED</t>
        </is>
      </c>
      <c r="L481" s="10" t="inlineStr">
        <is>
          <t>baixa</t>
        </is>
      </c>
      <c r="M481" s="10" t="inlineStr">
        <is>
          <t>["D08-DOC-MOP-001.PROCESS_INVENTORY.OWNER"]</t>
        </is>
      </c>
    </row>
    <row r="482">
      <c r="A482" s="10" t="inlineStr">
        <is>
          <t>D08-DOC-MOP-001.INPUTS.ENTRADA</t>
        </is>
      </c>
      <c r="B482" s="10" t="inlineStr">
        <is>
          <t>D08-DOC-MOP-001</t>
        </is>
      </c>
      <c r="C482" s="10" t="inlineStr">
        <is>
          <t>D08-DOC-MOP-001-T03</t>
        </is>
      </c>
      <c r="D482" s="10" t="inlineStr">
        <is>
          <t>entrada</t>
        </is>
      </c>
      <c r="E482" s="10" t="inlineStr">
        <is>
          <t>Definir, validar e manter: Entrada</t>
        </is>
      </c>
      <c r="F482" s="10" t="n"/>
      <c r="G482" s="10" t="b">
        <v>1</v>
      </c>
      <c r="H482" s="10" t="b">
        <v>1</v>
      </c>
      <c r="I482" s="10" t="inlineStr">
        <is>
          <t>DERIVED</t>
        </is>
      </c>
      <c r="J482" s="10" t="inlineStr">
        <is>
          <t>PROPOSED</t>
        </is>
      </c>
      <c r="K482" s="10" t="inlineStr">
        <is>
          <t>DERIVED</t>
        </is>
      </c>
      <c r="L482" s="10" t="inlineStr">
        <is>
          <t>baixa</t>
        </is>
      </c>
      <c r="M482" s="10" t="inlineStr">
        <is>
          <t>["D08-DOC-MOP-001.INPUTS.ENTRADA"]</t>
        </is>
      </c>
    </row>
    <row r="483">
      <c r="A483" s="10" t="inlineStr">
        <is>
          <t>D08-DOC-MOP-001.INPUTS.ORIGEM</t>
        </is>
      </c>
      <c r="B483" s="10" t="inlineStr">
        <is>
          <t>D08-DOC-MOP-001</t>
        </is>
      </c>
      <c r="C483" s="10" t="inlineStr">
        <is>
          <t>D08-DOC-MOP-001-T03</t>
        </is>
      </c>
      <c r="D483" s="10" t="inlineStr">
        <is>
          <t>origem</t>
        </is>
      </c>
      <c r="E483" s="10" t="inlineStr">
        <is>
          <t>Definir, validar e manter: Origem</t>
        </is>
      </c>
      <c r="F483" s="10" t="n"/>
      <c r="G483" s="10" t="b">
        <v>1</v>
      </c>
      <c r="H483" s="10" t="b">
        <v>1</v>
      </c>
      <c r="I483" s="10" t="inlineStr">
        <is>
          <t>DERIVED</t>
        </is>
      </c>
      <c r="J483" s="10" t="inlineStr">
        <is>
          <t>PROPOSED</t>
        </is>
      </c>
      <c r="K483" s="10" t="inlineStr">
        <is>
          <t>DERIVED</t>
        </is>
      </c>
      <c r="L483" s="10" t="inlineStr">
        <is>
          <t>baixa</t>
        </is>
      </c>
      <c r="M483" s="10" t="inlineStr">
        <is>
          <t>["D08-DOC-MOP-001.INPUTS.ORIGEM"]</t>
        </is>
      </c>
    </row>
    <row r="484">
      <c r="A484" s="10" t="inlineStr">
        <is>
          <t>D08-DOC-MOP-001.PROCEDURES.ETAPAS</t>
        </is>
      </c>
      <c r="B484" s="10" t="inlineStr">
        <is>
          <t>D08-DOC-MOP-001</t>
        </is>
      </c>
      <c r="C484" s="10" t="inlineStr">
        <is>
          <t>D08-DOC-MOP-001-T04</t>
        </is>
      </c>
      <c r="D484" s="10" t="inlineStr">
        <is>
          <t>etapas</t>
        </is>
      </c>
      <c r="E484" s="10" t="inlineStr">
        <is>
          <t>Definir, validar e manter: Etapas</t>
        </is>
      </c>
      <c r="F484" s="10" t="n"/>
      <c r="G484" s="10" t="b">
        <v>1</v>
      </c>
      <c r="H484" s="10" t="b">
        <v>1</v>
      </c>
      <c r="I484" s="10" t="inlineStr">
        <is>
          <t>DERIVED</t>
        </is>
      </c>
      <c r="J484" s="10" t="inlineStr">
        <is>
          <t>PROPOSED</t>
        </is>
      </c>
      <c r="K484" s="10" t="inlineStr">
        <is>
          <t>DERIVED</t>
        </is>
      </c>
      <c r="L484" s="10" t="inlineStr">
        <is>
          <t>baixa</t>
        </is>
      </c>
      <c r="M484" s="10" t="inlineStr">
        <is>
          <t>["D08-DOC-MOP-001.PROCEDURES.ETAPAS"]</t>
        </is>
      </c>
    </row>
    <row r="485">
      <c r="A485" s="10" t="inlineStr">
        <is>
          <t>D08-DOC-MOP-001.PROCEDURES.REGRA</t>
        </is>
      </c>
      <c r="B485" s="10" t="inlineStr">
        <is>
          <t>D08-DOC-MOP-001</t>
        </is>
      </c>
      <c r="C485" s="10" t="inlineStr">
        <is>
          <t>D08-DOC-MOP-001-T04</t>
        </is>
      </c>
      <c r="D485" s="10" t="inlineStr">
        <is>
          <t>regra</t>
        </is>
      </c>
      <c r="E485" s="10" t="inlineStr">
        <is>
          <t>Definir, validar e manter: Regra</t>
        </is>
      </c>
      <c r="F485" s="10" t="n"/>
      <c r="G485" s="10" t="b">
        <v>1</v>
      </c>
      <c r="H485" s="10" t="b">
        <v>1</v>
      </c>
      <c r="I485" s="10" t="inlineStr">
        <is>
          <t>DERIVED</t>
        </is>
      </c>
      <c r="J485" s="10" t="inlineStr">
        <is>
          <t>PROPOSED</t>
        </is>
      </c>
      <c r="K485" s="10" t="inlineStr">
        <is>
          <t>DERIVED</t>
        </is>
      </c>
      <c r="L485" s="10" t="inlineStr">
        <is>
          <t>baixa</t>
        </is>
      </c>
      <c r="M485" s="10" t="inlineStr">
        <is>
          <t>["D08-DOC-MOP-001.PROCEDURES.REGRA"]</t>
        </is>
      </c>
    </row>
    <row r="486">
      <c r="A486" s="10" t="inlineStr">
        <is>
          <t>D08-DOC-MOP-001.OUTPUTS.SAIDA</t>
        </is>
      </c>
      <c r="B486" s="10" t="inlineStr">
        <is>
          <t>D08-DOC-MOP-001</t>
        </is>
      </c>
      <c r="C486" s="10" t="inlineStr">
        <is>
          <t>D08-DOC-MOP-001-T05</t>
        </is>
      </c>
      <c r="D486" s="10" t="inlineStr">
        <is>
          <t>saida</t>
        </is>
      </c>
      <c r="E486" s="10" t="inlineStr">
        <is>
          <t>Definir, validar e manter: Saida</t>
        </is>
      </c>
      <c r="F486" s="10" t="n"/>
      <c r="G486" s="10" t="b">
        <v>1</v>
      </c>
      <c r="H486" s="10" t="b">
        <v>1</v>
      </c>
      <c r="I486" s="10" t="inlineStr">
        <is>
          <t>DERIVED</t>
        </is>
      </c>
      <c r="J486" s="10" t="inlineStr">
        <is>
          <t>PROPOSED</t>
        </is>
      </c>
      <c r="K486" s="10" t="inlineStr">
        <is>
          <t>DERIVED</t>
        </is>
      </c>
      <c r="L486" s="10" t="inlineStr">
        <is>
          <t>baixa</t>
        </is>
      </c>
      <c r="M486" s="10" t="inlineStr">
        <is>
          <t>["D08-DOC-MOP-001.OUTPUTS.SAIDA"]</t>
        </is>
      </c>
    </row>
    <row r="487">
      <c r="A487" s="10" t="inlineStr">
        <is>
          <t>D08-DOC-MOP-001.OUTPUTS.CONSUMIDOR</t>
        </is>
      </c>
      <c r="B487" s="10" t="inlineStr">
        <is>
          <t>D08-DOC-MOP-001</t>
        </is>
      </c>
      <c r="C487" s="10" t="inlineStr">
        <is>
          <t>D08-DOC-MOP-001-T05</t>
        </is>
      </c>
      <c r="D487" s="10" t="inlineStr">
        <is>
          <t>consumidor</t>
        </is>
      </c>
      <c r="E487" s="10" t="inlineStr">
        <is>
          <t>Definir, validar e manter: Consumidor</t>
        </is>
      </c>
      <c r="F487" s="10" t="n"/>
      <c r="G487" s="10" t="b">
        <v>1</v>
      </c>
      <c r="H487" s="10" t="b">
        <v>1</v>
      </c>
      <c r="I487" s="10" t="inlineStr">
        <is>
          <t>DERIVED</t>
        </is>
      </c>
      <c r="J487" s="10" t="inlineStr">
        <is>
          <t>PROPOSED</t>
        </is>
      </c>
      <c r="K487" s="10" t="inlineStr">
        <is>
          <t>DERIVED</t>
        </is>
      </c>
      <c r="L487" s="10" t="inlineStr">
        <is>
          <t>baixa</t>
        </is>
      </c>
      <c r="M487" s="10" t="inlineStr">
        <is>
          <t>["D08-DOC-MOP-001.OUTPUTS.CONSUMIDOR"]</t>
        </is>
      </c>
    </row>
    <row r="488">
      <c r="A488" s="10" t="inlineStr">
        <is>
          <t>D08-DOC-MOP-001.ROLES.EXECUTOR</t>
        </is>
      </c>
      <c r="B488" s="10" t="inlineStr">
        <is>
          <t>D08-DOC-MOP-001</t>
        </is>
      </c>
      <c r="C488" s="10" t="inlineStr">
        <is>
          <t>D08-DOC-MOP-001-T06</t>
        </is>
      </c>
      <c r="D488" s="10" t="inlineStr">
        <is>
          <t>executor</t>
        </is>
      </c>
      <c r="E488" s="10" t="inlineStr">
        <is>
          <t>Definir, validar e manter: Executor</t>
        </is>
      </c>
      <c r="F488" s="10" t="n"/>
      <c r="G488" s="10" t="b">
        <v>1</v>
      </c>
      <c r="H488" s="10" t="b">
        <v>1</v>
      </c>
      <c r="I488" s="10" t="inlineStr">
        <is>
          <t>DERIVED</t>
        </is>
      </c>
      <c r="J488" s="10" t="inlineStr">
        <is>
          <t>PROPOSED</t>
        </is>
      </c>
      <c r="K488" s="10" t="inlineStr">
        <is>
          <t>DERIVED</t>
        </is>
      </c>
      <c r="L488" s="10" t="inlineStr">
        <is>
          <t>baixa</t>
        </is>
      </c>
      <c r="M488" s="10" t="inlineStr">
        <is>
          <t>["D08-DOC-MOP-001.ROLES.EXECUTOR"]</t>
        </is>
      </c>
    </row>
    <row r="489">
      <c r="A489" s="10" t="inlineStr">
        <is>
          <t>D08-DOC-MOP-001.ROLES.APROVADOR</t>
        </is>
      </c>
      <c r="B489" s="10" t="inlineStr">
        <is>
          <t>D08-DOC-MOP-001</t>
        </is>
      </c>
      <c r="C489" s="10" t="inlineStr">
        <is>
          <t>D08-DOC-MOP-001-T06</t>
        </is>
      </c>
      <c r="D489" s="10" t="inlineStr">
        <is>
          <t>aprovador</t>
        </is>
      </c>
      <c r="E489" s="10" t="inlineStr">
        <is>
          <t>Definir, validar e manter: Aprovador</t>
        </is>
      </c>
      <c r="F489" s="10" t="n"/>
      <c r="G489" s="10" t="b">
        <v>1</v>
      </c>
      <c r="H489" s="10" t="b">
        <v>1</v>
      </c>
      <c r="I489" s="10" t="inlineStr">
        <is>
          <t>EXTERNAL</t>
        </is>
      </c>
      <c r="J489" s="10" t="inlineStr">
        <is>
          <t>EXTERNAL_EVIDENCE</t>
        </is>
      </c>
      <c r="K489" s="10" t="inlineStr">
        <is>
          <t>EXTERNAL</t>
        </is>
      </c>
      <c r="L489" s="10" t="inlineStr">
        <is>
          <t>media</t>
        </is>
      </c>
      <c r="M489" s="10" t="inlineStr">
        <is>
          <t>["D08-DOC-MOP-001.ROLES.APROVADOR"]</t>
        </is>
      </c>
    </row>
    <row r="490">
      <c r="A490" s="10" t="inlineStr">
        <is>
          <t>D08-DOC-MOP-001.CONTROLS.CONTROLE</t>
        </is>
      </c>
      <c r="B490" s="10" t="inlineStr">
        <is>
          <t>D08-DOC-MOP-001</t>
        </is>
      </c>
      <c r="C490" s="10" t="inlineStr">
        <is>
          <t>D08-DOC-MOP-001-T07</t>
        </is>
      </c>
      <c r="D490" s="10" t="inlineStr">
        <is>
          <t>controle</t>
        </is>
      </c>
      <c r="E490" s="10" t="inlineStr">
        <is>
          <t>Definir, validar e manter: Controle</t>
        </is>
      </c>
      <c r="F490" s="10" t="n"/>
      <c r="G490" s="10" t="b">
        <v>1</v>
      </c>
      <c r="H490" s="10" t="b">
        <v>1</v>
      </c>
      <c r="I490" s="10" t="inlineStr">
        <is>
          <t>DERIVED</t>
        </is>
      </c>
      <c r="J490" s="10" t="inlineStr">
        <is>
          <t>PROPOSED</t>
        </is>
      </c>
      <c r="K490" s="10" t="inlineStr">
        <is>
          <t>DERIVED</t>
        </is>
      </c>
      <c r="L490" s="10" t="inlineStr">
        <is>
          <t>baixa</t>
        </is>
      </c>
      <c r="M490" s="10" t="inlineStr">
        <is>
          <t>["D08-DOC-MOP-001.CONTROLS.CONTROLE"]</t>
        </is>
      </c>
    </row>
    <row r="491">
      <c r="A491" s="10" t="inlineStr">
        <is>
          <t>D08-DOC-MOP-001.CONTROLS.FREQUENCIA</t>
        </is>
      </c>
      <c r="B491" s="10" t="inlineStr">
        <is>
          <t>D08-DOC-MOP-001</t>
        </is>
      </c>
      <c r="C491" s="10" t="inlineStr">
        <is>
          <t>D08-DOC-MOP-001-T07</t>
        </is>
      </c>
      <c r="D491" s="10" t="inlineStr">
        <is>
          <t>frequencia</t>
        </is>
      </c>
      <c r="E491" s="10" t="inlineStr">
        <is>
          <t>Definir, validar e manter: Frequencia</t>
        </is>
      </c>
      <c r="F491" s="10" t="n"/>
      <c r="G491" s="10" t="b">
        <v>1</v>
      </c>
      <c r="H491" s="10" t="b">
        <v>1</v>
      </c>
      <c r="I491" s="10" t="inlineStr">
        <is>
          <t>DERIVED</t>
        </is>
      </c>
      <c r="J491" s="10" t="inlineStr">
        <is>
          <t>PROPOSED</t>
        </is>
      </c>
      <c r="K491" s="10" t="inlineStr">
        <is>
          <t>DERIVED</t>
        </is>
      </c>
      <c r="L491" s="10" t="inlineStr">
        <is>
          <t>baixa</t>
        </is>
      </c>
      <c r="M491" s="10" t="inlineStr">
        <is>
          <t>["D08-DOC-MOP-001.CONTROLS.FREQUENCIA"]</t>
        </is>
      </c>
    </row>
    <row r="492">
      <c r="A492" s="10" t="inlineStr">
        <is>
          <t>D08-DOC-MOP-001.SLA.SERVICO</t>
        </is>
      </c>
      <c r="B492" s="10" t="inlineStr">
        <is>
          <t>D08-DOC-MOP-001</t>
        </is>
      </c>
      <c r="C492" s="10" t="inlineStr">
        <is>
          <t>D08-DOC-MOP-001-T08</t>
        </is>
      </c>
      <c r="D492" s="10" t="inlineStr">
        <is>
          <t>servico</t>
        </is>
      </c>
      <c r="E492" s="10" t="inlineStr">
        <is>
          <t>Definir, validar e manter: Servico</t>
        </is>
      </c>
      <c r="F492" s="10" t="n"/>
      <c r="G492" s="10" t="b">
        <v>1</v>
      </c>
      <c r="H492" s="10" t="b">
        <v>1</v>
      </c>
      <c r="I492" s="10" t="inlineStr">
        <is>
          <t>DERIVED</t>
        </is>
      </c>
      <c r="J492" s="10" t="inlineStr">
        <is>
          <t>PROPOSED</t>
        </is>
      </c>
      <c r="K492" s="10" t="inlineStr">
        <is>
          <t>DERIVED</t>
        </is>
      </c>
      <c r="L492" s="10" t="inlineStr">
        <is>
          <t>baixa</t>
        </is>
      </c>
      <c r="M492" s="10" t="inlineStr">
        <is>
          <t>["D08-DOC-MOP-001.SLA.SERVICO"]</t>
        </is>
      </c>
    </row>
    <row r="493">
      <c r="A493" s="10" t="inlineStr">
        <is>
          <t>D08-DOC-MOP-001.SLA.META</t>
        </is>
      </c>
      <c r="B493" s="10" t="inlineStr">
        <is>
          <t>D08-DOC-MOP-001</t>
        </is>
      </c>
      <c r="C493" s="10" t="inlineStr">
        <is>
          <t>D08-DOC-MOP-001-T08</t>
        </is>
      </c>
      <c r="D493" s="10" t="inlineStr">
        <is>
          <t>meta</t>
        </is>
      </c>
      <c r="E493" s="10" t="inlineStr">
        <is>
          <t>Definir, validar e manter: Meta</t>
        </is>
      </c>
      <c r="F493" s="10" t="n"/>
      <c r="G493" s="10" t="b">
        <v>1</v>
      </c>
      <c r="H493" s="10" t="b">
        <v>1</v>
      </c>
      <c r="I493" s="10" t="inlineStr">
        <is>
          <t>DERIVED</t>
        </is>
      </c>
      <c r="J493" s="10" t="inlineStr">
        <is>
          <t>PROPOSED</t>
        </is>
      </c>
      <c r="K493" s="10" t="inlineStr">
        <is>
          <t>DERIVED</t>
        </is>
      </c>
      <c r="L493" s="10" t="inlineStr">
        <is>
          <t>baixa</t>
        </is>
      </c>
      <c r="M493" s="10" t="inlineStr">
        <is>
          <t>["D08-DOC-MOP-001.SLA.META"]</t>
        </is>
      </c>
    </row>
    <row r="494">
      <c r="A494" s="10" t="inlineStr">
        <is>
          <t>D08-DOC-MOP-001.HANDOFFS.ORIGEM</t>
        </is>
      </c>
      <c r="B494" s="10" t="inlineStr">
        <is>
          <t>D08-DOC-MOP-001</t>
        </is>
      </c>
      <c r="C494" s="10" t="inlineStr">
        <is>
          <t>D08-DOC-MOP-001-T09</t>
        </is>
      </c>
      <c r="D494" s="10" t="inlineStr">
        <is>
          <t>origem</t>
        </is>
      </c>
      <c r="E494" s="10" t="inlineStr">
        <is>
          <t>Definir, validar e manter: Origem</t>
        </is>
      </c>
      <c r="F494" s="10" t="n"/>
      <c r="G494" s="10" t="b">
        <v>1</v>
      </c>
      <c r="H494" s="10" t="b">
        <v>1</v>
      </c>
      <c r="I494" s="10" t="inlineStr">
        <is>
          <t>DERIVED</t>
        </is>
      </c>
      <c r="J494" s="10" t="inlineStr">
        <is>
          <t>PROPOSED</t>
        </is>
      </c>
      <c r="K494" s="10" t="inlineStr">
        <is>
          <t>DERIVED</t>
        </is>
      </c>
      <c r="L494" s="10" t="inlineStr">
        <is>
          <t>baixa</t>
        </is>
      </c>
      <c r="M494" s="10" t="inlineStr">
        <is>
          <t>["D08-DOC-MOP-001.HANDOFFS.ORIGEM"]</t>
        </is>
      </c>
    </row>
    <row r="495">
      <c r="A495" s="10" t="inlineStr">
        <is>
          <t>D08-DOC-MOP-001.HANDOFFS.DESTINO</t>
        </is>
      </c>
      <c r="B495" s="10" t="inlineStr">
        <is>
          <t>D08-DOC-MOP-001</t>
        </is>
      </c>
      <c r="C495" s="10" t="inlineStr">
        <is>
          <t>D08-DOC-MOP-001-T09</t>
        </is>
      </c>
      <c r="D495" s="10" t="inlineStr">
        <is>
          <t>destino</t>
        </is>
      </c>
      <c r="E495" s="10" t="inlineStr">
        <is>
          <t>Definir, validar e manter: Destino</t>
        </is>
      </c>
      <c r="F495" s="10" t="n"/>
      <c r="G495" s="10" t="b">
        <v>1</v>
      </c>
      <c r="H495" s="10" t="b">
        <v>1</v>
      </c>
      <c r="I495" s="10" t="inlineStr">
        <is>
          <t>DERIVED</t>
        </is>
      </c>
      <c r="J495" s="10" t="inlineStr">
        <is>
          <t>PROPOSED</t>
        </is>
      </c>
      <c r="K495" s="10" t="inlineStr">
        <is>
          <t>DERIVED</t>
        </is>
      </c>
      <c r="L495" s="10" t="inlineStr">
        <is>
          <t>baixa</t>
        </is>
      </c>
      <c r="M495" s="10" t="inlineStr">
        <is>
          <t>["D08-DOC-MOP-001.HANDOFFS.DESTINO"]</t>
        </is>
      </c>
    </row>
    <row r="496">
      <c r="A496" s="10" t="inlineStr">
        <is>
          <t>D08-DOC-MOP-001.INCIDENTS.TIPO</t>
        </is>
      </c>
      <c r="B496" s="10" t="inlineStr">
        <is>
          <t>D08-DOC-MOP-001</t>
        </is>
      </c>
      <c r="C496" s="10" t="inlineStr">
        <is>
          <t>D08-DOC-MOP-001-T10</t>
        </is>
      </c>
      <c r="D496" s="10" t="inlineStr">
        <is>
          <t>tipo</t>
        </is>
      </c>
      <c r="E496" s="10" t="inlineStr">
        <is>
          <t>Definir, validar e manter: Tipo</t>
        </is>
      </c>
      <c r="F496" s="10" t="n"/>
      <c r="G496" s="10" t="b">
        <v>1</v>
      </c>
      <c r="H496" s="10" t="b">
        <v>1</v>
      </c>
      <c r="I496" s="10" t="inlineStr">
        <is>
          <t>DERIVED</t>
        </is>
      </c>
      <c r="J496" s="10" t="inlineStr">
        <is>
          <t>PROPOSED</t>
        </is>
      </c>
      <c r="K496" s="10" t="inlineStr">
        <is>
          <t>DERIVED</t>
        </is>
      </c>
      <c r="L496" s="10" t="inlineStr">
        <is>
          <t>baixa</t>
        </is>
      </c>
      <c r="M496" s="10" t="inlineStr">
        <is>
          <t>["D08-DOC-MOP-001.INCIDENTS.TIPO"]</t>
        </is>
      </c>
    </row>
    <row r="497">
      <c r="A497" s="10" t="inlineStr">
        <is>
          <t>D08-DOC-MOP-001.INCIDENTS.RESPOSTA</t>
        </is>
      </c>
      <c r="B497" s="10" t="inlineStr">
        <is>
          <t>D08-DOC-MOP-001</t>
        </is>
      </c>
      <c r="C497" s="10" t="inlineStr">
        <is>
          <t>D08-DOC-MOP-001-T10</t>
        </is>
      </c>
      <c r="D497" s="10" t="inlineStr">
        <is>
          <t>resposta</t>
        </is>
      </c>
      <c r="E497" s="10" t="inlineStr">
        <is>
          <t>Definir, validar e manter: Resposta</t>
        </is>
      </c>
      <c r="F497" s="10" t="n"/>
      <c r="G497" s="10" t="b">
        <v>1</v>
      </c>
      <c r="H497" s="10" t="b">
        <v>1</v>
      </c>
      <c r="I497" s="10" t="inlineStr">
        <is>
          <t>DERIVED</t>
        </is>
      </c>
      <c r="J497" s="10" t="inlineStr">
        <is>
          <t>PROPOSED</t>
        </is>
      </c>
      <c r="K497" s="10" t="inlineStr">
        <is>
          <t>DERIVED</t>
        </is>
      </c>
      <c r="L497" s="10" t="inlineStr">
        <is>
          <t>baixa</t>
        </is>
      </c>
      <c r="M497" s="10" t="inlineStr">
        <is>
          <t>["D08-DOC-MOP-001.INCIDENTS.RESPOSTA"]</t>
        </is>
      </c>
    </row>
    <row r="498">
      <c r="A498" s="10" t="inlineStr">
        <is>
          <t>D08-DOC-MOP-001.CONTINUITY.BACKUP</t>
        </is>
      </c>
      <c r="B498" s="10" t="inlineStr">
        <is>
          <t>D08-DOC-MOP-001</t>
        </is>
      </c>
      <c r="C498" s="10" t="inlineStr">
        <is>
          <t>D08-DOC-MOP-001-T11</t>
        </is>
      </c>
      <c r="D498" s="10" t="inlineStr">
        <is>
          <t>backup</t>
        </is>
      </c>
      <c r="E498" s="10" t="inlineStr">
        <is>
          <t>Definir, validar e manter: Backup</t>
        </is>
      </c>
      <c r="F498" s="10" t="n"/>
      <c r="G498" s="10" t="b">
        <v>1</v>
      </c>
      <c r="H498" s="10" t="b">
        <v>1</v>
      </c>
      <c r="I498" s="10" t="inlineStr">
        <is>
          <t>EXTERNAL</t>
        </is>
      </c>
      <c r="J498" s="10" t="inlineStr">
        <is>
          <t>EXTERNAL_EVIDENCE</t>
        </is>
      </c>
      <c r="K498" s="10" t="inlineStr">
        <is>
          <t>EXTERNAL</t>
        </is>
      </c>
      <c r="L498" s="10" t="inlineStr">
        <is>
          <t>media</t>
        </is>
      </c>
      <c r="M498" s="10" t="inlineStr">
        <is>
          <t>["D08-DOC-MOP-001.CONTINUITY.BACKUP"]</t>
        </is>
      </c>
    </row>
    <row r="499">
      <c r="A499" s="10" t="inlineStr">
        <is>
          <t>D08-DOC-MOP-001.CONTINUITY.CONTINGENCIA</t>
        </is>
      </c>
      <c r="B499" s="10" t="inlineStr">
        <is>
          <t>D08-DOC-MOP-001</t>
        </is>
      </c>
      <c r="C499" s="10" t="inlineStr">
        <is>
          <t>D08-DOC-MOP-001-T11</t>
        </is>
      </c>
      <c r="D499" s="10" t="inlineStr">
        <is>
          <t>contingencia</t>
        </is>
      </c>
      <c r="E499" s="10" t="inlineStr">
        <is>
          <t>Definir, validar e manter: Contingencia</t>
        </is>
      </c>
      <c r="F499" s="10" t="n"/>
      <c r="G499" s="10" t="b">
        <v>1</v>
      </c>
      <c r="H499" s="10" t="b">
        <v>1</v>
      </c>
      <c r="I499" s="10" t="inlineStr">
        <is>
          <t>EXTERNAL</t>
        </is>
      </c>
      <c r="J499" s="10" t="inlineStr">
        <is>
          <t>EXTERNAL_EVIDENCE</t>
        </is>
      </c>
      <c r="K499" s="10" t="inlineStr">
        <is>
          <t>EXTERNAL</t>
        </is>
      </c>
      <c r="L499" s="10" t="inlineStr">
        <is>
          <t>media</t>
        </is>
      </c>
      <c r="M499" s="10" t="inlineStr">
        <is>
          <t>["D08-DOC-MOP-001.CONTINUITY.CONTINGENCIA"]</t>
        </is>
      </c>
    </row>
    <row r="500">
      <c r="A500" s="10" t="inlineStr">
        <is>
          <t>D08-DOC-MOP-001.METRICS.VOLUME</t>
        </is>
      </c>
      <c r="B500" s="10" t="inlineStr">
        <is>
          <t>D08-DOC-MOP-001</t>
        </is>
      </c>
      <c r="C500" s="10" t="inlineStr">
        <is>
          <t>D08-DOC-MOP-001-T12</t>
        </is>
      </c>
      <c r="D500" s="10" t="inlineStr">
        <is>
          <t>volume</t>
        </is>
      </c>
      <c r="E500" s="10" t="inlineStr">
        <is>
          <t>Definir, validar e manter: Volume</t>
        </is>
      </c>
      <c r="F500" s="10" t="n"/>
      <c r="G500" s="10" t="b">
        <v>1</v>
      </c>
      <c r="H500" s="10" t="b">
        <v>1</v>
      </c>
      <c r="I500" s="10" t="inlineStr">
        <is>
          <t>DERIVED</t>
        </is>
      </c>
      <c r="J500" s="10" t="inlineStr">
        <is>
          <t>PROPOSED</t>
        </is>
      </c>
      <c r="K500" s="10" t="inlineStr">
        <is>
          <t>DERIVED</t>
        </is>
      </c>
      <c r="L500" s="10" t="inlineStr">
        <is>
          <t>baixa</t>
        </is>
      </c>
      <c r="M500" s="10" t="inlineStr">
        <is>
          <t>["D08-DOC-MOP-001.METRICS.VOLUME"]</t>
        </is>
      </c>
    </row>
    <row r="501">
      <c r="A501" s="10" t="inlineStr">
        <is>
          <t>D08-DOC-MOP-001.METRICS.TEMPO</t>
        </is>
      </c>
      <c r="B501" s="10" t="inlineStr">
        <is>
          <t>D08-DOC-MOP-001</t>
        </is>
      </c>
      <c r="C501" s="10" t="inlineStr">
        <is>
          <t>D08-DOC-MOP-001-T12</t>
        </is>
      </c>
      <c r="D501" s="10" t="inlineStr">
        <is>
          <t>tempo</t>
        </is>
      </c>
      <c r="E501" s="10" t="inlineStr">
        <is>
          <t>Definir, validar e manter: Tempo</t>
        </is>
      </c>
      <c r="F501" s="10" t="n"/>
      <c r="G501" s="10" t="b">
        <v>1</v>
      </c>
      <c r="H501" s="10" t="b">
        <v>1</v>
      </c>
      <c r="I501" s="10" t="inlineStr">
        <is>
          <t>DERIVED</t>
        </is>
      </c>
      <c r="J501" s="10" t="inlineStr">
        <is>
          <t>PROPOSED</t>
        </is>
      </c>
      <c r="K501" s="10" t="inlineStr">
        <is>
          <t>DERIVED</t>
        </is>
      </c>
      <c r="L501" s="10" t="inlineStr">
        <is>
          <t>baixa</t>
        </is>
      </c>
      <c r="M501" s="10" t="inlineStr">
        <is>
          <t>["D08-DOC-MOP-001.METRICS.TEMPO"]</t>
        </is>
      </c>
    </row>
    <row r="502">
      <c r="A502" s="10" t="inlineStr">
        <is>
          <t>D08-DOC-MOP-001.METRICS.ERRO</t>
        </is>
      </c>
      <c r="B502" s="10" t="inlineStr">
        <is>
          <t>D08-DOC-MOP-001</t>
        </is>
      </c>
      <c r="C502" s="10" t="inlineStr">
        <is>
          <t>D08-DOC-MOP-001-T12</t>
        </is>
      </c>
      <c r="D502" s="10" t="inlineStr">
        <is>
          <t>erro</t>
        </is>
      </c>
      <c r="E502" s="10" t="inlineStr">
        <is>
          <t>Definir, validar e manter: Erro</t>
        </is>
      </c>
      <c r="F502" s="10" t="n"/>
      <c r="G502" s="10" t="b">
        <v>1</v>
      </c>
      <c r="H502" s="10" t="b">
        <v>1</v>
      </c>
      <c r="I502" s="10" t="inlineStr">
        <is>
          <t>DERIVED</t>
        </is>
      </c>
      <c r="J502" s="10" t="inlineStr">
        <is>
          <t>PROPOSED</t>
        </is>
      </c>
      <c r="K502" s="10" t="inlineStr">
        <is>
          <t>DERIVED</t>
        </is>
      </c>
      <c r="L502" s="10" t="inlineStr">
        <is>
          <t>baixa</t>
        </is>
      </c>
      <c r="M502" s="10" t="inlineStr">
        <is>
          <t>["D08-DOC-MOP-001.METRICS.ERRO"]</t>
        </is>
      </c>
    </row>
    <row r="503">
      <c r="A503" s="10" t="inlineStr">
        <is>
          <t>D08-DOC-MOP-001.METRICS.QUALIDADE</t>
        </is>
      </c>
      <c r="B503" s="10" t="inlineStr">
        <is>
          <t>D08-DOC-MOP-001</t>
        </is>
      </c>
      <c r="C503" s="10" t="inlineStr">
        <is>
          <t>D08-DOC-MOP-001-T12</t>
        </is>
      </c>
      <c r="D503" s="10" t="inlineStr">
        <is>
          <t>qualidade</t>
        </is>
      </c>
      <c r="E503" s="10" t="inlineStr">
        <is>
          <t>Definir, validar e manter: Qualidade</t>
        </is>
      </c>
      <c r="F503" s="10" t="n"/>
      <c r="G503" s="10" t="b">
        <v>1</v>
      </c>
      <c r="H503" s="10" t="b">
        <v>1</v>
      </c>
      <c r="I503" s="10" t="inlineStr">
        <is>
          <t>FOUND</t>
        </is>
      </c>
      <c r="J503" s="10" t="inlineStr">
        <is>
          <t>DIRECT</t>
        </is>
      </c>
      <c r="K503" s="10" t="inlineStr">
        <is>
          <t>FOUND</t>
        </is>
      </c>
      <c r="L503" s="10" t="inlineStr">
        <is>
          <t>alta</t>
        </is>
      </c>
      <c r="M503" s="10" t="inlineStr">
        <is>
          <t>["D08-DOC-MOP-001.METRICS.QUALIDADE"]</t>
        </is>
      </c>
    </row>
    <row r="504">
      <c r="A504" s="10" t="inlineStr">
        <is>
          <t>D08-DOC-RUN-001.SCHEMA.RUNBOOK_ID</t>
        </is>
      </c>
      <c r="B504" s="10" t="inlineStr">
        <is>
          <t>D08-DOC-RUN-001</t>
        </is>
      </c>
      <c r="C504" s="10" t="inlineStr">
        <is>
          <t>D08-DOC-RUN-001-T01</t>
        </is>
      </c>
      <c r="D504" s="10" t="inlineStr">
        <is>
          <t>runbook_id</t>
        </is>
      </c>
      <c r="E504" s="10" t="inlineStr">
        <is>
          <t>Definir, validar e manter: Runbook ID</t>
        </is>
      </c>
      <c r="F504" s="10" t="n"/>
      <c r="G504" s="10" t="b">
        <v>1</v>
      </c>
      <c r="H504" s="10" t="b">
        <v>1</v>
      </c>
      <c r="I504" s="10" t="inlineStr">
        <is>
          <t>DERIVED</t>
        </is>
      </c>
      <c r="J504" s="10" t="inlineStr">
        <is>
          <t>PROPOSED</t>
        </is>
      </c>
      <c r="K504" s="10" t="inlineStr">
        <is>
          <t>DERIVED</t>
        </is>
      </c>
      <c r="L504" s="10" t="inlineStr">
        <is>
          <t>baixa</t>
        </is>
      </c>
      <c r="M504" s="10" t="inlineStr">
        <is>
          <t>["D08-DOC-RUN-001.SCHEMA.RUNBOOK_ID"]</t>
        </is>
      </c>
    </row>
    <row r="505">
      <c r="A505" s="10" t="inlineStr">
        <is>
          <t>D08-DOC-RUN-001.SCHEMA.NOME</t>
        </is>
      </c>
      <c r="B505" s="10" t="inlineStr">
        <is>
          <t>D08-DOC-RUN-001</t>
        </is>
      </c>
      <c r="C505" s="10" t="inlineStr">
        <is>
          <t>D08-DOC-RUN-001-T01</t>
        </is>
      </c>
      <c r="D505" s="10" t="inlineStr">
        <is>
          <t>nome</t>
        </is>
      </c>
      <c r="E505" s="10" t="inlineStr">
        <is>
          <t>Definir, validar e manter: Nome</t>
        </is>
      </c>
      <c r="F505" s="10" t="n"/>
      <c r="G505" s="10" t="b">
        <v>1</v>
      </c>
      <c r="H505" s="10" t="b">
        <v>1</v>
      </c>
      <c r="I505" s="10" t="inlineStr">
        <is>
          <t>DERIVED</t>
        </is>
      </c>
      <c r="J505" s="10" t="inlineStr">
        <is>
          <t>PROPOSED</t>
        </is>
      </c>
      <c r="K505" s="10" t="inlineStr">
        <is>
          <t>DERIVED</t>
        </is>
      </c>
      <c r="L505" s="10" t="inlineStr">
        <is>
          <t>baixa</t>
        </is>
      </c>
      <c r="M505" s="10" t="inlineStr">
        <is>
          <t>["D08-DOC-RUN-001.SCHEMA.NOME"]</t>
        </is>
      </c>
    </row>
    <row r="506">
      <c r="A506" s="10" t="inlineStr">
        <is>
          <t>D08-DOC-RUN-001.SCHEMA.OBJETIVO</t>
        </is>
      </c>
      <c r="B506" s="10" t="inlineStr">
        <is>
          <t>D08-DOC-RUN-001</t>
        </is>
      </c>
      <c r="C506" s="10" t="inlineStr">
        <is>
          <t>D08-DOC-RUN-001-T01</t>
        </is>
      </c>
      <c r="D506" s="10" t="inlineStr">
        <is>
          <t>objetivo</t>
        </is>
      </c>
      <c r="E506" s="10" t="inlineStr">
        <is>
          <t>Definir, validar e manter: Objetivo</t>
        </is>
      </c>
      <c r="F506" s="10" t="n"/>
      <c r="G506" s="10" t="b">
        <v>1</v>
      </c>
      <c r="H506" s="10" t="b">
        <v>1</v>
      </c>
      <c r="I506" s="10" t="inlineStr">
        <is>
          <t>DERIVED</t>
        </is>
      </c>
      <c r="J506" s="10" t="inlineStr">
        <is>
          <t>PROPOSED</t>
        </is>
      </c>
      <c r="K506" s="10" t="inlineStr">
        <is>
          <t>DERIVED</t>
        </is>
      </c>
      <c r="L506" s="10" t="inlineStr">
        <is>
          <t>baixa</t>
        </is>
      </c>
      <c r="M506" s="10" t="inlineStr">
        <is>
          <t>["D08-DOC-RUN-001.SCHEMA.OBJETIVO"]</t>
        </is>
      </c>
    </row>
    <row r="507">
      <c r="A507" s="10" t="inlineStr">
        <is>
          <t>D08-DOC-RUN-001.SCHEMA.TRIGGER</t>
        </is>
      </c>
      <c r="B507" s="10" t="inlineStr">
        <is>
          <t>D08-DOC-RUN-001</t>
        </is>
      </c>
      <c r="C507" s="10" t="inlineStr">
        <is>
          <t>D08-DOC-RUN-001-T01</t>
        </is>
      </c>
      <c r="D507" s="10" t="inlineStr">
        <is>
          <t>trigger</t>
        </is>
      </c>
      <c r="E507" s="10" t="inlineStr">
        <is>
          <t>Definir, validar e manter: Trigger</t>
        </is>
      </c>
      <c r="F507" s="10" t="n"/>
      <c r="G507" s="10" t="b">
        <v>1</v>
      </c>
      <c r="H507" s="10" t="b">
        <v>1</v>
      </c>
      <c r="I507" s="10" t="inlineStr">
        <is>
          <t>DERIVED</t>
        </is>
      </c>
      <c r="J507" s="10" t="inlineStr">
        <is>
          <t>PROPOSED</t>
        </is>
      </c>
      <c r="K507" s="10" t="inlineStr">
        <is>
          <t>DERIVED</t>
        </is>
      </c>
      <c r="L507" s="10" t="inlineStr">
        <is>
          <t>baixa</t>
        </is>
      </c>
      <c r="M507" s="10" t="inlineStr">
        <is>
          <t>["D08-DOC-RUN-001.SCHEMA.TRIGGER"]</t>
        </is>
      </c>
    </row>
    <row r="508">
      <c r="A508" s="10" t="inlineStr">
        <is>
          <t>D08-DOC-RUN-001.SCHEMA.PRECONDICOES</t>
        </is>
      </c>
      <c r="B508" s="10" t="inlineStr">
        <is>
          <t>D08-DOC-RUN-001</t>
        </is>
      </c>
      <c r="C508" s="10" t="inlineStr">
        <is>
          <t>D08-DOC-RUN-001-T01</t>
        </is>
      </c>
      <c r="D508" s="10" t="inlineStr">
        <is>
          <t>precondicoes</t>
        </is>
      </c>
      <c r="E508" s="10" t="inlineStr">
        <is>
          <t>Definir, validar e manter: Precondicoes</t>
        </is>
      </c>
      <c r="F508" s="10" t="n"/>
      <c r="G508" s="10" t="b">
        <v>1</v>
      </c>
      <c r="H508" s="10" t="b">
        <v>1</v>
      </c>
      <c r="I508" s="10" t="inlineStr">
        <is>
          <t>DERIVED</t>
        </is>
      </c>
      <c r="J508" s="10" t="inlineStr">
        <is>
          <t>PROPOSED</t>
        </is>
      </c>
      <c r="K508" s="10" t="inlineStr">
        <is>
          <t>DERIVED</t>
        </is>
      </c>
      <c r="L508" s="10" t="inlineStr">
        <is>
          <t>baixa</t>
        </is>
      </c>
      <c r="M508" s="10" t="inlineStr">
        <is>
          <t>["D08-DOC-RUN-001.SCHEMA.PRECONDICOES"]</t>
        </is>
      </c>
    </row>
    <row r="509">
      <c r="A509" s="10" t="inlineStr">
        <is>
          <t>D08-DOC-RUN-001.SCHEMA.SISTEMAS</t>
        </is>
      </c>
      <c r="B509" s="10" t="inlineStr">
        <is>
          <t>D08-DOC-RUN-001</t>
        </is>
      </c>
      <c r="C509" s="10" t="inlineStr">
        <is>
          <t>D08-DOC-RUN-001-T01</t>
        </is>
      </c>
      <c r="D509" s="10" t="inlineStr">
        <is>
          <t>sistemas</t>
        </is>
      </c>
      <c r="E509" s="10" t="inlineStr">
        <is>
          <t>Definir, validar e manter: Sistemas</t>
        </is>
      </c>
      <c r="F509" s="10" t="n"/>
      <c r="G509" s="10" t="b">
        <v>1</v>
      </c>
      <c r="H509" s="10" t="b">
        <v>1</v>
      </c>
      <c r="I509" s="10" t="inlineStr">
        <is>
          <t>DERIVED</t>
        </is>
      </c>
      <c r="J509" s="10" t="inlineStr">
        <is>
          <t>PROPOSED</t>
        </is>
      </c>
      <c r="K509" s="10" t="inlineStr">
        <is>
          <t>DERIVED</t>
        </is>
      </c>
      <c r="L509" s="10" t="inlineStr">
        <is>
          <t>baixa</t>
        </is>
      </c>
      <c r="M509" s="10" t="inlineStr">
        <is>
          <t>["D08-DOC-RUN-001.SCHEMA.SISTEMAS"]</t>
        </is>
      </c>
    </row>
    <row r="510">
      <c r="A510" s="10" t="inlineStr">
        <is>
          <t>D08-DOC-RUN-001.SCHEMA.CREDENCIAIS_NECESSARIAS</t>
        </is>
      </c>
      <c r="B510" s="10" t="inlineStr">
        <is>
          <t>D08-DOC-RUN-001</t>
        </is>
      </c>
      <c r="C510" s="10" t="inlineStr">
        <is>
          <t>D08-DOC-RUN-001-T01</t>
        </is>
      </c>
      <c r="D510" s="10" t="inlineStr">
        <is>
          <t>credenciais_necessarias</t>
        </is>
      </c>
      <c r="E510" s="10" t="inlineStr">
        <is>
          <t>Definir, validar e manter: Credenciais Necessarias</t>
        </is>
      </c>
      <c r="F510" s="10" t="n"/>
      <c r="G510" s="10" t="b">
        <v>1</v>
      </c>
      <c r="H510" s="10" t="b">
        <v>1</v>
      </c>
      <c r="I510" s="10" t="inlineStr">
        <is>
          <t>DERIVED</t>
        </is>
      </c>
      <c r="J510" s="10" t="inlineStr">
        <is>
          <t>PROPOSED</t>
        </is>
      </c>
      <c r="K510" s="10" t="inlineStr">
        <is>
          <t>DERIVED</t>
        </is>
      </c>
      <c r="L510" s="10" t="inlineStr">
        <is>
          <t>baixa</t>
        </is>
      </c>
      <c r="M510" s="10" t="inlineStr">
        <is>
          <t>["D08-DOC-RUN-001.SCHEMA.CREDENCIAIS_NECESSARIAS"]</t>
        </is>
      </c>
    </row>
    <row r="511">
      <c r="A511" s="10" t="inlineStr">
        <is>
          <t>D08-DOC-RUN-001.SCHEMA.PASSOS</t>
        </is>
      </c>
      <c r="B511" s="10" t="inlineStr">
        <is>
          <t>D08-DOC-RUN-001</t>
        </is>
      </c>
      <c r="C511" s="10" t="inlineStr">
        <is>
          <t>D08-DOC-RUN-001-T01</t>
        </is>
      </c>
      <c r="D511" s="10" t="inlineStr">
        <is>
          <t>passos</t>
        </is>
      </c>
      <c r="E511" s="10" t="inlineStr">
        <is>
          <t>Definir, validar e manter: Passos</t>
        </is>
      </c>
      <c r="F511" s="10" t="n"/>
      <c r="G511" s="10" t="b">
        <v>1</v>
      </c>
      <c r="H511" s="10" t="b">
        <v>1</v>
      </c>
      <c r="I511" s="10" t="inlineStr">
        <is>
          <t>DERIVED</t>
        </is>
      </c>
      <c r="J511" s="10" t="inlineStr">
        <is>
          <t>PROPOSED</t>
        </is>
      </c>
      <c r="K511" s="10" t="inlineStr">
        <is>
          <t>DERIVED</t>
        </is>
      </c>
      <c r="L511" s="10" t="inlineStr">
        <is>
          <t>baixa</t>
        </is>
      </c>
      <c r="M511" s="10" t="inlineStr">
        <is>
          <t>["D08-DOC-RUN-001.SCHEMA.PASSOS"]</t>
        </is>
      </c>
    </row>
    <row r="512">
      <c r="A512" s="10" t="inlineStr">
        <is>
          <t>D08-DOC-RUN-001.SCHEMA.RESULTADO_ESPERADO</t>
        </is>
      </c>
      <c r="B512" s="10" t="inlineStr">
        <is>
          <t>D08-DOC-RUN-001</t>
        </is>
      </c>
      <c r="C512" s="10" t="inlineStr">
        <is>
          <t>D08-DOC-RUN-001-T01</t>
        </is>
      </c>
      <c r="D512" s="10" t="inlineStr">
        <is>
          <t>resultado_esperado</t>
        </is>
      </c>
      <c r="E512" s="10" t="inlineStr">
        <is>
          <t>Definir, validar e manter: Resultado Esperado</t>
        </is>
      </c>
      <c r="F512" s="10" t="n"/>
      <c r="G512" s="10" t="b">
        <v>1</v>
      </c>
      <c r="H512" s="10" t="b">
        <v>1</v>
      </c>
      <c r="I512" s="10" t="inlineStr">
        <is>
          <t>DERIVED</t>
        </is>
      </c>
      <c r="J512" s="10" t="inlineStr">
        <is>
          <t>PROPOSED</t>
        </is>
      </c>
      <c r="K512" s="10" t="inlineStr">
        <is>
          <t>DERIVED</t>
        </is>
      </c>
      <c r="L512" s="10" t="inlineStr">
        <is>
          <t>baixa</t>
        </is>
      </c>
      <c r="M512" s="10" t="inlineStr">
        <is>
          <t>["D08-DOC-RUN-001.SCHEMA.RESULTADO_ESPERADO"]</t>
        </is>
      </c>
    </row>
    <row r="513">
      <c r="A513" s="10" t="inlineStr">
        <is>
          <t>D08-DOC-RUN-001.SCHEMA.VERIFICACAO</t>
        </is>
      </c>
      <c r="B513" s="10" t="inlineStr">
        <is>
          <t>D08-DOC-RUN-001</t>
        </is>
      </c>
      <c r="C513" s="10" t="inlineStr">
        <is>
          <t>D08-DOC-RUN-001-T01</t>
        </is>
      </c>
      <c r="D513" s="10" t="inlineStr">
        <is>
          <t>verificacao</t>
        </is>
      </c>
      <c r="E513" s="10" t="inlineStr">
        <is>
          <t>Definir, validar e manter: Verificacao</t>
        </is>
      </c>
      <c r="F513" s="10" t="n"/>
      <c r="G513" s="10" t="b">
        <v>1</v>
      </c>
      <c r="H513" s="10" t="b">
        <v>1</v>
      </c>
      <c r="I513" s="10" t="inlineStr">
        <is>
          <t>EXTERNAL</t>
        </is>
      </c>
      <c r="J513" s="10" t="inlineStr">
        <is>
          <t>EXTERNAL_EVIDENCE</t>
        </is>
      </c>
      <c r="K513" s="10" t="inlineStr">
        <is>
          <t>EXTERNAL</t>
        </is>
      </c>
      <c r="L513" s="10" t="inlineStr">
        <is>
          <t>media</t>
        </is>
      </c>
      <c r="M513" s="10" t="inlineStr">
        <is>
          <t>["D08-DOC-RUN-001.SCHEMA.VERIFICACAO"]</t>
        </is>
      </c>
    </row>
    <row r="514">
      <c r="A514" s="10" t="inlineStr">
        <is>
          <t>D08-DOC-RUN-001.SCHEMA.EVIDENCIA</t>
        </is>
      </c>
      <c r="B514" s="10" t="inlineStr">
        <is>
          <t>D08-DOC-RUN-001</t>
        </is>
      </c>
      <c r="C514" s="10" t="inlineStr">
        <is>
          <t>D08-DOC-RUN-001-T01</t>
        </is>
      </c>
      <c r="D514" s="10" t="inlineStr">
        <is>
          <t>evidencia</t>
        </is>
      </c>
      <c r="E514" s="10" t="inlineStr">
        <is>
          <t>Definir, validar e manter: Evidencia</t>
        </is>
      </c>
      <c r="F514" s="10" t="n"/>
      <c r="G514" s="10" t="b">
        <v>1</v>
      </c>
      <c r="H514" s="10" t="b">
        <v>1</v>
      </c>
      <c r="I514" s="10" t="inlineStr">
        <is>
          <t>DERIVED</t>
        </is>
      </c>
      <c r="J514" s="10" t="inlineStr">
        <is>
          <t>PROPOSED</t>
        </is>
      </c>
      <c r="K514" s="10" t="inlineStr">
        <is>
          <t>DERIVED</t>
        </is>
      </c>
      <c r="L514" s="10" t="inlineStr">
        <is>
          <t>baixa</t>
        </is>
      </c>
      <c r="M514" s="10" t="inlineStr">
        <is>
          <t>["D08-DOC-RUN-001.SCHEMA.EVIDENCIA"]</t>
        </is>
      </c>
    </row>
    <row r="515">
      <c r="A515" s="10" t="inlineStr">
        <is>
          <t>D08-DOC-RUN-001.SCHEMA.EXCECOES</t>
        </is>
      </c>
      <c r="B515" s="10" t="inlineStr">
        <is>
          <t>D08-DOC-RUN-001</t>
        </is>
      </c>
      <c r="C515" s="10" t="inlineStr">
        <is>
          <t>D08-DOC-RUN-001-T01</t>
        </is>
      </c>
      <c r="D515" s="10" t="inlineStr">
        <is>
          <t>excecoes</t>
        </is>
      </c>
      <c r="E515" s="10" t="inlineStr">
        <is>
          <t>Definir, validar e manter: Excecoes</t>
        </is>
      </c>
      <c r="F515" s="10" t="n"/>
      <c r="G515" s="10" t="b">
        <v>1</v>
      </c>
      <c r="H515" s="10" t="b">
        <v>1</v>
      </c>
      <c r="I515" s="10" t="inlineStr">
        <is>
          <t>FOUND</t>
        </is>
      </c>
      <c r="J515" s="10" t="inlineStr">
        <is>
          <t>DIRECT</t>
        </is>
      </c>
      <c r="K515" s="10" t="inlineStr">
        <is>
          <t>FOUND</t>
        </is>
      </c>
      <c r="L515" s="10" t="inlineStr">
        <is>
          <t>alta</t>
        </is>
      </c>
      <c r="M515" s="10" t="inlineStr">
        <is>
          <t>["D08-DOC-RUN-001.SCHEMA.EXCECOES"]</t>
        </is>
      </c>
    </row>
    <row r="516">
      <c r="A516" s="10" t="inlineStr">
        <is>
          <t>D08-DOC-RUN-001.SCHEMA.ROLLBACK</t>
        </is>
      </c>
      <c r="B516" s="10" t="inlineStr">
        <is>
          <t>D08-DOC-RUN-001</t>
        </is>
      </c>
      <c r="C516" s="10" t="inlineStr">
        <is>
          <t>D08-DOC-RUN-001-T01</t>
        </is>
      </c>
      <c r="D516" s="10" t="inlineStr">
        <is>
          <t>rollback</t>
        </is>
      </c>
      <c r="E516" s="10" t="inlineStr">
        <is>
          <t>Definir, validar e manter: Rollback</t>
        </is>
      </c>
      <c r="F516" s="10" t="n"/>
      <c r="G516" s="10" t="b">
        <v>1</v>
      </c>
      <c r="H516" s="10" t="b">
        <v>1</v>
      </c>
      <c r="I516" s="10" t="inlineStr">
        <is>
          <t>DERIVED</t>
        </is>
      </c>
      <c r="J516" s="10" t="inlineStr">
        <is>
          <t>PROPOSED</t>
        </is>
      </c>
      <c r="K516" s="10" t="inlineStr">
        <is>
          <t>DERIVED</t>
        </is>
      </c>
      <c r="L516" s="10" t="inlineStr">
        <is>
          <t>baixa</t>
        </is>
      </c>
      <c r="M516" s="10" t="inlineStr">
        <is>
          <t>["D08-DOC-RUN-001.SCHEMA.ROLLBACK"]</t>
        </is>
      </c>
    </row>
    <row r="517">
      <c r="A517" s="10" t="inlineStr">
        <is>
          <t>D08-DOC-RUN-001.SCHEMA.ESCALACAO</t>
        </is>
      </c>
      <c r="B517" s="10" t="inlineStr">
        <is>
          <t>D08-DOC-RUN-001</t>
        </is>
      </c>
      <c r="C517" s="10" t="inlineStr">
        <is>
          <t>D08-DOC-RUN-001-T01</t>
        </is>
      </c>
      <c r="D517" s="10" t="inlineStr">
        <is>
          <t>escalacao</t>
        </is>
      </c>
      <c r="E517" s="10" t="inlineStr">
        <is>
          <t>Definir, validar e manter: Escalacao</t>
        </is>
      </c>
      <c r="F517" s="10" t="n"/>
      <c r="G517" s="10" t="b">
        <v>1</v>
      </c>
      <c r="H517" s="10" t="b">
        <v>1</v>
      </c>
      <c r="I517" s="10" t="inlineStr">
        <is>
          <t>EXTERNAL</t>
        </is>
      </c>
      <c r="J517" s="10" t="inlineStr">
        <is>
          <t>EXTERNAL_EVIDENCE</t>
        </is>
      </c>
      <c r="K517" s="10" t="inlineStr">
        <is>
          <t>EXTERNAL</t>
        </is>
      </c>
      <c r="L517" s="10" t="inlineStr">
        <is>
          <t>media</t>
        </is>
      </c>
      <c r="M517" s="10" t="inlineStr">
        <is>
          <t>["D08-DOC-RUN-001.SCHEMA.ESCALACAO"]</t>
        </is>
      </c>
    </row>
    <row r="518">
      <c r="A518" s="10" t="inlineStr">
        <is>
          <t>D08-DOC-RUN-001.SCHEMA.OWNER</t>
        </is>
      </c>
      <c r="B518" s="10" t="inlineStr">
        <is>
          <t>D08-DOC-RUN-001</t>
        </is>
      </c>
      <c r="C518" s="10" t="inlineStr">
        <is>
          <t>D08-DOC-RUN-001-T01</t>
        </is>
      </c>
      <c r="D518" s="10" t="inlineStr">
        <is>
          <t>owner</t>
        </is>
      </c>
      <c r="E518" s="10" t="inlineStr">
        <is>
          <t>Definir, validar e manter: Owner</t>
        </is>
      </c>
      <c r="F518" s="10" t="n"/>
      <c r="G518" s="10" t="b">
        <v>1</v>
      </c>
      <c r="H518" s="10" t="b">
        <v>1</v>
      </c>
      <c r="I518" s="10" t="inlineStr">
        <is>
          <t>DERIVED</t>
        </is>
      </c>
      <c r="J518" s="10" t="inlineStr">
        <is>
          <t>PROPOSED</t>
        </is>
      </c>
      <c r="K518" s="10" t="inlineStr">
        <is>
          <t>DERIVED</t>
        </is>
      </c>
      <c r="L518" s="10" t="inlineStr">
        <is>
          <t>baixa</t>
        </is>
      </c>
      <c r="M518" s="10" t="inlineStr">
        <is>
          <t>["D08-DOC-RUN-001.SCHEMA.OWNER"]</t>
        </is>
      </c>
    </row>
    <row r="519">
      <c r="A519" s="10" t="inlineStr">
        <is>
          <t>D08-DOC-RUN-001.SCHEMA.FREQUENCIA</t>
        </is>
      </c>
      <c r="B519" s="10" t="inlineStr">
        <is>
          <t>D08-DOC-RUN-001</t>
        </is>
      </c>
      <c r="C519" s="10" t="inlineStr">
        <is>
          <t>D08-DOC-RUN-001-T01</t>
        </is>
      </c>
      <c r="D519" s="10" t="inlineStr">
        <is>
          <t>frequencia</t>
        </is>
      </c>
      <c r="E519" s="10" t="inlineStr">
        <is>
          <t>Definir, validar e manter: Frequencia</t>
        </is>
      </c>
      <c r="F519" s="10" t="n"/>
      <c r="G519" s="10" t="b">
        <v>1</v>
      </c>
      <c r="H519" s="10" t="b">
        <v>1</v>
      </c>
      <c r="I519" s="10" t="inlineStr">
        <is>
          <t>DERIVED</t>
        </is>
      </c>
      <c r="J519" s="10" t="inlineStr">
        <is>
          <t>PROPOSED</t>
        </is>
      </c>
      <c r="K519" s="10" t="inlineStr">
        <is>
          <t>DERIVED</t>
        </is>
      </c>
      <c r="L519" s="10" t="inlineStr">
        <is>
          <t>baixa</t>
        </is>
      </c>
      <c r="M519" s="10" t="inlineStr">
        <is>
          <t>["D08-DOC-RUN-001.SCHEMA.FREQUENCIA"]</t>
        </is>
      </c>
    </row>
    <row r="520">
      <c r="A520" s="10" t="inlineStr">
        <is>
          <t>D09-DOC-PPE-001.QUESTION.PERGUNTA_DE_PESQUISA</t>
        </is>
      </c>
      <c r="B520" s="10" t="inlineStr">
        <is>
          <t>D09-DOC-PPE-001</t>
        </is>
      </c>
      <c r="C520" s="10" t="inlineStr">
        <is>
          <t>D09-DOC-PPE-001-T01</t>
        </is>
      </c>
      <c r="D520" s="10" t="inlineStr">
        <is>
          <t>pergunta_de_pesquisa</t>
        </is>
      </c>
      <c r="E520" s="10" t="inlineStr">
        <is>
          <t>Definir, validar e manter: Pergunta De Pesquisa</t>
        </is>
      </c>
      <c r="F520" s="10" t="n"/>
      <c r="G520" s="10" t="b">
        <v>1</v>
      </c>
      <c r="H520" s="10" t="b">
        <v>1</v>
      </c>
      <c r="I520" s="10" t="inlineStr">
        <is>
          <t>DERIVED</t>
        </is>
      </c>
      <c r="J520" s="10" t="inlineStr">
        <is>
          <t>PROPOSED</t>
        </is>
      </c>
      <c r="K520" s="10" t="inlineStr">
        <is>
          <t>DERIVED</t>
        </is>
      </c>
      <c r="L520" s="10" t="inlineStr">
        <is>
          <t>baixa</t>
        </is>
      </c>
      <c r="M520" s="10" t="inlineStr">
        <is>
          <t>["D09-DOC-PPE-001.QUESTION.PERGUNTA_DE_PESQUISA"]</t>
        </is>
      </c>
    </row>
    <row r="521">
      <c r="A521" s="10" t="inlineStr">
        <is>
          <t>D09-DOC-PPE-001.HYPOTHESIS.HIPOTESE</t>
        </is>
      </c>
      <c r="B521" s="10" t="inlineStr">
        <is>
          <t>D09-DOC-PPE-001</t>
        </is>
      </c>
      <c r="C521" s="10" t="inlineStr">
        <is>
          <t>D09-DOC-PPE-001-T02</t>
        </is>
      </c>
      <c r="D521" s="10" t="inlineStr">
        <is>
          <t>hipotese</t>
        </is>
      </c>
      <c r="E521" s="10" t="inlineStr">
        <is>
          <t>Definir, validar e manter: Hipotese</t>
        </is>
      </c>
      <c r="F521" s="10" t="n"/>
      <c r="G521" s="10" t="b">
        <v>1</v>
      </c>
      <c r="H521" s="10" t="b">
        <v>1</v>
      </c>
      <c r="I521" s="10" t="inlineStr">
        <is>
          <t>FOUND</t>
        </is>
      </c>
      <c r="J521" s="10" t="inlineStr">
        <is>
          <t>DIRECT</t>
        </is>
      </c>
      <c r="K521" s="10" t="inlineStr">
        <is>
          <t>FOUND</t>
        </is>
      </c>
      <c r="L521" s="10" t="inlineStr">
        <is>
          <t>alta</t>
        </is>
      </c>
      <c r="M521" s="10" t="inlineStr">
        <is>
          <t>["D09-DOC-PPE-001.HYPOTHESIS.HIPOTESE"]</t>
        </is>
      </c>
    </row>
    <row r="522">
      <c r="A522" s="10" t="inlineStr">
        <is>
          <t>D09-DOC-PPE-001.HYPOTHESIS.PRESSUPOSTOS</t>
        </is>
      </c>
      <c r="B522" s="10" t="inlineStr">
        <is>
          <t>D09-DOC-PPE-001</t>
        </is>
      </c>
      <c r="C522" s="10" t="inlineStr">
        <is>
          <t>D09-DOC-PPE-001-T02</t>
        </is>
      </c>
      <c r="D522" s="10" t="inlineStr">
        <is>
          <t>pressupostos</t>
        </is>
      </c>
      <c r="E522" s="10" t="inlineStr">
        <is>
          <t>Definir, validar e manter: Pressupostos</t>
        </is>
      </c>
      <c r="F522" s="10" t="n"/>
      <c r="G522" s="10" t="b">
        <v>1</v>
      </c>
      <c r="H522" s="10" t="b">
        <v>1</v>
      </c>
      <c r="I522" s="10" t="inlineStr">
        <is>
          <t>DERIVED</t>
        </is>
      </c>
      <c r="J522" s="10" t="inlineStr">
        <is>
          <t>PROPOSED</t>
        </is>
      </c>
      <c r="K522" s="10" t="inlineStr">
        <is>
          <t>DERIVED</t>
        </is>
      </c>
      <c r="L522" s="10" t="inlineStr">
        <is>
          <t>baixa</t>
        </is>
      </c>
      <c r="M522" s="10" t="inlineStr">
        <is>
          <t>["D09-DOC-PPE-001.HYPOTHESIS.PRESSUPOSTOS"]</t>
        </is>
      </c>
    </row>
    <row r="523">
      <c r="A523" s="10" t="inlineStr">
        <is>
          <t>D09-DOC-PPE-001.EVIDENCE_REVIEW.FONTES_EXISTENTES</t>
        </is>
      </c>
      <c r="B523" s="10" t="inlineStr">
        <is>
          <t>D09-DOC-PPE-001</t>
        </is>
      </c>
      <c r="C523" s="10" t="inlineStr">
        <is>
          <t>D09-DOC-PPE-001-T03</t>
        </is>
      </c>
      <c r="D523" s="10" t="inlineStr">
        <is>
          <t>fontes_existentes</t>
        </is>
      </c>
      <c r="E523" s="10" t="inlineStr">
        <is>
          <t>Definir, validar e manter: Fontes Existentes</t>
        </is>
      </c>
      <c r="F523" s="10" t="n"/>
      <c r="G523" s="10" t="b">
        <v>1</v>
      </c>
      <c r="H523" s="10" t="b">
        <v>1</v>
      </c>
      <c r="I523" s="10" t="inlineStr">
        <is>
          <t>DERIVED</t>
        </is>
      </c>
      <c r="J523" s="10" t="inlineStr">
        <is>
          <t>PROPOSED</t>
        </is>
      </c>
      <c r="K523" s="10" t="inlineStr">
        <is>
          <t>DERIVED</t>
        </is>
      </c>
      <c r="L523" s="10" t="inlineStr">
        <is>
          <t>baixa</t>
        </is>
      </c>
      <c r="M523" s="10" t="inlineStr">
        <is>
          <t>["D09-DOC-PPE-001.EVIDENCE_REVIEW.FONTES_EXISTENTES"]</t>
        </is>
      </c>
    </row>
    <row r="524">
      <c r="A524" s="10" t="inlineStr">
        <is>
          <t>D09-DOC-PPE-001.EVIDENCE_REVIEW.LACUNAS</t>
        </is>
      </c>
      <c r="B524" s="10" t="inlineStr">
        <is>
          <t>D09-DOC-PPE-001</t>
        </is>
      </c>
      <c r="C524" s="10" t="inlineStr">
        <is>
          <t>D09-DOC-PPE-001-T03</t>
        </is>
      </c>
      <c r="D524" s="10" t="inlineStr">
        <is>
          <t>lacunas</t>
        </is>
      </c>
      <c r="E524" s="10" t="inlineStr">
        <is>
          <t>Definir, validar e manter: Lacunas</t>
        </is>
      </c>
      <c r="F524" s="10" t="n"/>
      <c r="G524" s="10" t="b">
        <v>1</v>
      </c>
      <c r="H524" s="10" t="b">
        <v>1</v>
      </c>
      <c r="I524" s="10" t="inlineStr">
        <is>
          <t>DERIVED</t>
        </is>
      </c>
      <c r="J524" s="10" t="inlineStr">
        <is>
          <t>PROPOSED</t>
        </is>
      </c>
      <c r="K524" s="10" t="inlineStr">
        <is>
          <t>DERIVED</t>
        </is>
      </c>
      <c r="L524" s="10" t="inlineStr">
        <is>
          <t>baixa</t>
        </is>
      </c>
      <c r="M524" s="10" t="inlineStr">
        <is>
          <t>["D09-DOC-PPE-001.EVIDENCE_REVIEW.LACUNAS"]</t>
        </is>
      </c>
    </row>
    <row r="525">
      <c r="A525" s="10" t="inlineStr">
        <is>
          <t>D09-DOC-PPE-001.METHOD.METODO</t>
        </is>
      </c>
      <c r="B525" s="10" t="inlineStr">
        <is>
          <t>D09-DOC-PPE-001</t>
        </is>
      </c>
      <c r="C525" s="10" t="inlineStr">
        <is>
          <t>D09-DOC-PPE-001-T04</t>
        </is>
      </c>
      <c r="D525" s="10" t="inlineStr">
        <is>
          <t>metodo</t>
        </is>
      </c>
      <c r="E525" s="10" t="inlineStr">
        <is>
          <t>Definir, validar e manter: Metodo</t>
        </is>
      </c>
      <c r="F525" s="10" t="n"/>
      <c r="G525" s="10" t="b">
        <v>1</v>
      </c>
      <c r="H525" s="10" t="b">
        <v>1</v>
      </c>
      <c r="I525" s="10" t="inlineStr">
        <is>
          <t>DERIVED</t>
        </is>
      </c>
      <c r="J525" s="10" t="inlineStr">
        <is>
          <t>PROPOSED</t>
        </is>
      </c>
      <c r="K525" s="10" t="inlineStr">
        <is>
          <t>DERIVED</t>
        </is>
      </c>
      <c r="L525" s="10" t="inlineStr">
        <is>
          <t>baixa</t>
        </is>
      </c>
      <c r="M525" s="10" t="inlineStr">
        <is>
          <t>["D09-DOC-PPE-001.METHOD.METODO"]</t>
        </is>
      </c>
    </row>
    <row r="526">
      <c r="A526" s="10" t="inlineStr">
        <is>
          <t>D09-DOC-PPE-001.METHOD.DESENHO</t>
        </is>
      </c>
      <c r="B526" s="10" t="inlineStr">
        <is>
          <t>D09-DOC-PPE-001</t>
        </is>
      </c>
      <c r="C526" s="10" t="inlineStr">
        <is>
          <t>D09-DOC-PPE-001-T04</t>
        </is>
      </c>
      <c r="D526" s="10" t="inlineStr">
        <is>
          <t>desenho</t>
        </is>
      </c>
      <c r="E526" s="10" t="inlineStr">
        <is>
          <t>Definir, validar e manter: Desenho</t>
        </is>
      </c>
      <c r="F526" s="10" t="n"/>
      <c r="G526" s="10" t="b">
        <v>1</v>
      </c>
      <c r="H526" s="10" t="b">
        <v>1</v>
      </c>
      <c r="I526" s="10" t="inlineStr">
        <is>
          <t>DERIVED</t>
        </is>
      </c>
      <c r="J526" s="10" t="inlineStr">
        <is>
          <t>PROPOSED</t>
        </is>
      </c>
      <c r="K526" s="10" t="inlineStr">
        <is>
          <t>DERIVED</t>
        </is>
      </c>
      <c r="L526" s="10" t="inlineStr">
        <is>
          <t>baixa</t>
        </is>
      </c>
      <c r="M526" s="10" t="inlineStr">
        <is>
          <t>["D09-DOC-PPE-001.METHOD.DESENHO"]</t>
        </is>
      </c>
    </row>
    <row r="527">
      <c r="A527" s="10" t="inlineStr">
        <is>
          <t>D09-DOC-PPE-001.POPULATION.PUBLICO</t>
        </is>
      </c>
      <c r="B527" s="10" t="inlineStr">
        <is>
          <t>D09-DOC-PPE-001</t>
        </is>
      </c>
      <c r="C527" s="10" t="inlineStr">
        <is>
          <t>D09-DOC-PPE-001-T05</t>
        </is>
      </c>
      <c r="D527" s="10" t="inlineStr">
        <is>
          <t>publico</t>
        </is>
      </c>
      <c r="E527" s="10" t="inlineStr">
        <is>
          <t>Definir, validar e manter: Publico</t>
        </is>
      </c>
      <c r="F527" s="10" t="n"/>
      <c r="G527" s="10" t="b">
        <v>1</v>
      </c>
      <c r="H527" s="10" t="b">
        <v>1</v>
      </c>
      <c r="I527" s="10" t="inlineStr">
        <is>
          <t>DERIVED</t>
        </is>
      </c>
      <c r="J527" s="10" t="inlineStr">
        <is>
          <t>PROPOSED</t>
        </is>
      </c>
      <c r="K527" s="10" t="inlineStr">
        <is>
          <t>DERIVED</t>
        </is>
      </c>
      <c r="L527" s="10" t="inlineStr">
        <is>
          <t>baixa</t>
        </is>
      </c>
      <c r="M527" s="10" t="inlineStr">
        <is>
          <t>["D09-DOC-PPE-001.POPULATION.PUBLICO"]</t>
        </is>
      </c>
    </row>
    <row r="528">
      <c r="A528" s="10" t="inlineStr">
        <is>
          <t>D09-DOC-PPE-001.POPULATION.AMOSTRA</t>
        </is>
      </c>
      <c r="B528" s="10" t="inlineStr">
        <is>
          <t>D09-DOC-PPE-001</t>
        </is>
      </c>
      <c r="C528" s="10" t="inlineStr">
        <is>
          <t>D09-DOC-PPE-001-T05</t>
        </is>
      </c>
      <c r="D528" s="10" t="inlineStr">
        <is>
          <t>amostra</t>
        </is>
      </c>
      <c r="E528" s="10" t="inlineStr">
        <is>
          <t>Definir, validar e manter: Amostra</t>
        </is>
      </c>
      <c r="F528" s="10" t="n"/>
      <c r="G528" s="10" t="b">
        <v>1</v>
      </c>
      <c r="H528" s="10" t="b">
        <v>1</v>
      </c>
      <c r="I528" s="10" t="inlineStr">
        <is>
          <t>DERIVED</t>
        </is>
      </c>
      <c r="J528" s="10" t="inlineStr">
        <is>
          <t>PROPOSED</t>
        </is>
      </c>
      <c r="K528" s="10" t="inlineStr">
        <is>
          <t>DERIVED</t>
        </is>
      </c>
      <c r="L528" s="10" t="inlineStr">
        <is>
          <t>baixa</t>
        </is>
      </c>
      <c r="M528" s="10" t="inlineStr">
        <is>
          <t>["D09-DOC-PPE-001.POPULATION.AMOSTRA"]</t>
        </is>
      </c>
    </row>
    <row r="529">
      <c r="A529" s="10" t="inlineStr">
        <is>
          <t>D09-DOC-PPE-001.VARIABLES.INDEPENDENTE</t>
        </is>
      </c>
      <c r="B529" s="10" t="inlineStr">
        <is>
          <t>D09-DOC-PPE-001</t>
        </is>
      </c>
      <c r="C529" s="10" t="inlineStr">
        <is>
          <t>D09-DOC-PPE-001-T06</t>
        </is>
      </c>
      <c r="D529" s="10" t="inlineStr">
        <is>
          <t>independente</t>
        </is>
      </c>
      <c r="E529" s="10" t="inlineStr">
        <is>
          <t>Definir, validar e manter: Independente</t>
        </is>
      </c>
      <c r="F529" s="10" t="n"/>
      <c r="G529" s="10" t="b">
        <v>1</v>
      </c>
      <c r="H529" s="10" t="b">
        <v>1</v>
      </c>
      <c r="I529" s="10" t="inlineStr">
        <is>
          <t>DERIVED</t>
        </is>
      </c>
      <c r="J529" s="10" t="inlineStr">
        <is>
          <t>PROPOSED</t>
        </is>
      </c>
      <c r="K529" s="10" t="inlineStr">
        <is>
          <t>DERIVED</t>
        </is>
      </c>
      <c r="L529" s="10" t="inlineStr">
        <is>
          <t>baixa</t>
        </is>
      </c>
      <c r="M529" s="10" t="inlineStr">
        <is>
          <t>["D09-DOC-PPE-001.VARIABLES.INDEPENDENTE"]</t>
        </is>
      </c>
    </row>
    <row r="530">
      <c r="A530" s="10" t="inlineStr">
        <is>
          <t>D09-DOC-PPE-001.VARIABLES.DEPENDENTE</t>
        </is>
      </c>
      <c r="B530" s="10" t="inlineStr">
        <is>
          <t>D09-DOC-PPE-001</t>
        </is>
      </c>
      <c r="C530" s="10" t="inlineStr">
        <is>
          <t>D09-DOC-PPE-001-T06</t>
        </is>
      </c>
      <c r="D530" s="10" t="inlineStr">
        <is>
          <t>dependente</t>
        </is>
      </c>
      <c r="E530" s="10" t="inlineStr">
        <is>
          <t>Definir, validar e manter: Dependente</t>
        </is>
      </c>
      <c r="F530" s="10" t="n"/>
      <c r="G530" s="10" t="b">
        <v>1</v>
      </c>
      <c r="H530" s="10" t="b">
        <v>1</v>
      </c>
      <c r="I530" s="10" t="inlineStr">
        <is>
          <t>DERIVED</t>
        </is>
      </c>
      <c r="J530" s="10" t="inlineStr">
        <is>
          <t>PROPOSED</t>
        </is>
      </c>
      <c r="K530" s="10" t="inlineStr">
        <is>
          <t>DERIVED</t>
        </is>
      </c>
      <c r="L530" s="10" t="inlineStr">
        <is>
          <t>baixa</t>
        </is>
      </c>
      <c r="M530" s="10" t="inlineStr">
        <is>
          <t>["D09-DOC-PPE-001.VARIABLES.DEPENDENTE"]</t>
        </is>
      </c>
    </row>
    <row r="531">
      <c r="A531" s="10" t="inlineStr">
        <is>
          <t>D09-DOC-PPE-001.VARIABLES.CONTROLE</t>
        </is>
      </c>
      <c r="B531" s="10" t="inlineStr">
        <is>
          <t>D09-DOC-PPE-001</t>
        </is>
      </c>
      <c r="C531" s="10" t="inlineStr">
        <is>
          <t>D09-DOC-PPE-001-T06</t>
        </is>
      </c>
      <c r="D531" s="10" t="inlineStr">
        <is>
          <t>controle</t>
        </is>
      </c>
      <c r="E531" s="10" t="inlineStr">
        <is>
          <t>Definir, validar e manter: Controle</t>
        </is>
      </c>
      <c r="F531" s="10" t="n"/>
      <c r="G531" s="10" t="b">
        <v>1</v>
      </c>
      <c r="H531" s="10" t="b">
        <v>1</v>
      </c>
      <c r="I531" s="10" t="inlineStr">
        <is>
          <t>DERIVED</t>
        </is>
      </c>
      <c r="J531" s="10" t="inlineStr">
        <is>
          <t>PROPOSED</t>
        </is>
      </c>
      <c r="K531" s="10" t="inlineStr">
        <is>
          <t>DERIVED</t>
        </is>
      </c>
      <c r="L531" s="10" t="inlineStr">
        <is>
          <t>baixa</t>
        </is>
      </c>
      <c r="M531" s="10" t="inlineStr">
        <is>
          <t>["D09-DOC-PPE-001.VARIABLES.CONTROLE"]</t>
        </is>
      </c>
    </row>
    <row r="532">
      <c r="A532" s="10" t="inlineStr">
        <is>
          <t>D09-DOC-PPE-001.PROTOCOL.PROCEDIMENTO</t>
        </is>
      </c>
      <c r="B532" s="10" t="inlineStr">
        <is>
          <t>D09-DOC-PPE-001</t>
        </is>
      </c>
      <c r="C532" s="10" t="inlineStr">
        <is>
          <t>D09-DOC-PPE-001-T07</t>
        </is>
      </c>
      <c r="D532" s="10" t="inlineStr">
        <is>
          <t>procedimento</t>
        </is>
      </c>
      <c r="E532" s="10" t="inlineStr">
        <is>
          <t>Definir, validar e manter: Procedimento</t>
        </is>
      </c>
      <c r="F532" s="10" t="n"/>
      <c r="G532" s="10" t="b">
        <v>1</v>
      </c>
      <c r="H532" s="10" t="b">
        <v>1</v>
      </c>
      <c r="I532" s="10" t="inlineStr">
        <is>
          <t>DERIVED</t>
        </is>
      </c>
      <c r="J532" s="10" t="inlineStr">
        <is>
          <t>PROPOSED</t>
        </is>
      </c>
      <c r="K532" s="10" t="inlineStr">
        <is>
          <t>DERIVED</t>
        </is>
      </c>
      <c r="L532" s="10" t="inlineStr">
        <is>
          <t>baixa</t>
        </is>
      </c>
      <c r="M532" s="10" t="inlineStr">
        <is>
          <t>["D09-DOC-PPE-001.PROTOCOL.PROCEDIMENTO"]</t>
        </is>
      </c>
    </row>
    <row r="533">
      <c r="A533" s="10" t="inlineStr">
        <is>
          <t>D09-DOC-PPE-001.EXPERIMENT.INTERVENCAO</t>
        </is>
      </c>
      <c r="B533" s="10" t="inlineStr">
        <is>
          <t>D09-DOC-PPE-001</t>
        </is>
      </c>
      <c r="C533" s="10" t="inlineStr">
        <is>
          <t>D09-DOC-PPE-001-T08</t>
        </is>
      </c>
      <c r="D533" s="10" t="inlineStr">
        <is>
          <t>intervencao</t>
        </is>
      </c>
      <c r="E533" s="10" t="inlineStr">
        <is>
          <t>Definir, validar e manter: Intervencao</t>
        </is>
      </c>
      <c r="F533" s="10" t="n"/>
      <c r="G533" s="10" t="b">
        <v>1</v>
      </c>
      <c r="H533" s="10" t="b">
        <v>1</v>
      </c>
      <c r="I533" s="10" t="inlineStr">
        <is>
          <t>DERIVED</t>
        </is>
      </c>
      <c r="J533" s="10" t="inlineStr">
        <is>
          <t>PROPOSED</t>
        </is>
      </c>
      <c r="K533" s="10" t="inlineStr">
        <is>
          <t>DERIVED</t>
        </is>
      </c>
      <c r="L533" s="10" t="inlineStr">
        <is>
          <t>baixa</t>
        </is>
      </c>
      <c r="M533" s="10" t="inlineStr">
        <is>
          <t>["D09-DOC-PPE-001.EXPERIMENT.INTERVENCAO"]</t>
        </is>
      </c>
    </row>
    <row r="534">
      <c r="A534" s="10" t="inlineStr">
        <is>
          <t>D09-DOC-PPE-001.EXPERIMENT.COMPARACAO</t>
        </is>
      </c>
      <c r="B534" s="10" t="inlineStr">
        <is>
          <t>D09-DOC-PPE-001</t>
        </is>
      </c>
      <c r="C534" s="10" t="inlineStr">
        <is>
          <t>D09-DOC-PPE-001-T08</t>
        </is>
      </c>
      <c r="D534" s="10" t="inlineStr">
        <is>
          <t>comparacao</t>
        </is>
      </c>
      <c r="E534" s="10" t="inlineStr">
        <is>
          <t>Definir, validar e manter: Comparacao</t>
        </is>
      </c>
      <c r="F534" s="10" t="n"/>
      <c r="G534" s="10" t="b">
        <v>1</v>
      </c>
      <c r="H534" s="10" t="b">
        <v>1</v>
      </c>
      <c r="I534" s="10" t="inlineStr">
        <is>
          <t>DERIVED</t>
        </is>
      </c>
      <c r="J534" s="10" t="inlineStr">
        <is>
          <t>PROPOSED</t>
        </is>
      </c>
      <c r="K534" s="10" t="inlineStr">
        <is>
          <t>DERIVED</t>
        </is>
      </c>
      <c r="L534" s="10" t="inlineStr">
        <is>
          <t>baixa</t>
        </is>
      </c>
      <c r="M534" s="10" t="inlineStr">
        <is>
          <t>["D09-DOC-PPE-001.EXPERIMENT.COMPARACAO"]</t>
        </is>
      </c>
    </row>
    <row r="535">
      <c r="A535" s="10" t="inlineStr">
        <is>
          <t>D09-DOC-PPE-001.MEASUREMENT.METRICAS</t>
        </is>
      </c>
      <c r="B535" s="10" t="inlineStr">
        <is>
          <t>D09-DOC-PPE-001</t>
        </is>
      </c>
      <c r="C535" s="10" t="inlineStr">
        <is>
          <t>D09-DOC-PPE-001-T09</t>
        </is>
      </c>
      <c r="D535" s="10" t="inlineStr">
        <is>
          <t>metricas</t>
        </is>
      </c>
      <c r="E535" s="10" t="inlineStr">
        <is>
          <t>Definir, validar e manter: Metricas</t>
        </is>
      </c>
      <c r="F535" s="10" t="n"/>
      <c r="G535" s="10" t="b">
        <v>1</v>
      </c>
      <c r="H535" s="10" t="b">
        <v>1</v>
      </c>
      <c r="I535" s="10" t="inlineStr">
        <is>
          <t>DERIVED</t>
        </is>
      </c>
      <c r="J535" s="10" t="inlineStr">
        <is>
          <t>PROPOSED</t>
        </is>
      </c>
      <c r="K535" s="10" t="inlineStr">
        <is>
          <t>DERIVED</t>
        </is>
      </c>
      <c r="L535" s="10" t="inlineStr">
        <is>
          <t>baixa</t>
        </is>
      </c>
      <c r="M535" s="10" t="inlineStr">
        <is>
          <t>["D09-DOC-PPE-001.MEASUREMENT.METRICAS"]</t>
        </is>
      </c>
    </row>
    <row r="536">
      <c r="A536" s="10" t="inlineStr">
        <is>
          <t>D09-DOC-PPE-001.MEASUREMENT.INSTRUMENTOS</t>
        </is>
      </c>
      <c r="B536" s="10" t="inlineStr">
        <is>
          <t>D09-DOC-PPE-001</t>
        </is>
      </c>
      <c r="C536" s="10" t="inlineStr">
        <is>
          <t>D09-DOC-PPE-001-T09</t>
        </is>
      </c>
      <c r="D536" s="10" t="inlineStr">
        <is>
          <t>instrumentos</t>
        </is>
      </c>
      <c r="E536" s="10" t="inlineStr">
        <is>
          <t>Definir, validar e manter: Instrumentos</t>
        </is>
      </c>
      <c r="F536" s="10" t="n"/>
      <c r="G536" s="10" t="b">
        <v>1</v>
      </c>
      <c r="H536" s="10" t="b">
        <v>1</v>
      </c>
      <c r="I536" s="10" t="inlineStr">
        <is>
          <t>DERIVED</t>
        </is>
      </c>
      <c r="J536" s="10" t="inlineStr">
        <is>
          <t>PROPOSED</t>
        </is>
      </c>
      <c r="K536" s="10" t="inlineStr">
        <is>
          <t>DERIVED</t>
        </is>
      </c>
      <c r="L536" s="10" t="inlineStr">
        <is>
          <t>baixa</t>
        </is>
      </c>
      <c r="M536" s="10" t="inlineStr">
        <is>
          <t>["D09-DOC-PPE-001.MEASUREMENT.INSTRUMENTOS"]</t>
        </is>
      </c>
    </row>
    <row r="537">
      <c r="A537" s="10" t="inlineStr">
        <is>
          <t>D09-DOC-PPE-001.ANALYSIS.METODO_DE_ANALISE</t>
        </is>
      </c>
      <c r="B537" s="10" t="inlineStr">
        <is>
          <t>D09-DOC-PPE-001</t>
        </is>
      </c>
      <c r="C537" s="10" t="inlineStr">
        <is>
          <t>D09-DOC-PPE-001-T10</t>
        </is>
      </c>
      <c r="D537" s="10" t="inlineStr">
        <is>
          <t>metodo_de_analise</t>
        </is>
      </c>
      <c r="E537" s="10" t="inlineStr">
        <is>
          <t>Definir, validar e manter: Metodo De Analise</t>
        </is>
      </c>
      <c r="F537" s="10" t="n"/>
      <c r="G537" s="10" t="b">
        <v>1</v>
      </c>
      <c r="H537" s="10" t="b">
        <v>1</v>
      </c>
      <c r="I537" s="10" t="inlineStr">
        <is>
          <t>DERIVED</t>
        </is>
      </c>
      <c r="J537" s="10" t="inlineStr">
        <is>
          <t>PROPOSED</t>
        </is>
      </c>
      <c r="K537" s="10" t="inlineStr">
        <is>
          <t>DERIVED</t>
        </is>
      </c>
      <c r="L537" s="10" t="inlineStr">
        <is>
          <t>baixa</t>
        </is>
      </c>
      <c r="M537" s="10" t="inlineStr">
        <is>
          <t>["D09-DOC-PPE-001.ANALYSIS.METODO_DE_ANALISE"]</t>
        </is>
      </c>
    </row>
    <row r="538">
      <c r="A538" s="10" t="inlineStr">
        <is>
          <t>D09-DOC-PPE-001.CRITERIA.SUCESSO</t>
        </is>
      </c>
      <c r="B538" s="10" t="inlineStr">
        <is>
          <t>D09-DOC-PPE-001</t>
        </is>
      </c>
      <c r="C538" s="10" t="inlineStr">
        <is>
          <t>D09-DOC-PPE-001-T11</t>
        </is>
      </c>
      <c r="D538" s="10" t="inlineStr">
        <is>
          <t>sucesso</t>
        </is>
      </c>
      <c r="E538" s="10" t="inlineStr">
        <is>
          <t>Definir, validar e manter: Sucesso</t>
        </is>
      </c>
      <c r="F538" s="10" t="n"/>
      <c r="G538" s="10" t="b">
        <v>1</v>
      </c>
      <c r="H538" s="10" t="b">
        <v>1</v>
      </c>
      <c r="I538" s="10" t="inlineStr">
        <is>
          <t>DERIVED</t>
        </is>
      </c>
      <c r="J538" s="10" t="inlineStr">
        <is>
          <t>PROPOSED</t>
        </is>
      </c>
      <c r="K538" s="10" t="inlineStr">
        <is>
          <t>DERIVED</t>
        </is>
      </c>
      <c r="L538" s="10" t="inlineStr">
        <is>
          <t>baixa</t>
        </is>
      </c>
      <c r="M538" s="10" t="inlineStr">
        <is>
          <t>["D09-DOC-PPE-001.CRITERIA.SUCESSO"]</t>
        </is>
      </c>
    </row>
    <row r="539">
      <c r="A539" s="10" t="inlineStr">
        <is>
          <t>D09-DOC-PPE-001.CRITERIA.FALHA</t>
        </is>
      </c>
      <c r="B539" s="10" t="inlineStr">
        <is>
          <t>D09-DOC-PPE-001</t>
        </is>
      </c>
      <c r="C539" s="10" t="inlineStr">
        <is>
          <t>D09-DOC-PPE-001-T11</t>
        </is>
      </c>
      <c r="D539" s="10" t="inlineStr">
        <is>
          <t>falha</t>
        </is>
      </c>
      <c r="E539" s="10" t="inlineStr">
        <is>
          <t>Definir, validar e manter: Falha</t>
        </is>
      </c>
      <c r="F539" s="10" t="n"/>
      <c r="G539" s="10" t="b">
        <v>1</v>
      </c>
      <c r="H539" s="10" t="b">
        <v>1</v>
      </c>
      <c r="I539" s="10" t="inlineStr">
        <is>
          <t>DERIVED</t>
        </is>
      </c>
      <c r="J539" s="10" t="inlineStr">
        <is>
          <t>PROPOSED</t>
        </is>
      </c>
      <c r="K539" s="10" t="inlineStr">
        <is>
          <t>DERIVED</t>
        </is>
      </c>
      <c r="L539" s="10" t="inlineStr">
        <is>
          <t>baixa</t>
        </is>
      </c>
      <c r="M539" s="10" t="inlineStr">
        <is>
          <t>["D09-DOC-PPE-001.CRITERIA.FALHA"]</t>
        </is>
      </c>
    </row>
    <row r="540">
      <c r="A540" s="10" t="inlineStr">
        <is>
          <t>D09-DOC-PPE-001.CRITERIA.INCONCLUSIVO</t>
        </is>
      </c>
      <c r="B540" s="10" t="inlineStr">
        <is>
          <t>D09-DOC-PPE-001</t>
        </is>
      </c>
      <c r="C540" s="10" t="inlineStr">
        <is>
          <t>D09-DOC-PPE-001-T11</t>
        </is>
      </c>
      <c r="D540" s="10" t="inlineStr">
        <is>
          <t>inconclusivo</t>
        </is>
      </c>
      <c r="E540" s="10" t="inlineStr">
        <is>
          <t>Definir, validar e manter: Inconclusivo</t>
        </is>
      </c>
      <c r="F540" s="10" t="n"/>
      <c r="G540" s="10" t="b">
        <v>1</v>
      </c>
      <c r="H540" s="10" t="b">
        <v>1</v>
      </c>
      <c r="I540" s="10" t="inlineStr">
        <is>
          <t>DERIVED</t>
        </is>
      </c>
      <c r="J540" s="10" t="inlineStr">
        <is>
          <t>PROPOSED</t>
        </is>
      </c>
      <c r="K540" s="10" t="inlineStr">
        <is>
          <t>DERIVED</t>
        </is>
      </c>
      <c r="L540" s="10" t="inlineStr">
        <is>
          <t>baixa</t>
        </is>
      </c>
      <c r="M540" s="10" t="inlineStr">
        <is>
          <t>["D09-DOC-PPE-001.CRITERIA.INCONCLUSIVO"]</t>
        </is>
      </c>
    </row>
    <row r="541">
      <c r="A541" s="10" t="inlineStr">
        <is>
          <t>D09-DOC-PPE-001.RESULTS.RESULTADO</t>
        </is>
      </c>
      <c r="B541" s="10" t="inlineStr">
        <is>
          <t>D09-DOC-PPE-001</t>
        </is>
      </c>
      <c r="C541" s="10" t="inlineStr">
        <is>
          <t>D09-DOC-PPE-001-T12</t>
        </is>
      </c>
      <c r="D541" s="10" t="inlineStr">
        <is>
          <t>resultado</t>
        </is>
      </c>
      <c r="E541" s="10" t="inlineStr">
        <is>
          <t>Definir, validar e manter: Resultado</t>
        </is>
      </c>
      <c r="F541" s="10" t="n"/>
      <c r="G541" s="10" t="b">
        <v>1</v>
      </c>
      <c r="H541" s="10" t="b">
        <v>1</v>
      </c>
      <c r="I541" s="10" t="inlineStr">
        <is>
          <t>DERIVED</t>
        </is>
      </c>
      <c r="J541" s="10" t="inlineStr">
        <is>
          <t>PROPOSED</t>
        </is>
      </c>
      <c r="K541" s="10" t="inlineStr">
        <is>
          <t>DERIVED</t>
        </is>
      </c>
      <c r="L541" s="10" t="inlineStr">
        <is>
          <t>baixa</t>
        </is>
      </c>
      <c r="M541" s="10" t="inlineStr">
        <is>
          <t>["D09-DOC-PPE-001.RESULTS.RESULTADO"]</t>
        </is>
      </c>
    </row>
    <row r="542">
      <c r="A542" s="10" t="inlineStr">
        <is>
          <t>D09-DOC-PPE-001.RESULTS.LIMITACOES</t>
        </is>
      </c>
      <c r="B542" s="10" t="inlineStr">
        <is>
          <t>D09-DOC-PPE-001</t>
        </is>
      </c>
      <c r="C542" s="10" t="inlineStr">
        <is>
          <t>D09-DOC-PPE-001-T12</t>
        </is>
      </c>
      <c r="D542" s="10" t="inlineStr">
        <is>
          <t>limitacoes</t>
        </is>
      </c>
      <c r="E542" s="10" t="inlineStr">
        <is>
          <t>Definir, validar e manter: Limitacoes</t>
        </is>
      </c>
      <c r="F542" s="10" t="n"/>
      <c r="G542" s="10" t="b">
        <v>1</v>
      </c>
      <c r="H542" s="10" t="b">
        <v>1</v>
      </c>
      <c r="I542" s="10" t="inlineStr">
        <is>
          <t>DERIVED</t>
        </is>
      </c>
      <c r="J542" s="10" t="inlineStr">
        <is>
          <t>PROPOSED</t>
        </is>
      </c>
      <c r="K542" s="10" t="inlineStr">
        <is>
          <t>DERIVED</t>
        </is>
      </c>
      <c r="L542" s="10" t="inlineStr">
        <is>
          <t>baixa</t>
        </is>
      </c>
      <c r="M542" s="10" t="inlineStr">
        <is>
          <t>["D09-DOC-PPE-001.RESULTS.LIMITACOES"]</t>
        </is>
      </c>
    </row>
    <row r="543">
      <c r="A543" s="10" t="inlineStr">
        <is>
          <t>D09-DOC-PPE-001.DECISION.DECISAO_DERIVADA</t>
        </is>
      </c>
      <c r="B543" s="10" t="inlineStr">
        <is>
          <t>D09-DOC-PPE-001</t>
        </is>
      </c>
      <c r="C543" s="10" t="inlineStr">
        <is>
          <t>D09-DOC-PPE-001-T13</t>
        </is>
      </c>
      <c r="D543" s="10" t="inlineStr">
        <is>
          <t>decisao_derivada</t>
        </is>
      </c>
      <c r="E543" s="10" t="inlineStr">
        <is>
          <t>Definir, validar e manter: Decisao Derivada</t>
        </is>
      </c>
      <c r="F543" s="10" t="n"/>
      <c r="G543" s="10" t="b">
        <v>1</v>
      </c>
      <c r="H543" s="10" t="b">
        <v>1</v>
      </c>
      <c r="I543" s="10" t="inlineStr">
        <is>
          <t>DERIVED</t>
        </is>
      </c>
      <c r="J543" s="10" t="inlineStr">
        <is>
          <t>PROPOSED</t>
        </is>
      </c>
      <c r="K543" s="10" t="inlineStr">
        <is>
          <t>DERIVED</t>
        </is>
      </c>
      <c r="L543" s="10" t="inlineStr">
        <is>
          <t>baixa</t>
        </is>
      </c>
      <c r="M543" s="10" t="inlineStr">
        <is>
          <t>["D09-DOC-PPE-001.DECISION.DECISAO_DERIVADA"]</t>
        </is>
      </c>
    </row>
    <row r="544">
      <c r="A544" s="10" t="inlineStr">
        <is>
          <t>D09-DOC-DEB-001.SCHEMA.CLAIM_ID</t>
        </is>
      </c>
      <c r="B544" s="10" t="inlineStr">
        <is>
          <t>D09-DOC-DEB-001</t>
        </is>
      </c>
      <c r="C544" s="10" t="inlineStr">
        <is>
          <t>D09-DOC-DEB-001-T01</t>
        </is>
      </c>
      <c r="D544" s="10" t="inlineStr">
        <is>
          <t>claim_id</t>
        </is>
      </c>
      <c r="E544" s="10" t="inlineStr">
        <is>
          <t>Definir, validar e manter: Claim ID</t>
        </is>
      </c>
      <c r="F544" s="10" t="n"/>
      <c r="G544" s="10" t="b">
        <v>1</v>
      </c>
      <c r="H544" s="10" t="b">
        <v>1</v>
      </c>
      <c r="I544" s="10" t="inlineStr">
        <is>
          <t>DERIVED</t>
        </is>
      </c>
      <c r="J544" s="10" t="inlineStr">
        <is>
          <t>PROPOSED</t>
        </is>
      </c>
      <c r="K544" s="10" t="inlineStr">
        <is>
          <t>DERIVED</t>
        </is>
      </c>
      <c r="L544" s="10" t="inlineStr">
        <is>
          <t>baixa</t>
        </is>
      </c>
      <c r="M544" s="10" t="inlineStr">
        <is>
          <t>["D09-DOC-DEB-001.SCHEMA.CLAIM_ID"]</t>
        </is>
      </c>
    </row>
    <row r="545">
      <c r="A545" s="10" t="inlineStr">
        <is>
          <t>D09-DOC-DEB-001.SCHEMA.CLAIM</t>
        </is>
      </c>
      <c r="B545" s="10" t="inlineStr">
        <is>
          <t>D09-DOC-DEB-001</t>
        </is>
      </c>
      <c r="C545" s="10" t="inlineStr">
        <is>
          <t>D09-DOC-DEB-001-T01</t>
        </is>
      </c>
      <c r="D545" s="10" t="inlineStr">
        <is>
          <t>claim</t>
        </is>
      </c>
      <c r="E545" s="10" t="inlineStr">
        <is>
          <t>Definir, validar e manter: Claim</t>
        </is>
      </c>
      <c r="F545" s="10" t="n"/>
      <c r="G545" s="10" t="b">
        <v>1</v>
      </c>
      <c r="H545" s="10" t="b">
        <v>1</v>
      </c>
      <c r="I545" s="10" t="inlineStr">
        <is>
          <t>FOUND</t>
        </is>
      </c>
      <c r="J545" s="10" t="inlineStr">
        <is>
          <t>DIRECT</t>
        </is>
      </c>
      <c r="K545" s="10" t="inlineStr">
        <is>
          <t>FOUND</t>
        </is>
      </c>
      <c r="L545" s="10" t="inlineStr">
        <is>
          <t>alta</t>
        </is>
      </c>
      <c r="M545" s="10" t="inlineStr">
        <is>
          <t>["D09-DOC-DEB-001.SCHEMA.CLAIM"]</t>
        </is>
      </c>
    </row>
    <row r="546">
      <c r="A546" s="10" t="inlineStr">
        <is>
          <t>D09-DOC-DEB-001.SCHEMA.DOMAIN</t>
        </is>
      </c>
      <c r="B546" s="10" t="inlineStr">
        <is>
          <t>D09-DOC-DEB-001</t>
        </is>
      </c>
      <c r="C546" s="10" t="inlineStr">
        <is>
          <t>D09-DOC-DEB-001-T01</t>
        </is>
      </c>
      <c r="D546" s="10" t="inlineStr">
        <is>
          <t>domain</t>
        </is>
      </c>
      <c r="E546" s="10" t="inlineStr">
        <is>
          <t>Definir, validar e manter: Domain</t>
        </is>
      </c>
      <c r="F546" s="10" t="n"/>
      <c r="G546" s="10" t="b">
        <v>1</v>
      </c>
      <c r="H546" s="10" t="b">
        <v>1</v>
      </c>
      <c r="I546" s="10" t="inlineStr">
        <is>
          <t>DERIVED</t>
        </is>
      </c>
      <c r="J546" s="10" t="inlineStr">
        <is>
          <t>PROPOSED</t>
        </is>
      </c>
      <c r="K546" s="10" t="inlineStr">
        <is>
          <t>DERIVED</t>
        </is>
      </c>
      <c r="L546" s="10" t="inlineStr">
        <is>
          <t>baixa</t>
        </is>
      </c>
      <c r="M546" s="10" t="inlineStr">
        <is>
          <t>["D09-DOC-DEB-001.SCHEMA.DOMAIN"]</t>
        </is>
      </c>
    </row>
    <row r="547">
      <c r="A547" s="10" t="inlineStr">
        <is>
          <t>D09-DOC-DEB-001.SCHEMA.EVIDENCE_CLASS</t>
        </is>
      </c>
      <c r="B547" s="10" t="inlineStr">
        <is>
          <t>D09-DOC-DEB-001</t>
        </is>
      </c>
      <c r="C547" s="10" t="inlineStr">
        <is>
          <t>D09-DOC-DEB-001-T01</t>
        </is>
      </c>
      <c r="D547" s="10" t="inlineStr">
        <is>
          <t>evidence_class</t>
        </is>
      </c>
      <c r="E547" s="10" t="inlineStr">
        <is>
          <t>Definir, validar e manter: Evidence Class</t>
        </is>
      </c>
      <c r="F547" s="10" t="n"/>
      <c r="G547" s="10" t="b">
        <v>1</v>
      </c>
      <c r="H547" s="10" t="b">
        <v>1</v>
      </c>
      <c r="I547" s="10" t="inlineStr">
        <is>
          <t>DERIVED</t>
        </is>
      </c>
      <c r="J547" s="10" t="inlineStr">
        <is>
          <t>PROPOSED</t>
        </is>
      </c>
      <c r="K547" s="10" t="inlineStr">
        <is>
          <t>DERIVED</t>
        </is>
      </c>
      <c r="L547" s="10" t="inlineStr">
        <is>
          <t>baixa</t>
        </is>
      </c>
      <c r="M547" s="10" t="inlineStr">
        <is>
          <t>["D09-DOC-DEB-001.SCHEMA.EVIDENCE_CLASS"]</t>
        </is>
      </c>
    </row>
    <row r="548">
      <c r="A548" s="10" t="inlineStr">
        <is>
          <t>D09-DOC-DEB-001.SCHEMA.SOURCE_ID</t>
        </is>
      </c>
      <c r="B548" s="10" t="inlineStr">
        <is>
          <t>D09-DOC-DEB-001</t>
        </is>
      </c>
      <c r="C548" s="10" t="inlineStr">
        <is>
          <t>D09-DOC-DEB-001-T01</t>
        </is>
      </c>
      <c r="D548" s="10" t="inlineStr">
        <is>
          <t>source_id</t>
        </is>
      </c>
      <c r="E548" s="10" t="inlineStr">
        <is>
          <t>Definir, validar e manter: Source ID</t>
        </is>
      </c>
      <c r="F548" s="10" t="n"/>
      <c r="G548" s="10" t="b">
        <v>1</v>
      </c>
      <c r="H548" s="10" t="b">
        <v>1</v>
      </c>
      <c r="I548" s="10" t="inlineStr">
        <is>
          <t>DERIVED</t>
        </is>
      </c>
      <c r="J548" s="10" t="inlineStr">
        <is>
          <t>PROPOSED</t>
        </is>
      </c>
      <c r="K548" s="10" t="inlineStr">
        <is>
          <t>DERIVED</t>
        </is>
      </c>
      <c r="L548" s="10" t="inlineStr">
        <is>
          <t>baixa</t>
        </is>
      </c>
      <c r="M548" s="10" t="inlineStr">
        <is>
          <t>["D09-DOC-DEB-001.SCHEMA.SOURCE_ID"]</t>
        </is>
      </c>
    </row>
    <row r="549">
      <c r="A549" s="10" t="inlineStr">
        <is>
          <t>D09-DOC-DEB-001.SCHEMA.SOURCE_TYPE</t>
        </is>
      </c>
      <c r="B549" s="10" t="inlineStr">
        <is>
          <t>D09-DOC-DEB-001</t>
        </is>
      </c>
      <c r="C549" s="10" t="inlineStr">
        <is>
          <t>D09-DOC-DEB-001-T01</t>
        </is>
      </c>
      <c r="D549" s="10" t="inlineStr">
        <is>
          <t>source_type</t>
        </is>
      </c>
      <c r="E549" s="10" t="inlineStr">
        <is>
          <t>Definir, validar e manter: Source Type</t>
        </is>
      </c>
      <c r="F549" s="10" t="n"/>
      <c r="G549" s="10" t="b">
        <v>1</v>
      </c>
      <c r="H549" s="10" t="b">
        <v>1</v>
      </c>
      <c r="I549" s="10" t="inlineStr">
        <is>
          <t>DERIVED</t>
        </is>
      </c>
      <c r="J549" s="10" t="inlineStr">
        <is>
          <t>PROPOSED</t>
        </is>
      </c>
      <c r="K549" s="10" t="inlineStr">
        <is>
          <t>DERIVED</t>
        </is>
      </c>
      <c r="L549" s="10" t="inlineStr">
        <is>
          <t>baixa</t>
        </is>
      </c>
      <c r="M549" s="10" t="inlineStr">
        <is>
          <t>["D09-DOC-DEB-001.SCHEMA.SOURCE_TYPE"]</t>
        </is>
      </c>
    </row>
    <row r="550">
      <c r="A550" s="10" t="inlineStr">
        <is>
          <t>D09-DOC-DEB-001.SCHEMA.CITATION</t>
        </is>
      </c>
      <c r="B550" s="10" t="inlineStr">
        <is>
          <t>D09-DOC-DEB-001</t>
        </is>
      </c>
      <c r="C550" s="10" t="inlineStr">
        <is>
          <t>D09-DOC-DEB-001-T01</t>
        </is>
      </c>
      <c r="D550" s="10" t="inlineStr">
        <is>
          <t>citation</t>
        </is>
      </c>
      <c r="E550" s="10" t="inlineStr">
        <is>
          <t>Definir, validar e manter: Citation</t>
        </is>
      </c>
      <c r="F550" s="10" t="n"/>
      <c r="G550" s="10" t="b">
        <v>1</v>
      </c>
      <c r="H550" s="10" t="b">
        <v>1</v>
      </c>
      <c r="I550" s="10" t="inlineStr">
        <is>
          <t>DERIVED</t>
        </is>
      </c>
      <c r="J550" s="10" t="inlineStr">
        <is>
          <t>PROPOSED</t>
        </is>
      </c>
      <c r="K550" s="10" t="inlineStr">
        <is>
          <t>DERIVED</t>
        </is>
      </c>
      <c r="L550" s="10" t="inlineStr">
        <is>
          <t>baixa</t>
        </is>
      </c>
      <c r="M550" s="10" t="inlineStr">
        <is>
          <t>["D09-DOC-DEB-001.SCHEMA.CITATION"]</t>
        </is>
      </c>
    </row>
    <row r="551">
      <c r="A551" s="10" t="inlineStr">
        <is>
          <t>D09-DOC-DEB-001.SCHEMA.LOCATOR</t>
        </is>
      </c>
      <c r="B551" s="10" t="inlineStr">
        <is>
          <t>D09-DOC-DEB-001</t>
        </is>
      </c>
      <c r="C551" s="10" t="inlineStr">
        <is>
          <t>D09-DOC-DEB-001-T01</t>
        </is>
      </c>
      <c r="D551" s="10" t="inlineStr">
        <is>
          <t>locator</t>
        </is>
      </c>
      <c r="E551" s="10" t="inlineStr">
        <is>
          <t>Definir, validar e manter: Locator</t>
        </is>
      </c>
      <c r="F551" s="10" t="n"/>
      <c r="G551" s="10" t="b">
        <v>1</v>
      </c>
      <c r="H551" s="10" t="b">
        <v>1</v>
      </c>
      <c r="I551" s="10" t="inlineStr">
        <is>
          <t>DERIVED</t>
        </is>
      </c>
      <c r="J551" s="10" t="inlineStr">
        <is>
          <t>PROPOSED</t>
        </is>
      </c>
      <c r="K551" s="10" t="inlineStr">
        <is>
          <t>DERIVED</t>
        </is>
      </c>
      <c r="L551" s="10" t="inlineStr">
        <is>
          <t>baixa</t>
        </is>
      </c>
      <c r="M551" s="10" t="inlineStr">
        <is>
          <t>["D09-DOC-DEB-001.SCHEMA.LOCATOR"]</t>
        </is>
      </c>
    </row>
    <row r="552">
      <c r="A552" s="10" t="inlineStr">
        <is>
          <t>D09-DOC-DEB-001.SCHEMA.PUBLICATION_DATE</t>
        </is>
      </c>
      <c r="B552" s="10" t="inlineStr">
        <is>
          <t>D09-DOC-DEB-001</t>
        </is>
      </c>
      <c r="C552" s="10" t="inlineStr">
        <is>
          <t>D09-DOC-DEB-001-T01</t>
        </is>
      </c>
      <c r="D552" s="10" t="inlineStr">
        <is>
          <t>publication_date</t>
        </is>
      </c>
      <c r="E552" s="10" t="inlineStr">
        <is>
          <t>Definir, validar e manter: Publication Date</t>
        </is>
      </c>
      <c r="F552" s="10" t="n"/>
      <c r="G552" s="10" t="b">
        <v>1</v>
      </c>
      <c r="H552" s="10" t="b">
        <v>1</v>
      </c>
      <c r="I552" s="10" t="inlineStr">
        <is>
          <t>DERIVED</t>
        </is>
      </c>
      <c r="J552" s="10" t="inlineStr">
        <is>
          <t>PROPOSED</t>
        </is>
      </c>
      <c r="K552" s="10" t="inlineStr">
        <is>
          <t>DERIVED</t>
        </is>
      </c>
      <c r="L552" s="10" t="inlineStr">
        <is>
          <t>baixa</t>
        </is>
      </c>
      <c r="M552" s="10" t="inlineStr">
        <is>
          <t>["D09-DOC-DEB-001.SCHEMA.PUBLICATION_DATE"]</t>
        </is>
      </c>
    </row>
    <row r="553">
      <c r="A553" s="10" t="inlineStr">
        <is>
          <t>D09-DOC-DEB-001.SCHEMA.POPULATION</t>
        </is>
      </c>
      <c r="B553" s="10" t="inlineStr">
        <is>
          <t>D09-DOC-DEB-001</t>
        </is>
      </c>
      <c r="C553" s="10" t="inlineStr">
        <is>
          <t>D09-DOC-DEB-001-T01</t>
        </is>
      </c>
      <c r="D553" s="10" t="inlineStr">
        <is>
          <t>population</t>
        </is>
      </c>
      <c r="E553" s="10" t="inlineStr">
        <is>
          <t>Definir, validar e manter: Population</t>
        </is>
      </c>
      <c r="F553" s="10" t="n"/>
      <c r="G553" s="10" t="b">
        <v>1</v>
      </c>
      <c r="H553" s="10" t="b">
        <v>1</v>
      </c>
      <c r="I553" s="10" t="inlineStr">
        <is>
          <t>DERIVED</t>
        </is>
      </c>
      <c r="J553" s="10" t="inlineStr">
        <is>
          <t>PROPOSED</t>
        </is>
      </c>
      <c r="K553" s="10" t="inlineStr">
        <is>
          <t>DERIVED</t>
        </is>
      </c>
      <c r="L553" s="10" t="inlineStr">
        <is>
          <t>baixa</t>
        </is>
      </c>
      <c r="M553" s="10" t="inlineStr">
        <is>
          <t>["D09-DOC-DEB-001.SCHEMA.POPULATION"]</t>
        </is>
      </c>
    </row>
    <row r="554">
      <c r="A554" s="10" t="inlineStr">
        <is>
          <t>D09-DOC-DEB-001.SCHEMA.FINDING</t>
        </is>
      </c>
      <c r="B554" s="10" t="inlineStr">
        <is>
          <t>D09-DOC-DEB-001</t>
        </is>
      </c>
      <c r="C554" s="10" t="inlineStr">
        <is>
          <t>D09-DOC-DEB-001-T01</t>
        </is>
      </c>
      <c r="D554" s="10" t="inlineStr">
        <is>
          <t>finding</t>
        </is>
      </c>
      <c r="E554" s="10" t="inlineStr">
        <is>
          <t>Definir, validar e manter: Finding</t>
        </is>
      </c>
      <c r="F554" s="10" t="n"/>
      <c r="G554" s="10" t="b">
        <v>1</v>
      </c>
      <c r="H554" s="10" t="b">
        <v>1</v>
      </c>
      <c r="I554" s="10" t="inlineStr">
        <is>
          <t>DERIVED</t>
        </is>
      </c>
      <c r="J554" s="10" t="inlineStr">
        <is>
          <t>PROPOSED</t>
        </is>
      </c>
      <c r="K554" s="10" t="inlineStr">
        <is>
          <t>DERIVED</t>
        </is>
      </c>
      <c r="L554" s="10" t="inlineStr">
        <is>
          <t>baixa</t>
        </is>
      </c>
      <c r="M554" s="10" t="inlineStr">
        <is>
          <t>["D09-DOC-DEB-001.SCHEMA.FINDING"]</t>
        </is>
      </c>
    </row>
    <row r="555">
      <c r="A555" s="10" t="inlineStr">
        <is>
          <t>D09-DOC-DEB-001.SCHEMA.LIMITATION</t>
        </is>
      </c>
      <c r="B555" s="10" t="inlineStr">
        <is>
          <t>D09-DOC-DEB-001</t>
        </is>
      </c>
      <c r="C555" s="10" t="inlineStr">
        <is>
          <t>D09-DOC-DEB-001-T01</t>
        </is>
      </c>
      <c r="D555" s="10" t="inlineStr">
        <is>
          <t>limitation</t>
        </is>
      </c>
      <c r="E555" s="10" t="inlineStr">
        <is>
          <t>Definir, validar e manter: Limitation</t>
        </is>
      </c>
      <c r="F555" s="10" t="n"/>
      <c r="G555" s="10" t="b">
        <v>1</v>
      </c>
      <c r="H555" s="10" t="b">
        <v>1</v>
      </c>
      <c r="I555" s="10" t="inlineStr">
        <is>
          <t>DERIVED</t>
        </is>
      </c>
      <c r="J555" s="10" t="inlineStr">
        <is>
          <t>PROPOSED</t>
        </is>
      </c>
      <c r="K555" s="10" t="inlineStr">
        <is>
          <t>DERIVED</t>
        </is>
      </c>
      <c r="L555" s="10" t="inlineStr">
        <is>
          <t>baixa</t>
        </is>
      </c>
      <c r="M555" s="10" t="inlineStr">
        <is>
          <t>["D09-DOC-DEB-001.SCHEMA.LIMITATION"]</t>
        </is>
      </c>
    </row>
    <row r="556">
      <c r="A556" s="10" t="inlineStr">
        <is>
          <t>D09-DOC-DEB-001.SCHEMA.CONTRADICTORY_EVIDENCE</t>
        </is>
      </c>
      <c r="B556" s="10" t="inlineStr">
        <is>
          <t>D09-DOC-DEB-001</t>
        </is>
      </c>
      <c r="C556" s="10" t="inlineStr">
        <is>
          <t>D09-DOC-DEB-001-T01</t>
        </is>
      </c>
      <c r="D556" s="10" t="inlineStr">
        <is>
          <t>contradictory_evidence</t>
        </is>
      </c>
      <c r="E556" s="10" t="inlineStr">
        <is>
          <t>Definir, validar e manter: Contradictory Evidence</t>
        </is>
      </c>
      <c r="F556" s="10" t="n"/>
      <c r="G556" s="10" t="b">
        <v>1</v>
      </c>
      <c r="H556" s="10" t="b">
        <v>1</v>
      </c>
      <c r="I556" s="10" t="inlineStr">
        <is>
          <t>DERIVED</t>
        </is>
      </c>
      <c r="J556" s="10" t="inlineStr">
        <is>
          <t>PROPOSED</t>
        </is>
      </c>
      <c r="K556" s="10" t="inlineStr">
        <is>
          <t>DERIVED</t>
        </is>
      </c>
      <c r="L556" s="10" t="inlineStr">
        <is>
          <t>baixa</t>
        </is>
      </c>
      <c r="M556" s="10" t="inlineStr">
        <is>
          <t>["D09-DOC-DEB-001.SCHEMA.CONTRADICTORY_EVIDENCE"]</t>
        </is>
      </c>
    </row>
    <row r="557">
      <c r="A557" s="10" t="inlineStr">
        <is>
          <t>D09-DOC-DEB-001.SCHEMA.SUPPORTED_DOCUMENTS</t>
        </is>
      </c>
      <c r="B557" s="10" t="inlineStr">
        <is>
          <t>D09-DOC-DEB-001</t>
        </is>
      </c>
      <c r="C557" s="10" t="inlineStr">
        <is>
          <t>D09-DOC-DEB-001-T01</t>
        </is>
      </c>
      <c r="D557" s="10" t="inlineStr">
        <is>
          <t>supported_documents</t>
        </is>
      </c>
      <c r="E557" s="10" t="inlineStr">
        <is>
          <t>Definir, validar e manter: Supported Documents</t>
        </is>
      </c>
      <c r="F557" s="10" t="n"/>
      <c r="G557" s="10" t="b">
        <v>1</v>
      </c>
      <c r="H557" s="10" t="b">
        <v>1</v>
      </c>
      <c r="I557" s="10" t="inlineStr">
        <is>
          <t>DERIVED</t>
        </is>
      </c>
      <c r="J557" s="10" t="inlineStr">
        <is>
          <t>PROPOSED</t>
        </is>
      </c>
      <c r="K557" s="10" t="inlineStr">
        <is>
          <t>DERIVED</t>
        </is>
      </c>
      <c r="L557" s="10" t="inlineStr">
        <is>
          <t>baixa</t>
        </is>
      </c>
      <c r="M557" s="10" t="inlineStr">
        <is>
          <t>["D09-DOC-DEB-001.SCHEMA.SUPPORTED_DOCUMENTS"]</t>
        </is>
      </c>
    </row>
    <row r="558">
      <c r="A558" s="10" t="inlineStr">
        <is>
          <t>D09-DOC-DEB-001.SCHEMA.CONFIDENCE</t>
        </is>
      </c>
      <c r="B558" s="10" t="inlineStr">
        <is>
          <t>D09-DOC-DEB-001</t>
        </is>
      </c>
      <c r="C558" s="10" t="inlineStr">
        <is>
          <t>D09-DOC-DEB-001-T01</t>
        </is>
      </c>
      <c r="D558" s="10" t="inlineStr">
        <is>
          <t>confidence</t>
        </is>
      </c>
      <c r="E558" s="10" t="inlineStr">
        <is>
          <t>Definir, validar e manter: Confidence</t>
        </is>
      </c>
      <c r="F558" s="10" t="n"/>
      <c r="G558" s="10" t="b">
        <v>1</v>
      </c>
      <c r="H558" s="10" t="b">
        <v>1</v>
      </c>
      <c r="I558" s="10" t="inlineStr">
        <is>
          <t>DERIVED</t>
        </is>
      </c>
      <c r="J558" s="10" t="inlineStr">
        <is>
          <t>PROPOSED</t>
        </is>
      </c>
      <c r="K558" s="10" t="inlineStr">
        <is>
          <t>DERIVED</t>
        </is>
      </c>
      <c r="L558" s="10" t="inlineStr">
        <is>
          <t>baixa</t>
        </is>
      </c>
      <c r="M558" s="10" t="inlineStr">
        <is>
          <t>["D09-DOC-DEB-001.SCHEMA.CONFIDENCE"]</t>
        </is>
      </c>
    </row>
    <row r="559">
      <c r="A559" s="10" t="inlineStr">
        <is>
          <t>D09-DOC-DEB-001.SCHEMA.STATUS</t>
        </is>
      </c>
      <c r="B559" s="10" t="inlineStr">
        <is>
          <t>D09-DOC-DEB-001</t>
        </is>
      </c>
      <c r="C559" s="10" t="inlineStr">
        <is>
          <t>D09-DOC-DEB-001-T01</t>
        </is>
      </c>
      <c r="D559" s="10" t="inlineStr">
        <is>
          <t>status</t>
        </is>
      </c>
      <c r="E559" s="10" t="inlineStr">
        <is>
          <t>Definir, validar e manter: Status</t>
        </is>
      </c>
      <c r="F559" s="10" t="n"/>
      <c r="G559" s="10" t="b">
        <v>1</v>
      </c>
      <c r="H559" s="10" t="b">
        <v>1</v>
      </c>
      <c r="I559" s="10" t="inlineStr">
        <is>
          <t>DERIVED</t>
        </is>
      </c>
      <c r="J559" s="10" t="inlineStr">
        <is>
          <t>PROPOSED</t>
        </is>
      </c>
      <c r="K559" s="10" t="inlineStr">
        <is>
          <t>DERIVED</t>
        </is>
      </c>
      <c r="L559" s="10" t="inlineStr">
        <is>
          <t>baixa</t>
        </is>
      </c>
      <c r="M559" s="10" t="inlineStr">
        <is>
          <t>["D09-DOC-DEB-001.SCHEMA.STATUS"]</t>
        </is>
      </c>
    </row>
    <row r="560">
      <c r="A560" s="10" t="inlineStr">
        <is>
          <t>D10-DOC-DRP-001.PROBLEM.PROBLEMA</t>
        </is>
      </c>
      <c r="B560" s="10" t="inlineStr">
        <is>
          <t>D10-DOC-DRP-001</t>
        </is>
      </c>
      <c r="C560" s="10" t="inlineStr">
        <is>
          <t>D10-DOC-DRP-001-T01</t>
        </is>
      </c>
      <c r="D560" s="10" t="inlineStr">
        <is>
          <t>problema</t>
        </is>
      </c>
      <c r="E560" s="10" t="inlineStr">
        <is>
          <t>Definir, validar e manter: Problema</t>
        </is>
      </c>
      <c r="F560" s="10" t="n"/>
      <c r="G560" s="10" t="b">
        <v>1</v>
      </c>
      <c r="H560" s="10" t="b">
        <v>1</v>
      </c>
      <c r="I560" s="10" t="inlineStr">
        <is>
          <t>DERIVED</t>
        </is>
      </c>
      <c r="J560" s="10" t="inlineStr">
        <is>
          <t>PROPOSED</t>
        </is>
      </c>
      <c r="K560" s="10" t="inlineStr">
        <is>
          <t>DERIVED</t>
        </is>
      </c>
      <c r="L560" s="10" t="inlineStr">
        <is>
          <t>baixa</t>
        </is>
      </c>
      <c r="M560" s="10" t="inlineStr">
        <is>
          <t>["D10-DOC-DRP-001.PROBLEM.PROBLEMA"]</t>
        </is>
      </c>
    </row>
    <row r="561">
      <c r="A561" s="10" t="inlineStr">
        <is>
          <t>D10-DOC-DRP-001.PROBLEM.EVIDENCIA</t>
        </is>
      </c>
      <c r="B561" s="10" t="inlineStr">
        <is>
          <t>D10-DOC-DRP-001</t>
        </is>
      </c>
      <c r="C561" s="10" t="inlineStr">
        <is>
          <t>D10-DOC-DRP-001-T01</t>
        </is>
      </c>
      <c r="D561" s="10" t="inlineStr">
        <is>
          <t>evidencia</t>
        </is>
      </c>
      <c r="E561" s="10" t="inlineStr">
        <is>
          <t>Definir, validar e manter: Evidencia</t>
        </is>
      </c>
      <c r="F561" s="10" t="n"/>
      <c r="G561" s="10" t="b">
        <v>1</v>
      </c>
      <c r="H561" s="10" t="b">
        <v>1</v>
      </c>
      <c r="I561" s="10" t="inlineStr">
        <is>
          <t>DERIVED</t>
        </is>
      </c>
      <c r="J561" s="10" t="inlineStr">
        <is>
          <t>PROPOSED</t>
        </is>
      </c>
      <c r="K561" s="10" t="inlineStr">
        <is>
          <t>DERIVED</t>
        </is>
      </c>
      <c r="L561" s="10" t="inlineStr">
        <is>
          <t>baixa</t>
        </is>
      </c>
      <c r="M561" s="10" t="inlineStr">
        <is>
          <t>["D10-DOC-DRP-001.PROBLEM.EVIDENCIA"]</t>
        </is>
      </c>
    </row>
    <row r="562">
      <c r="A562" s="10" t="inlineStr">
        <is>
          <t>D10-DOC-DRP-001.PROBLEM.IMPACTO</t>
        </is>
      </c>
      <c r="B562" s="10" t="inlineStr">
        <is>
          <t>D10-DOC-DRP-001</t>
        </is>
      </c>
      <c r="C562" s="10" t="inlineStr">
        <is>
          <t>D10-DOC-DRP-001-T01</t>
        </is>
      </c>
      <c r="D562" s="10" t="inlineStr">
        <is>
          <t>impacto</t>
        </is>
      </c>
      <c r="E562" s="10" t="inlineStr">
        <is>
          <t>Definir, validar e manter: Impacto</t>
        </is>
      </c>
      <c r="F562" s="10" t="n"/>
      <c r="G562" s="10" t="b">
        <v>1</v>
      </c>
      <c r="H562" s="10" t="b">
        <v>1</v>
      </c>
      <c r="I562" s="10" t="inlineStr">
        <is>
          <t>DERIVED</t>
        </is>
      </c>
      <c r="J562" s="10" t="inlineStr">
        <is>
          <t>PROPOSED</t>
        </is>
      </c>
      <c r="K562" s="10" t="inlineStr">
        <is>
          <t>DERIVED</t>
        </is>
      </c>
      <c r="L562" s="10" t="inlineStr">
        <is>
          <t>baixa</t>
        </is>
      </c>
      <c r="M562" s="10" t="inlineStr">
        <is>
          <t>["D10-DOC-DRP-001.PROBLEM.IMPACTO"]</t>
        </is>
      </c>
    </row>
    <row r="563">
      <c r="A563" s="10" t="inlineStr">
        <is>
          <t>D10-DOC-DRP-001.AUDIENCE.USUARIOS</t>
        </is>
      </c>
      <c r="B563" s="10" t="inlineStr">
        <is>
          <t>D10-DOC-DRP-001</t>
        </is>
      </c>
      <c r="C563" s="10" t="inlineStr">
        <is>
          <t>D10-DOC-DRP-001-T02</t>
        </is>
      </c>
      <c r="D563" s="10" t="inlineStr">
        <is>
          <t>usuarios</t>
        </is>
      </c>
      <c r="E563" s="10" t="inlineStr">
        <is>
          <t>Definir, validar e manter: Usuarios</t>
        </is>
      </c>
      <c r="F563" s="10" t="n"/>
      <c r="G563" s="10" t="b">
        <v>1</v>
      </c>
      <c r="H563" s="10" t="b">
        <v>1</v>
      </c>
      <c r="I563" s="10" t="inlineStr">
        <is>
          <t>DERIVED</t>
        </is>
      </c>
      <c r="J563" s="10" t="inlineStr">
        <is>
          <t>PROPOSED</t>
        </is>
      </c>
      <c r="K563" s="10" t="inlineStr">
        <is>
          <t>DERIVED</t>
        </is>
      </c>
      <c r="L563" s="10" t="inlineStr">
        <is>
          <t>baixa</t>
        </is>
      </c>
      <c r="M563" s="10" t="inlineStr">
        <is>
          <t>["D10-DOC-DRP-001.AUDIENCE.USUARIOS"]</t>
        </is>
      </c>
    </row>
    <row r="564">
      <c r="A564" s="10" t="inlineStr">
        <is>
          <t>D10-DOC-DRP-001.AUDIENCE.CLIENTES</t>
        </is>
      </c>
      <c r="B564" s="10" t="inlineStr">
        <is>
          <t>D10-DOC-DRP-001</t>
        </is>
      </c>
      <c r="C564" s="10" t="inlineStr">
        <is>
          <t>D10-DOC-DRP-001-T02</t>
        </is>
      </c>
      <c r="D564" s="10" t="inlineStr">
        <is>
          <t>clientes</t>
        </is>
      </c>
      <c r="E564" s="10" t="inlineStr">
        <is>
          <t>Definir, validar e manter: Clientes</t>
        </is>
      </c>
      <c r="F564" s="10" t="n"/>
      <c r="G564" s="10" t="b">
        <v>1</v>
      </c>
      <c r="H564" s="10" t="b">
        <v>1</v>
      </c>
      <c r="I564" s="10" t="inlineStr">
        <is>
          <t>DERIVED</t>
        </is>
      </c>
      <c r="J564" s="10" t="inlineStr">
        <is>
          <t>PROPOSED</t>
        </is>
      </c>
      <c r="K564" s="10" t="inlineStr">
        <is>
          <t>DERIVED</t>
        </is>
      </c>
      <c r="L564" s="10" t="inlineStr">
        <is>
          <t>baixa</t>
        </is>
      </c>
      <c r="M564" s="10" t="inlineStr">
        <is>
          <t>["D10-DOC-DRP-001.AUDIENCE.CLIENTES"]</t>
        </is>
      </c>
    </row>
    <row r="565">
      <c r="A565" s="10" t="inlineStr">
        <is>
          <t>D10-DOC-DRP-001.AUDIENCE.ICP</t>
        </is>
      </c>
      <c r="B565" s="10" t="inlineStr">
        <is>
          <t>D10-DOC-DRP-001</t>
        </is>
      </c>
      <c r="C565" s="10" t="inlineStr">
        <is>
          <t>D10-DOC-DRP-001-T02</t>
        </is>
      </c>
      <c r="D565" s="10" t="inlineStr">
        <is>
          <t>icp</t>
        </is>
      </c>
      <c r="E565" s="10" t="inlineStr">
        <is>
          <t>Definir, validar e manter: Icp</t>
        </is>
      </c>
      <c r="F565" s="10" t="n"/>
      <c r="G565" s="10" t="b">
        <v>1</v>
      </c>
      <c r="H565" s="10" t="b">
        <v>1</v>
      </c>
      <c r="I565" s="10" t="inlineStr">
        <is>
          <t>DERIVED</t>
        </is>
      </c>
      <c r="J565" s="10" t="inlineStr">
        <is>
          <t>PROPOSED</t>
        </is>
      </c>
      <c r="K565" s="10" t="inlineStr">
        <is>
          <t>DERIVED</t>
        </is>
      </c>
      <c r="L565" s="10" t="inlineStr">
        <is>
          <t>baixa</t>
        </is>
      </c>
      <c r="M565" s="10" t="inlineStr">
        <is>
          <t>["D10-DOC-DRP-001.AUDIENCE.ICP"]</t>
        </is>
      </c>
    </row>
    <row r="566">
      <c r="A566" s="10" t="inlineStr">
        <is>
          <t>D10-DOC-DRP-001.JTBD.SITUACAO</t>
        </is>
      </c>
      <c r="B566" s="10" t="inlineStr">
        <is>
          <t>D10-DOC-DRP-001</t>
        </is>
      </c>
      <c r="C566" s="10" t="inlineStr">
        <is>
          <t>D10-DOC-DRP-001-T03</t>
        </is>
      </c>
      <c r="D566" s="10" t="inlineStr">
        <is>
          <t>situacao</t>
        </is>
      </c>
      <c r="E566" s="10" t="inlineStr">
        <is>
          <t>Definir, validar e manter: Situacao</t>
        </is>
      </c>
      <c r="F566" s="10" t="n"/>
      <c r="G566" s="10" t="b">
        <v>1</v>
      </c>
      <c r="H566" s="10" t="b">
        <v>1</v>
      </c>
      <c r="I566" s="10" t="inlineStr">
        <is>
          <t>DERIVED</t>
        </is>
      </c>
      <c r="J566" s="10" t="inlineStr">
        <is>
          <t>PROPOSED</t>
        </is>
      </c>
      <c r="K566" s="10" t="inlineStr">
        <is>
          <t>DERIVED</t>
        </is>
      </c>
      <c r="L566" s="10" t="inlineStr">
        <is>
          <t>baixa</t>
        </is>
      </c>
      <c r="M566" s="10" t="inlineStr">
        <is>
          <t>["D10-DOC-DRP-001.JTBD.SITUACAO"]</t>
        </is>
      </c>
    </row>
    <row r="567">
      <c r="A567" s="10" t="inlineStr">
        <is>
          <t>D10-DOC-DRP-001.JTBD.TRABALHO</t>
        </is>
      </c>
      <c r="B567" s="10" t="inlineStr">
        <is>
          <t>D10-DOC-DRP-001</t>
        </is>
      </c>
      <c r="C567" s="10" t="inlineStr">
        <is>
          <t>D10-DOC-DRP-001-T03</t>
        </is>
      </c>
      <c r="D567" s="10" t="inlineStr">
        <is>
          <t>trabalho</t>
        </is>
      </c>
      <c r="E567" s="10" t="inlineStr">
        <is>
          <t>Definir, validar e manter: Trabalho</t>
        </is>
      </c>
      <c r="F567" s="10" t="n"/>
      <c r="G567" s="10" t="b">
        <v>1</v>
      </c>
      <c r="H567" s="10" t="b">
        <v>1</v>
      </c>
      <c r="I567" s="10" t="inlineStr">
        <is>
          <t>DERIVED</t>
        </is>
      </c>
      <c r="J567" s="10" t="inlineStr">
        <is>
          <t>PROPOSED</t>
        </is>
      </c>
      <c r="K567" s="10" t="inlineStr">
        <is>
          <t>DERIVED</t>
        </is>
      </c>
      <c r="L567" s="10" t="inlineStr">
        <is>
          <t>baixa</t>
        </is>
      </c>
      <c r="M567" s="10" t="inlineStr">
        <is>
          <t>["D10-DOC-DRP-001.JTBD.TRABALHO"]</t>
        </is>
      </c>
    </row>
    <row r="568">
      <c r="A568" s="10" t="inlineStr">
        <is>
          <t>D10-DOC-DRP-001.JTBD.OUTCOME</t>
        </is>
      </c>
      <c r="B568" s="10" t="inlineStr">
        <is>
          <t>D10-DOC-DRP-001</t>
        </is>
      </c>
      <c r="C568" s="10" t="inlineStr">
        <is>
          <t>D10-DOC-DRP-001-T03</t>
        </is>
      </c>
      <c r="D568" s="10" t="inlineStr">
        <is>
          <t>outcome</t>
        </is>
      </c>
      <c r="E568" s="10" t="inlineStr">
        <is>
          <t>Definir, validar e manter: Outcome</t>
        </is>
      </c>
      <c r="F568" s="10" t="n"/>
      <c r="G568" s="10" t="b">
        <v>1</v>
      </c>
      <c r="H568" s="10" t="b">
        <v>1</v>
      </c>
      <c r="I568" s="10" t="inlineStr">
        <is>
          <t>DERIVED</t>
        </is>
      </c>
      <c r="J568" s="10" t="inlineStr">
        <is>
          <t>PROPOSED</t>
        </is>
      </c>
      <c r="K568" s="10" t="inlineStr">
        <is>
          <t>DERIVED</t>
        </is>
      </c>
      <c r="L568" s="10" t="inlineStr">
        <is>
          <t>baixa</t>
        </is>
      </c>
      <c r="M568" s="10" t="inlineStr">
        <is>
          <t>["D10-DOC-DRP-001.JTBD.OUTCOME"]</t>
        </is>
      </c>
    </row>
    <row r="569">
      <c r="A569" s="10" t="inlineStr">
        <is>
          <t>D10-DOC-DRP-001.VALUE.PROPOSTA_DE_VALOR</t>
        </is>
      </c>
      <c r="B569" s="10" t="inlineStr">
        <is>
          <t>D10-DOC-DRP-001</t>
        </is>
      </c>
      <c r="C569" s="10" t="inlineStr">
        <is>
          <t>D10-DOC-DRP-001-T04</t>
        </is>
      </c>
      <c r="D569" s="10" t="inlineStr">
        <is>
          <t>proposta_de_valor</t>
        </is>
      </c>
      <c r="E569" s="10" t="inlineStr">
        <is>
          <t>Definir, validar e manter: Proposta De Valor</t>
        </is>
      </c>
      <c r="F569" s="10" t="n"/>
      <c r="G569" s="10" t="b">
        <v>1</v>
      </c>
      <c r="H569" s="10" t="b">
        <v>1</v>
      </c>
      <c r="I569" s="10" t="inlineStr">
        <is>
          <t>DERIVED</t>
        </is>
      </c>
      <c r="J569" s="10" t="inlineStr">
        <is>
          <t>PROPOSED</t>
        </is>
      </c>
      <c r="K569" s="10" t="inlineStr">
        <is>
          <t>DERIVED</t>
        </is>
      </c>
      <c r="L569" s="10" t="inlineStr">
        <is>
          <t>baixa</t>
        </is>
      </c>
      <c r="M569" s="10" t="inlineStr">
        <is>
          <t>["D10-DOC-DRP-001.VALUE.PROPOSTA_DE_VALOR"]</t>
        </is>
      </c>
    </row>
    <row r="570">
      <c r="A570" s="10" t="inlineStr">
        <is>
          <t>D10-DOC-DRP-001.GOALS.OBJETIVOS</t>
        </is>
      </c>
      <c r="B570" s="10" t="inlineStr">
        <is>
          <t>D10-DOC-DRP-001</t>
        </is>
      </c>
      <c r="C570" s="10" t="inlineStr">
        <is>
          <t>D10-DOC-DRP-001-T05</t>
        </is>
      </c>
      <c r="D570" s="10" t="inlineStr">
        <is>
          <t>objetivos</t>
        </is>
      </c>
      <c r="E570" s="10" t="inlineStr">
        <is>
          <t>Definir, validar e manter: Objetivos</t>
        </is>
      </c>
      <c r="F570" s="10" t="n"/>
      <c r="G570" s="10" t="b">
        <v>1</v>
      </c>
      <c r="H570" s="10" t="b">
        <v>1</v>
      </c>
      <c r="I570" s="10" t="inlineStr">
        <is>
          <t>DERIVED</t>
        </is>
      </c>
      <c r="J570" s="10" t="inlineStr">
        <is>
          <t>PROPOSED</t>
        </is>
      </c>
      <c r="K570" s="10" t="inlineStr">
        <is>
          <t>DERIVED</t>
        </is>
      </c>
      <c r="L570" s="10" t="inlineStr">
        <is>
          <t>baixa</t>
        </is>
      </c>
      <c r="M570" s="10" t="inlineStr">
        <is>
          <t>["D10-DOC-DRP-001.GOALS.OBJETIVOS"]</t>
        </is>
      </c>
    </row>
    <row r="571">
      <c r="A571" s="10" t="inlineStr">
        <is>
          <t>D10-DOC-DRP-001.GOALS.METRICAS</t>
        </is>
      </c>
      <c r="B571" s="10" t="inlineStr">
        <is>
          <t>D10-DOC-DRP-001</t>
        </is>
      </c>
      <c r="C571" s="10" t="inlineStr">
        <is>
          <t>D10-DOC-DRP-001-T05</t>
        </is>
      </c>
      <c r="D571" s="10" t="inlineStr">
        <is>
          <t>metricas</t>
        </is>
      </c>
      <c r="E571" s="10" t="inlineStr">
        <is>
          <t>Definir, validar e manter: Metricas</t>
        </is>
      </c>
      <c r="F571" s="10" t="n"/>
      <c r="G571" s="10" t="b">
        <v>1</v>
      </c>
      <c r="H571" s="10" t="b">
        <v>1</v>
      </c>
      <c r="I571" s="10" t="inlineStr">
        <is>
          <t>DERIVED</t>
        </is>
      </c>
      <c r="J571" s="10" t="inlineStr">
        <is>
          <t>PROPOSED</t>
        </is>
      </c>
      <c r="K571" s="10" t="inlineStr">
        <is>
          <t>DERIVED</t>
        </is>
      </c>
      <c r="L571" s="10" t="inlineStr">
        <is>
          <t>baixa</t>
        </is>
      </c>
      <c r="M571" s="10" t="inlineStr">
        <is>
          <t>["D10-DOC-DRP-001.GOALS.METRICAS"]</t>
        </is>
      </c>
    </row>
    <row r="572">
      <c r="A572" s="10" t="inlineStr">
        <is>
          <t>D10-DOC-DRP-001.SCOPE.INCLUIDO</t>
        </is>
      </c>
      <c r="B572" s="10" t="inlineStr">
        <is>
          <t>D10-DOC-DRP-001</t>
        </is>
      </c>
      <c r="C572" s="10" t="inlineStr">
        <is>
          <t>D10-DOC-DRP-001-T06</t>
        </is>
      </c>
      <c r="D572" s="10" t="inlineStr">
        <is>
          <t>incluido</t>
        </is>
      </c>
      <c r="E572" s="10" t="inlineStr">
        <is>
          <t>Definir, validar e manter: Incluido</t>
        </is>
      </c>
      <c r="F572" s="10" t="n"/>
      <c r="G572" s="10" t="b">
        <v>1</v>
      </c>
      <c r="H572" s="10" t="b">
        <v>1</v>
      </c>
      <c r="I572" s="10" t="inlineStr">
        <is>
          <t>DERIVED</t>
        </is>
      </c>
      <c r="J572" s="10" t="inlineStr">
        <is>
          <t>PROPOSED</t>
        </is>
      </c>
      <c r="K572" s="10" t="inlineStr">
        <is>
          <t>DERIVED</t>
        </is>
      </c>
      <c r="L572" s="10" t="inlineStr">
        <is>
          <t>baixa</t>
        </is>
      </c>
      <c r="M572" s="10" t="inlineStr">
        <is>
          <t>["D10-DOC-DRP-001.SCOPE.INCLUIDO"]</t>
        </is>
      </c>
    </row>
    <row r="573">
      <c r="A573" s="10" t="inlineStr">
        <is>
          <t>D10-DOC-DRP-001.SCOPE.EXCLUIDO</t>
        </is>
      </c>
      <c r="B573" s="10" t="inlineStr">
        <is>
          <t>D10-DOC-DRP-001</t>
        </is>
      </c>
      <c r="C573" s="10" t="inlineStr">
        <is>
          <t>D10-DOC-DRP-001-T06</t>
        </is>
      </c>
      <c r="D573" s="10" t="inlineStr">
        <is>
          <t>excluido</t>
        </is>
      </c>
      <c r="E573" s="10" t="inlineStr">
        <is>
          <t>Definir, validar e manter: Excluido</t>
        </is>
      </c>
      <c r="F573" s="10" t="n"/>
      <c r="G573" s="10" t="b">
        <v>1</v>
      </c>
      <c r="H573" s="10" t="b">
        <v>1</v>
      </c>
      <c r="I573" s="10" t="inlineStr">
        <is>
          <t>DERIVED</t>
        </is>
      </c>
      <c r="J573" s="10" t="inlineStr">
        <is>
          <t>PROPOSED</t>
        </is>
      </c>
      <c r="K573" s="10" t="inlineStr">
        <is>
          <t>DERIVED</t>
        </is>
      </c>
      <c r="L573" s="10" t="inlineStr">
        <is>
          <t>baixa</t>
        </is>
      </c>
      <c r="M573" s="10" t="inlineStr">
        <is>
          <t>["D10-DOC-DRP-001.SCOPE.EXCLUIDO"]</t>
        </is>
      </c>
    </row>
    <row r="574">
      <c r="A574" s="10" t="inlineStr">
        <is>
          <t>D10-DOC-DRP-001.CAPABILITIES.CAPACIDADE</t>
        </is>
      </c>
      <c r="B574" s="10" t="inlineStr">
        <is>
          <t>D10-DOC-DRP-001</t>
        </is>
      </c>
      <c r="C574" s="10" t="inlineStr">
        <is>
          <t>D10-DOC-DRP-001-T07</t>
        </is>
      </c>
      <c r="D574" s="10" t="inlineStr">
        <is>
          <t>capacidade</t>
        </is>
      </c>
      <c r="E574" s="10" t="inlineStr">
        <is>
          <t>Definir, validar e manter: Capacidade</t>
        </is>
      </c>
      <c r="F574" s="10" t="n"/>
      <c r="G574" s="10" t="b">
        <v>1</v>
      </c>
      <c r="H574" s="10" t="b">
        <v>1</v>
      </c>
      <c r="I574" s="10" t="inlineStr">
        <is>
          <t>DERIVED</t>
        </is>
      </c>
      <c r="J574" s="10" t="inlineStr">
        <is>
          <t>PROPOSED</t>
        </is>
      </c>
      <c r="K574" s="10" t="inlineStr">
        <is>
          <t>DERIVED</t>
        </is>
      </c>
      <c r="L574" s="10" t="inlineStr">
        <is>
          <t>baixa</t>
        </is>
      </c>
      <c r="M574" s="10" t="inlineStr">
        <is>
          <t>["D10-DOC-DRP-001.CAPABILITIES.CAPACIDADE"]</t>
        </is>
      </c>
    </row>
    <row r="575">
      <c r="A575" s="10" t="inlineStr">
        <is>
          <t>D10-DOC-DRP-001.CAPABILITIES.BENEFICIO</t>
        </is>
      </c>
      <c r="B575" s="10" t="inlineStr">
        <is>
          <t>D10-DOC-DRP-001</t>
        </is>
      </c>
      <c r="C575" s="10" t="inlineStr">
        <is>
          <t>D10-DOC-DRP-001-T07</t>
        </is>
      </c>
      <c r="D575" s="10" t="inlineStr">
        <is>
          <t>beneficio</t>
        </is>
      </c>
      <c r="E575" s="10" t="inlineStr">
        <is>
          <t>Definir, validar e manter: Beneficio</t>
        </is>
      </c>
      <c r="F575" s="10" t="n"/>
      <c r="G575" s="10" t="b">
        <v>1</v>
      </c>
      <c r="H575" s="10" t="b">
        <v>1</v>
      </c>
      <c r="I575" s="10" t="inlineStr">
        <is>
          <t>DERIVED</t>
        </is>
      </c>
      <c r="J575" s="10" t="inlineStr">
        <is>
          <t>PROPOSED</t>
        </is>
      </c>
      <c r="K575" s="10" t="inlineStr">
        <is>
          <t>DERIVED</t>
        </is>
      </c>
      <c r="L575" s="10" t="inlineStr">
        <is>
          <t>baixa</t>
        </is>
      </c>
      <c r="M575" s="10" t="inlineStr">
        <is>
          <t>["D10-DOC-DRP-001.CAPABILITIES.BENEFICIO"]</t>
        </is>
      </c>
    </row>
    <row r="576">
      <c r="A576" s="10" t="inlineStr">
        <is>
          <t>D10-DOC-DRP-001.REQUIREMENTS.FUNCIONAIS</t>
        </is>
      </c>
      <c r="B576" s="10" t="inlineStr">
        <is>
          <t>D10-DOC-DRP-001</t>
        </is>
      </c>
      <c r="C576" s="10" t="inlineStr">
        <is>
          <t>D10-DOC-DRP-001-T08</t>
        </is>
      </c>
      <c r="D576" s="10" t="inlineStr">
        <is>
          <t>funcionais</t>
        </is>
      </c>
      <c r="E576" s="10" t="inlineStr">
        <is>
          <t>Definir, validar e manter: Funcionais</t>
        </is>
      </c>
      <c r="F576" s="10" t="n"/>
      <c r="G576" s="10" t="b">
        <v>1</v>
      </c>
      <c r="H576" s="10" t="b">
        <v>1</v>
      </c>
      <c r="I576" s="10" t="inlineStr">
        <is>
          <t>DERIVED</t>
        </is>
      </c>
      <c r="J576" s="10" t="inlineStr">
        <is>
          <t>PROPOSED</t>
        </is>
      </c>
      <c r="K576" s="10" t="inlineStr">
        <is>
          <t>DERIVED</t>
        </is>
      </c>
      <c r="L576" s="10" t="inlineStr">
        <is>
          <t>baixa</t>
        </is>
      </c>
      <c r="M576" s="10" t="inlineStr">
        <is>
          <t>["D10-DOC-DRP-001.REQUIREMENTS.FUNCIONAIS"]</t>
        </is>
      </c>
    </row>
    <row r="577">
      <c r="A577" s="10" t="inlineStr">
        <is>
          <t>D10-DOC-DRP-001.REQUIREMENTS.NAO_FUNCIONAIS</t>
        </is>
      </c>
      <c r="B577" s="10" t="inlineStr">
        <is>
          <t>D10-DOC-DRP-001</t>
        </is>
      </c>
      <c r="C577" s="10" t="inlineStr">
        <is>
          <t>D10-DOC-DRP-001-T08</t>
        </is>
      </c>
      <c r="D577" s="10" t="inlineStr">
        <is>
          <t>nao_funcionais</t>
        </is>
      </c>
      <c r="E577" s="10" t="inlineStr">
        <is>
          <t>Definir, validar e manter: Nao Funcionais</t>
        </is>
      </c>
      <c r="F577" s="10" t="n"/>
      <c r="G577" s="10" t="b">
        <v>1</v>
      </c>
      <c r="H577" s="10" t="b">
        <v>1</v>
      </c>
      <c r="I577" s="10" t="inlineStr">
        <is>
          <t>DERIVED</t>
        </is>
      </c>
      <c r="J577" s="10" t="inlineStr">
        <is>
          <t>PROPOSED</t>
        </is>
      </c>
      <c r="K577" s="10" t="inlineStr">
        <is>
          <t>DERIVED</t>
        </is>
      </c>
      <c r="L577" s="10" t="inlineStr">
        <is>
          <t>baixa</t>
        </is>
      </c>
      <c r="M577" s="10" t="inlineStr">
        <is>
          <t>["D10-DOC-DRP-001.REQUIREMENTS.NAO_FUNCIONAIS"]</t>
        </is>
      </c>
    </row>
    <row r="578">
      <c r="A578" s="10" t="inlineStr">
        <is>
          <t>D10-DOC-DRP-001.JOURNEYS.JORNADAS</t>
        </is>
      </c>
      <c r="B578" s="10" t="inlineStr">
        <is>
          <t>D10-DOC-DRP-001</t>
        </is>
      </c>
      <c r="C578" s="10" t="inlineStr">
        <is>
          <t>D10-DOC-DRP-001-T09</t>
        </is>
      </c>
      <c r="D578" s="10" t="inlineStr">
        <is>
          <t>jornadas</t>
        </is>
      </c>
      <c r="E578" s="10" t="inlineStr">
        <is>
          <t>Definir, validar e manter: Jornadas</t>
        </is>
      </c>
      <c r="F578" s="10" t="n"/>
      <c r="G578" s="10" t="b">
        <v>1</v>
      </c>
      <c r="H578" s="10" t="b">
        <v>1</v>
      </c>
      <c r="I578" s="10" t="inlineStr">
        <is>
          <t>DERIVED</t>
        </is>
      </c>
      <c r="J578" s="10" t="inlineStr">
        <is>
          <t>PROPOSED</t>
        </is>
      </c>
      <c r="K578" s="10" t="inlineStr">
        <is>
          <t>DERIVED</t>
        </is>
      </c>
      <c r="L578" s="10" t="inlineStr">
        <is>
          <t>baixa</t>
        </is>
      </c>
      <c r="M578" s="10" t="inlineStr">
        <is>
          <t>["D10-DOC-DRP-001.JOURNEYS.JORNADAS"]</t>
        </is>
      </c>
    </row>
    <row r="579">
      <c r="A579" s="10" t="inlineStr">
        <is>
          <t>D10-DOC-DRP-001.JOURNEYS.FLUXOS</t>
        </is>
      </c>
      <c r="B579" s="10" t="inlineStr">
        <is>
          <t>D10-DOC-DRP-001</t>
        </is>
      </c>
      <c r="C579" s="10" t="inlineStr">
        <is>
          <t>D10-DOC-DRP-001-T09</t>
        </is>
      </c>
      <c r="D579" s="10" t="inlineStr">
        <is>
          <t>fluxos</t>
        </is>
      </c>
      <c r="E579" s="10" t="inlineStr">
        <is>
          <t>Definir, validar e manter: Fluxos</t>
        </is>
      </c>
      <c r="F579" s="10" t="n"/>
      <c r="G579" s="10" t="b">
        <v>1</v>
      </c>
      <c r="H579" s="10" t="b">
        <v>1</v>
      </c>
      <c r="I579" s="10" t="inlineStr">
        <is>
          <t>DERIVED</t>
        </is>
      </c>
      <c r="J579" s="10" t="inlineStr">
        <is>
          <t>PROPOSED</t>
        </is>
      </c>
      <c r="K579" s="10" t="inlineStr">
        <is>
          <t>DERIVED</t>
        </is>
      </c>
      <c r="L579" s="10" t="inlineStr">
        <is>
          <t>baixa</t>
        </is>
      </c>
      <c r="M579" s="10" t="inlineStr">
        <is>
          <t>["D10-DOC-DRP-001.JOURNEYS.FLUXOS"]</t>
        </is>
      </c>
    </row>
    <row r="580">
      <c r="A580" s="10" t="inlineStr">
        <is>
          <t>D10-DOC-DRP-001.CONSTRAINTS.RESTRICOES</t>
        </is>
      </c>
      <c r="B580" s="10" t="inlineStr">
        <is>
          <t>D10-DOC-DRP-001</t>
        </is>
      </c>
      <c r="C580" s="10" t="inlineStr">
        <is>
          <t>D10-DOC-DRP-001-T10</t>
        </is>
      </c>
      <c r="D580" s="10" t="inlineStr">
        <is>
          <t>restricoes</t>
        </is>
      </c>
      <c r="E580" s="10" t="inlineStr">
        <is>
          <t>Definir, validar e manter: Restricoes</t>
        </is>
      </c>
      <c r="F580" s="10" t="n"/>
      <c r="G580" s="10" t="b">
        <v>1</v>
      </c>
      <c r="H580" s="10" t="b">
        <v>1</v>
      </c>
      <c r="I580" s="10" t="inlineStr">
        <is>
          <t>DERIVED</t>
        </is>
      </c>
      <c r="J580" s="10" t="inlineStr">
        <is>
          <t>PROPOSED</t>
        </is>
      </c>
      <c r="K580" s="10" t="inlineStr">
        <is>
          <t>DERIVED</t>
        </is>
      </c>
      <c r="L580" s="10" t="inlineStr">
        <is>
          <t>baixa</t>
        </is>
      </c>
      <c r="M580" s="10" t="inlineStr">
        <is>
          <t>["D10-DOC-DRP-001.CONSTRAINTS.RESTRICOES"]</t>
        </is>
      </c>
    </row>
    <row r="581">
      <c r="A581" s="10" t="inlineStr">
        <is>
          <t>D10-DOC-DRP-001.DEPENDENCIES.DEPENDENCIAS</t>
        </is>
      </c>
      <c r="B581" s="10" t="inlineStr">
        <is>
          <t>D10-DOC-DRP-001</t>
        </is>
      </c>
      <c r="C581" s="10" t="inlineStr">
        <is>
          <t>D10-DOC-DRP-001-T11</t>
        </is>
      </c>
      <c r="D581" s="10" t="inlineStr">
        <is>
          <t>dependencias</t>
        </is>
      </c>
      <c r="E581" s="10" t="inlineStr">
        <is>
          <t>Definir, validar e manter: Dependencias</t>
        </is>
      </c>
      <c r="F581" s="10" t="n"/>
      <c r="G581" s="10" t="b">
        <v>1</v>
      </c>
      <c r="H581" s="10" t="b">
        <v>1</v>
      </c>
      <c r="I581" s="10" t="inlineStr">
        <is>
          <t>DERIVED</t>
        </is>
      </c>
      <c r="J581" s="10" t="inlineStr">
        <is>
          <t>PROPOSED</t>
        </is>
      </c>
      <c r="K581" s="10" t="inlineStr">
        <is>
          <t>DERIVED</t>
        </is>
      </c>
      <c r="L581" s="10" t="inlineStr">
        <is>
          <t>baixa</t>
        </is>
      </c>
      <c r="M581" s="10" t="inlineStr">
        <is>
          <t>["D10-DOC-DRP-001.DEPENDENCIES.DEPENDENCIAS"]</t>
        </is>
      </c>
    </row>
    <row r="582">
      <c r="A582" s="10" t="inlineStr">
        <is>
          <t>D10-DOC-DRP-001.ACCEPTANCE.CRITERIOS_DE_ACEITE</t>
        </is>
      </c>
      <c r="B582" s="10" t="inlineStr">
        <is>
          <t>D10-DOC-DRP-001</t>
        </is>
      </c>
      <c r="C582" s="10" t="inlineStr">
        <is>
          <t>D10-DOC-DRP-001-T12</t>
        </is>
      </c>
      <c r="D582" s="10" t="inlineStr">
        <is>
          <t>criterios_de_aceite</t>
        </is>
      </c>
      <c r="E582" s="10" t="inlineStr">
        <is>
          <t>Definir, validar e manter: Criterios De Aceite</t>
        </is>
      </c>
      <c r="F582" s="10" t="n"/>
      <c r="G582" s="10" t="b">
        <v>1</v>
      </c>
      <c r="H582" s="10" t="b">
        <v>1</v>
      </c>
      <c r="I582" s="10" t="inlineStr">
        <is>
          <t>DERIVED</t>
        </is>
      </c>
      <c r="J582" s="10" t="inlineStr">
        <is>
          <t>PROPOSED</t>
        </is>
      </c>
      <c r="K582" s="10" t="inlineStr">
        <is>
          <t>DERIVED</t>
        </is>
      </c>
      <c r="L582" s="10" t="inlineStr">
        <is>
          <t>baixa</t>
        </is>
      </c>
      <c r="M582" s="10" t="inlineStr">
        <is>
          <t>["D10-DOC-DRP-001.ACCEPTANCE.CRITERIOS_DE_ACEITE"]</t>
        </is>
      </c>
    </row>
    <row r="583">
      <c r="A583" s="10" t="inlineStr">
        <is>
          <t>D10-DOC-DRP-001.ROADMAP.AGORA</t>
        </is>
      </c>
      <c r="B583" s="10" t="inlineStr">
        <is>
          <t>D10-DOC-DRP-001</t>
        </is>
      </c>
      <c r="C583" s="10" t="inlineStr">
        <is>
          <t>D10-DOC-DRP-001-T13</t>
        </is>
      </c>
      <c r="D583" s="10" t="inlineStr">
        <is>
          <t>agora</t>
        </is>
      </c>
      <c r="E583" s="10" t="inlineStr">
        <is>
          <t>Definir, validar e manter: Agora</t>
        </is>
      </c>
      <c r="F583" s="10" t="n"/>
      <c r="G583" s="10" t="b">
        <v>1</v>
      </c>
      <c r="H583" s="10" t="b">
        <v>1</v>
      </c>
      <c r="I583" s="10" t="inlineStr">
        <is>
          <t>FOUND</t>
        </is>
      </c>
      <c r="J583" s="10" t="inlineStr">
        <is>
          <t>DIRECT</t>
        </is>
      </c>
      <c r="K583" s="10" t="inlineStr">
        <is>
          <t>FOUND</t>
        </is>
      </c>
      <c r="L583" s="10" t="inlineStr">
        <is>
          <t>alta</t>
        </is>
      </c>
      <c r="M583" s="10" t="inlineStr">
        <is>
          <t>["D10-DOC-DRP-001.ROADMAP.AGORA"]</t>
        </is>
      </c>
    </row>
    <row r="584">
      <c r="A584" s="10" t="inlineStr">
        <is>
          <t>D10-DOC-DRP-001.ROADMAP.PROXIMO</t>
        </is>
      </c>
      <c r="B584" s="10" t="inlineStr">
        <is>
          <t>D10-DOC-DRP-001</t>
        </is>
      </c>
      <c r="C584" s="10" t="inlineStr">
        <is>
          <t>D10-DOC-DRP-001-T13</t>
        </is>
      </c>
      <c r="D584" s="10" t="inlineStr">
        <is>
          <t>proximo</t>
        </is>
      </c>
      <c r="E584" s="10" t="inlineStr">
        <is>
          <t>Definir, validar e manter: Proximo</t>
        </is>
      </c>
      <c r="F584" s="10" t="n"/>
      <c r="G584" s="10" t="b">
        <v>1</v>
      </c>
      <c r="H584" s="10" t="b">
        <v>1</v>
      </c>
      <c r="I584" s="10" t="inlineStr">
        <is>
          <t>DERIVED</t>
        </is>
      </c>
      <c r="J584" s="10" t="inlineStr">
        <is>
          <t>PROPOSED</t>
        </is>
      </c>
      <c r="K584" s="10" t="inlineStr">
        <is>
          <t>DERIVED</t>
        </is>
      </c>
      <c r="L584" s="10" t="inlineStr">
        <is>
          <t>baixa</t>
        </is>
      </c>
      <c r="M584" s="10" t="inlineStr">
        <is>
          <t>["D10-DOC-DRP-001.ROADMAP.PROXIMO"]</t>
        </is>
      </c>
    </row>
    <row r="585">
      <c r="A585" s="10" t="inlineStr">
        <is>
          <t>D10-DOC-DRP-001.ROADMAP.DEPOIS</t>
        </is>
      </c>
      <c r="B585" s="10" t="inlineStr">
        <is>
          <t>D10-DOC-DRP-001</t>
        </is>
      </c>
      <c r="C585" s="10" t="inlineStr">
        <is>
          <t>D10-DOC-DRP-001-T13</t>
        </is>
      </c>
      <c r="D585" s="10" t="inlineStr">
        <is>
          <t>depois</t>
        </is>
      </c>
      <c r="E585" s="10" t="inlineStr">
        <is>
          <t>Definir, validar e manter: Depois</t>
        </is>
      </c>
      <c r="F585" s="10" t="n"/>
      <c r="G585" s="10" t="b">
        <v>1</v>
      </c>
      <c r="H585" s="10" t="b">
        <v>1</v>
      </c>
      <c r="I585" s="10" t="inlineStr">
        <is>
          <t>DERIVED</t>
        </is>
      </c>
      <c r="J585" s="10" t="inlineStr">
        <is>
          <t>PROPOSED</t>
        </is>
      </c>
      <c r="K585" s="10" t="inlineStr">
        <is>
          <t>DERIVED</t>
        </is>
      </c>
      <c r="L585" s="10" t="inlineStr">
        <is>
          <t>baixa</t>
        </is>
      </c>
      <c r="M585" s="10" t="inlineStr">
        <is>
          <t>["D10-DOC-DRP-001.ROADMAP.DEPOIS"]</t>
        </is>
      </c>
    </row>
    <row r="586">
      <c r="A586" s="10" t="inlineStr">
        <is>
          <t>D10-DOC-DRP-001.RISKS.RISCO</t>
        </is>
      </c>
      <c r="B586" s="10" t="inlineStr">
        <is>
          <t>D10-DOC-DRP-001</t>
        </is>
      </c>
      <c r="C586" s="10" t="inlineStr">
        <is>
          <t>D10-DOC-DRP-001-T14</t>
        </is>
      </c>
      <c r="D586" s="10" t="inlineStr">
        <is>
          <t>risco</t>
        </is>
      </c>
      <c r="E586" s="10" t="inlineStr">
        <is>
          <t>Definir, validar e manter: Risco</t>
        </is>
      </c>
      <c r="F586" s="10" t="n"/>
      <c r="G586" s="10" t="b">
        <v>1</v>
      </c>
      <c r="H586" s="10" t="b">
        <v>1</v>
      </c>
      <c r="I586" s="10" t="inlineStr">
        <is>
          <t>DERIVED</t>
        </is>
      </c>
      <c r="J586" s="10" t="inlineStr">
        <is>
          <t>PROPOSED</t>
        </is>
      </c>
      <c r="K586" s="10" t="inlineStr">
        <is>
          <t>DERIVED</t>
        </is>
      </c>
      <c r="L586" s="10" t="inlineStr">
        <is>
          <t>baixa</t>
        </is>
      </c>
      <c r="M586" s="10" t="inlineStr">
        <is>
          <t>["D10-DOC-DRP-001.RISKS.RISCO"]</t>
        </is>
      </c>
    </row>
    <row r="587">
      <c r="A587" s="10" t="inlineStr">
        <is>
          <t>D10-DOC-DRP-001.RISKS.MITIGACAO</t>
        </is>
      </c>
      <c r="B587" s="10" t="inlineStr">
        <is>
          <t>D10-DOC-DRP-001</t>
        </is>
      </c>
      <c r="C587" s="10" t="inlineStr">
        <is>
          <t>D10-DOC-DRP-001-T14</t>
        </is>
      </c>
      <c r="D587" s="10" t="inlineStr">
        <is>
          <t>mitigacao</t>
        </is>
      </c>
      <c r="E587" s="10" t="inlineStr">
        <is>
          <t>Definir, validar e manter: Mitigacao</t>
        </is>
      </c>
      <c r="F587" s="10" t="n"/>
      <c r="G587" s="10" t="b">
        <v>1</v>
      </c>
      <c r="H587" s="10" t="b">
        <v>1</v>
      </c>
      <c r="I587" s="10" t="inlineStr">
        <is>
          <t>DERIVED</t>
        </is>
      </c>
      <c r="J587" s="10" t="inlineStr">
        <is>
          <t>PROPOSED</t>
        </is>
      </c>
      <c r="K587" s="10" t="inlineStr">
        <is>
          <t>DERIVED</t>
        </is>
      </c>
      <c r="L587" s="10" t="inlineStr">
        <is>
          <t>baixa</t>
        </is>
      </c>
      <c r="M587" s="10" t="inlineStr">
        <is>
          <t>["D10-DOC-DRP-001.RISKS.MITIGACAO"]</t>
        </is>
      </c>
    </row>
    <row r="588">
      <c r="A588" s="10" t="inlineStr">
        <is>
          <t>D10-DOC-PRD-001.SCHEMA.PRODUCT_ID</t>
        </is>
      </c>
      <c r="B588" s="10" t="inlineStr">
        <is>
          <t>D10-DOC-PRD-001</t>
        </is>
      </c>
      <c r="C588" s="10" t="inlineStr">
        <is>
          <t>D10-DOC-PRD-001-T01</t>
        </is>
      </c>
      <c r="D588" s="10" t="inlineStr">
        <is>
          <t>product_id</t>
        </is>
      </c>
      <c r="E588" s="10" t="inlineStr">
        <is>
          <t>Definir, validar e manter: Product ID</t>
        </is>
      </c>
      <c r="F588" s="10" t="n"/>
      <c r="G588" s="10" t="b">
        <v>1</v>
      </c>
      <c r="H588" s="10" t="b">
        <v>1</v>
      </c>
      <c r="I588" s="10" t="inlineStr">
        <is>
          <t>DERIVED</t>
        </is>
      </c>
      <c r="J588" s="10" t="inlineStr">
        <is>
          <t>PROPOSED</t>
        </is>
      </c>
      <c r="K588" s="10" t="inlineStr">
        <is>
          <t>DERIVED</t>
        </is>
      </c>
      <c r="L588" s="10" t="inlineStr">
        <is>
          <t>baixa</t>
        </is>
      </c>
      <c r="M588" s="10" t="inlineStr">
        <is>
          <t>["D10-DOC-PRD-001.SCHEMA.PRODUCT_ID"]</t>
        </is>
      </c>
    </row>
    <row r="589">
      <c r="A589" s="10" t="inlineStr">
        <is>
          <t>D10-DOC-PRD-001.SCHEMA.PRODUCT_NAME</t>
        </is>
      </c>
      <c r="B589" s="10" t="inlineStr">
        <is>
          <t>D10-DOC-PRD-001</t>
        </is>
      </c>
      <c r="C589" s="10" t="inlineStr">
        <is>
          <t>D10-DOC-PRD-001-T01</t>
        </is>
      </c>
      <c r="D589" s="10" t="inlineStr">
        <is>
          <t>product_name</t>
        </is>
      </c>
      <c r="E589" s="10" t="inlineStr">
        <is>
          <t>Definir, validar e manter: Product Name</t>
        </is>
      </c>
      <c r="F589" s="10" t="n"/>
      <c r="G589" s="10" t="b">
        <v>1</v>
      </c>
      <c r="H589" s="10" t="b">
        <v>1</v>
      </c>
      <c r="I589" s="10" t="inlineStr">
        <is>
          <t>DERIVED</t>
        </is>
      </c>
      <c r="J589" s="10" t="inlineStr">
        <is>
          <t>PROPOSED</t>
        </is>
      </c>
      <c r="K589" s="10" t="inlineStr">
        <is>
          <t>DERIVED</t>
        </is>
      </c>
      <c r="L589" s="10" t="inlineStr">
        <is>
          <t>baixa</t>
        </is>
      </c>
      <c r="M589" s="10" t="inlineStr">
        <is>
          <t>["D10-DOC-PRD-001.SCHEMA.PRODUCT_NAME"]</t>
        </is>
      </c>
    </row>
    <row r="590">
      <c r="A590" s="10" t="inlineStr">
        <is>
          <t>D10-DOC-PRD-001.SCHEMA.PROBLEM</t>
        </is>
      </c>
      <c r="B590" s="10" t="inlineStr">
        <is>
          <t>D10-DOC-PRD-001</t>
        </is>
      </c>
      <c r="C590" s="10" t="inlineStr">
        <is>
          <t>D10-DOC-PRD-001-T01</t>
        </is>
      </c>
      <c r="D590" s="10" t="inlineStr">
        <is>
          <t>problem</t>
        </is>
      </c>
      <c r="E590" s="10" t="inlineStr">
        <is>
          <t>Definir, validar e manter: Problem</t>
        </is>
      </c>
      <c r="F590" s="10" t="n"/>
      <c r="G590" s="10" t="b">
        <v>1</v>
      </c>
      <c r="H590" s="10" t="b">
        <v>1</v>
      </c>
      <c r="I590" s="10" t="inlineStr">
        <is>
          <t>DERIVED</t>
        </is>
      </c>
      <c r="J590" s="10" t="inlineStr">
        <is>
          <t>PROPOSED</t>
        </is>
      </c>
      <c r="K590" s="10" t="inlineStr">
        <is>
          <t>DERIVED</t>
        </is>
      </c>
      <c r="L590" s="10" t="inlineStr">
        <is>
          <t>baixa</t>
        </is>
      </c>
      <c r="M590" s="10" t="inlineStr">
        <is>
          <t>["D10-DOC-PRD-001.SCHEMA.PROBLEM"]</t>
        </is>
      </c>
    </row>
    <row r="591">
      <c r="A591" s="10" t="inlineStr">
        <is>
          <t>D10-DOC-PRD-001.SCHEMA.TARGET_USER</t>
        </is>
      </c>
      <c r="B591" s="10" t="inlineStr">
        <is>
          <t>D10-DOC-PRD-001</t>
        </is>
      </c>
      <c r="C591" s="10" t="inlineStr">
        <is>
          <t>D10-DOC-PRD-001-T01</t>
        </is>
      </c>
      <c r="D591" s="10" t="inlineStr">
        <is>
          <t>target_user</t>
        </is>
      </c>
      <c r="E591" s="10" t="inlineStr">
        <is>
          <t>Definir, validar e manter: Target User</t>
        </is>
      </c>
      <c r="F591" s="10" t="n"/>
      <c r="G591" s="10" t="b">
        <v>1</v>
      </c>
      <c r="H591" s="10" t="b">
        <v>1</v>
      </c>
      <c r="I591" s="10" t="inlineStr">
        <is>
          <t>DERIVED</t>
        </is>
      </c>
      <c r="J591" s="10" t="inlineStr">
        <is>
          <t>PROPOSED</t>
        </is>
      </c>
      <c r="K591" s="10" t="inlineStr">
        <is>
          <t>DERIVED</t>
        </is>
      </c>
      <c r="L591" s="10" t="inlineStr">
        <is>
          <t>baixa</t>
        </is>
      </c>
      <c r="M591" s="10" t="inlineStr">
        <is>
          <t>["D10-DOC-PRD-001.SCHEMA.TARGET_USER"]</t>
        </is>
      </c>
    </row>
    <row r="592">
      <c r="A592" s="10" t="inlineStr">
        <is>
          <t>D10-DOC-PRD-001.SCHEMA.JTBD</t>
        </is>
      </c>
      <c r="B592" s="10" t="inlineStr">
        <is>
          <t>D10-DOC-PRD-001</t>
        </is>
      </c>
      <c r="C592" s="10" t="inlineStr">
        <is>
          <t>D10-DOC-PRD-001-T01</t>
        </is>
      </c>
      <c r="D592" s="10" t="inlineStr">
        <is>
          <t>jtbd</t>
        </is>
      </c>
      <c r="E592" s="10" t="inlineStr">
        <is>
          <t>Definir, validar e manter: JTBD</t>
        </is>
      </c>
      <c r="F592" s="10" t="n"/>
      <c r="G592" s="10" t="b">
        <v>1</v>
      </c>
      <c r="H592" s="10" t="b">
        <v>1</v>
      </c>
      <c r="I592" s="10" t="inlineStr">
        <is>
          <t>DERIVED</t>
        </is>
      </c>
      <c r="J592" s="10" t="inlineStr">
        <is>
          <t>PROPOSED</t>
        </is>
      </c>
      <c r="K592" s="10" t="inlineStr">
        <is>
          <t>DERIVED</t>
        </is>
      </c>
      <c r="L592" s="10" t="inlineStr">
        <is>
          <t>baixa</t>
        </is>
      </c>
      <c r="M592" s="10" t="inlineStr">
        <is>
          <t>["D10-DOC-PRD-001.SCHEMA.JTBD"]</t>
        </is>
      </c>
    </row>
    <row r="593">
      <c r="A593" s="10" t="inlineStr">
        <is>
          <t>D10-DOC-PRD-001.SCHEMA.GOALS</t>
        </is>
      </c>
      <c r="B593" s="10" t="inlineStr">
        <is>
          <t>D10-DOC-PRD-001</t>
        </is>
      </c>
      <c r="C593" s="10" t="inlineStr">
        <is>
          <t>D10-DOC-PRD-001-T01</t>
        </is>
      </c>
      <c r="D593" s="10" t="inlineStr">
        <is>
          <t>goals</t>
        </is>
      </c>
      <c r="E593" s="10" t="inlineStr">
        <is>
          <t>Definir, validar e manter: Goals</t>
        </is>
      </c>
      <c r="F593" s="10" t="n"/>
      <c r="G593" s="10" t="b">
        <v>1</v>
      </c>
      <c r="H593" s="10" t="b">
        <v>1</v>
      </c>
      <c r="I593" s="10" t="inlineStr">
        <is>
          <t>DERIVED</t>
        </is>
      </c>
      <c r="J593" s="10" t="inlineStr">
        <is>
          <t>PROPOSED</t>
        </is>
      </c>
      <c r="K593" s="10" t="inlineStr">
        <is>
          <t>DERIVED</t>
        </is>
      </c>
      <c r="L593" s="10" t="inlineStr">
        <is>
          <t>baixa</t>
        </is>
      </c>
      <c r="M593" s="10" t="inlineStr">
        <is>
          <t>["D10-DOC-PRD-001.SCHEMA.GOALS"]</t>
        </is>
      </c>
    </row>
    <row r="594">
      <c r="A594" s="10" t="inlineStr">
        <is>
          <t>D10-DOC-PRD-001.SCHEMA.NON_GOALS</t>
        </is>
      </c>
      <c r="B594" s="10" t="inlineStr">
        <is>
          <t>D10-DOC-PRD-001</t>
        </is>
      </c>
      <c r="C594" s="10" t="inlineStr">
        <is>
          <t>D10-DOC-PRD-001-T01</t>
        </is>
      </c>
      <c r="D594" s="10" t="inlineStr">
        <is>
          <t>non_goals</t>
        </is>
      </c>
      <c r="E594" s="10" t="inlineStr">
        <is>
          <t>Definir, validar e manter: Non Goals</t>
        </is>
      </c>
      <c r="F594" s="10" t="n"/>
      <c r="G594" s="10" t="b">
        <v>1</v>
      </c>
      <c r="H594" s="10" t="b">
        <v>1</v>
      </c>
      <c r="I594" s="10" t="inlineStr">
        <is>
          <t>DERIVED</t>
        </is>
      </c>
      <c r="J594" s="10" t="inlineStr">
        <is>
          <t>PROPOSED</t>
        </is>
      </c>
      <c r="K594" s="10" t="inlineStr">
        <is>
          <t>DERIVED</t>
        </is>
      </c>
      <c r="L594" s="10" t="inlineStr">
        <is>
          <t>baixa</t>
        </is>
      </c>
      <c r="M594" s="10" t="inlineStr">
        <is>
          <t>["D10-DOC-PRD-001.SCHEMA.NON_GOALS"]</t>
        </is>
      </c>
    </row>
    <row r="595">
      <c r="A595" s="10" t="inlineStr">
        <is>
          <t>D10-DOC-PRD-001.SCHEMA.USE_CASES</t>
        </is>
      </c>
      <c r="B595" s="10" t="inlineStr">
        <is>
          <t>D10-DOC-PRD-001</t>
        </is>
      </c>
      <c r="C595" s="10" t="inlineStr">
        <is>
          <t>D10-DOC-PRD-001-T01</t>
        </is>
      </c>
      <c r="D595" s="10" t="inlineStr">
        <is>
          <t>use_cases</t>
        </is>
      </c>
      <c r="E595" s="10" t="inlineStr">
        <is>
          <t>Definir, validar e manter: Use Cases</t>
        </is>
      </c>
      <c r="F595" s="10" t="n"/>
      <c r="G595" s="10" t="b">
        <v>1</v>
      </c>
      <c r="H595" s="10" t="b">
        <v>1</v>
      </c>
      <c r="I595" s="10" t="inlineStr">
        <is>
          <t>DERIVED</t>
        </is>
      </c>
      <c r="J595" s="10" t="inlineStr">
        <is>
          <t>PROPOSED</t>
        </is>
      </c>
      <c r="K595" s="10" t="inlineStr">
        <is>
          <t>DERIVED</t>
        </is>
      </c>
      <c r="L595" s="10" t="inlineStr">
        <is>
          <t>baixa</t>
        </is>
      </c>
      <c r="M595" s="10" t="inlineStr">
        <is>
          <t>["D10-DOC-PRD-001.SCHEMA.USE_CASES"]</t>
        </is>
      </c>
    </row>
    <row r="596">
      <c r="A596" s="10" t="inlineStr">
        <is>
          <t>D10-DOC-PRD-001.SCHEMA.USER_STORIES</t>
        </is>
      </c>
      <c r="B596" s="10" t="inlineStr">
        <is>
          <t>D10-DOC-PRD-001</t>
        </is>
      </c>
      <c r="C596" s="10" t="inlineStr">
        <is>
          <t>D10-DOC-PRD-001-T01</t>
        </is>
      </c>
      <c r="D596" s="10" t="inlineStr">
        <is>
          <t>user_stories</t>
        </is>
      </c>
      <c r="E596" s="10" t="inlineStr">
        <is>
          <t>Definir, validar e manter: User Stories</t>
        </is>
      </c>
      <c r="F596" s="10" t="n"/>
      <c r="G596" s="10" t="b">
        <v>1</v>
      </c>
      <c r="H596" s="10" t="b">
        <v>1</v>
      </c>
      <c r="I596" s="10" t="inlineStr">
        <is>
          <t>DERIVED</t>
        </is>
      </c>
      <c r="J596" s="10" t="inlineStr">
        <is>
          <t>PROPOSED</t>
        </is>
      </c>
      <c r="K596" s="10" t="inlineStr">
        <is>
          <t>DERIVED</t>
        </is>
      </c>
      <c r="L596" s="10" t="inlineStr">
        <is>
          <t>baixa</t>
        </is>
      </c>
      <c r="M596" s="10" t="inlineStr">
        <is>
          <t>["D10-DOC-PRD-001.SCHEMA.USER_STORIES"]</t>
        </is>
      </c>
    </row>
    <row r="597">
      <c r="A597" s="10" t="inlineStr">
        <is>
          <t>D10-DOC-PRD-001.SCHEMA.FUNCTIONAL_REQUIREMENTS</t>
        </is>
      </c>
      <c r="B597" s="10" t="inlineStr">
        <is>
          <t>D10-DOC-PRD-001</t>
        </is>
      </c>
      <c r="C597" s="10" t="inlineStr">
        <is>
          <t>D10-DOC-PRD-001-T01</t>
        </is>
      </c>
      <c r="D597" s="10" t="inlineStr">
        <is>
          <t>functional_requirements</t>
        </is>
      </c>
      <c r="E597" s="10" t="inlineStr">
        <is>
          <t>Definir, validar e manter: Functional Requirements</t>
        </is>
      </c>
      <c r="F597" s="10" t="n"/>
      <c r="G597" s="10" t="b">
        <v>1</v>
      </c>
      <c r="H597" s="10" t="b">
        <v>1</v>
      </c>
      <c r="I597" s="10" t="inlineStr">
        <is>
          <t>DERIVED</t>
        </is>
      </c>
      <c r="J597" s="10" t="inlineStr">
        <is>
          <t>PROPOSED</t>
        </is>
      </c>
      <c r="K597" s="10" t="inlineStr">
        <is>
          <t>DERIVED</t>
        </is>
      </c>
      <c r="L597" s="10" t="inlineStr">
        <is>
          <t>baixa</t>
        </is>
      </c>
      <c r="M597" s="10" t="inlineStr">
        <is>
          <t>["D10-DOC-PRD-001.SCHEMA.FUNCTIONAL_REQUIREMENTS"]</t>
        </is>
      </c>
    </row>
    <row r="598">
      <c r="A598" s="10" t="inlineStr">
        <is>
          <t>D10-DOC-PRD-001.SCHEMA.NON_FUNCTIONAL_REQUIREMENTS</t>
        </is>
      </c>
      <c r="B598" s="10" t="inlineStr">
        <is>
          <t>D10-DOC-PRD-001</t>
        </is>
      </c>
      <c r="C598" s="10" t="inlineStr">
        <is>
          <t>D10-DOC-PRD-001-T01</t>
        </is>
      </c>
      <c r="D598" s="10" t="inlineStr">
        <is>
          <t>non_functional_requirements</t>
        </is>
      </c>
      <c r="E598" s="10" t="inlineStr">
        <is>
          <t>Definir, validar e manter: Non Functional Requirements</t>
        </is>
      </c>
      <c r="F598" s="10" t="n"/>
      <c r="G598" s="10" t="b">
        <v>1</v>
      </c>
      <c r="H598" s="10" t="b">
        <v>1</v>
      </c>
      <c r="I598" s="10" t="inlineStr">
        <is>
          <t>DERIVED</t>
        </is>
      </c>
      <c r="J598" s="10" t="inlineStr">
        <is>
          <t>PROPOSED</t>
        </is>
      </c>
      <c r="K598" s="10" t="inlineStr">
        <is>
          <t>DERIVED</t>
        </is>
      </c>
      <c r="L598" s="10" t="inlineStr">
        <is>
          <t>baixa</t>
        </is>
      </c>
      <c r="M598" s="10" t="inlineStr">
        <is>
          <t>["D10-DOC-PRD-001.SCHEMA.NON_FUNCTIONAL_REQUIREMENTS"]</t>
        </is>
      </c>
    </row>
    <row r="599">
      <c r="A599" s="10" t="inlineStr">
        <is>
          <t>D10-DOC-PRD-001.SCHEMA.USER_FLOWS</t>
        </is>
      </c>
      <c r="B599" s="10" t="inlineStr">
        <is>
          <t>D10-DOC-PRD-001</t>
        </is>
      </c>
      <c r="C599" s="10" t="inlineStr">
        <is>
          <t>D10-DOC-PRD-001-T01</t>
        </is>
      </c>
      <c r="D599" s="10" t="inlineStr">
        <is>
          <t>user_flows</t>
        </is>
      </c>
      <c r="E599" s="10" t="inlineStr">
        <is>
          <t>Definir, validar e manter: User Flows</t>
        </is>
      </c>
      <c r="F599" s="10" t="n"/>
      <c r="G599" s="10" t="b">
        <v>1</v>
      </c>
      <c r="H599" s="10" t="b">
        <v>1</v>
      </c>
      <c r="I599" s="10" t="inlineStr">
        <is>
          <t>DERIVED</t>
        </is>
      </c>
      <c r="J599" s="10" t="inlineStr">
        <is>
          <t>PROPOSED</t>
        </is>
      </c>
      <c r="K599" s="10" t="inlineStr">
        <is>
          <t>DERIVED</t>
        </is>
      </c>
      <c r="L599" s="10" t="inlineStr">
        <is>
          <t>baixa</t>
        </is>
      </c>
      <c r="M599" s="10" t="inlineStr">
        <is>
          <t>["D10-DOC-PRD-001.SCHEMA.USER_FLOWS"]</t>
        </is>
      </c>
    </row>
    <row r="600">
      <c r="A600" s="10" t="inlineStr">
        <is>
          <t>D10-DOC-PRD-001.SCHEMA.STATES</t>
        </is>
      </c>
      <c r="B600" s="10" t="inlineStr">
        <is>
          <t>D10-DOC-PRD-001</t>
        </is>
      </c>
      <c r="C600" s="10" t="inlineStr">
        <is>
          <t>D10-DOC-PRD-001-T01</t>
        </is>
      </c>
      <c r="D600" s="10" t="inlineStr">
        <is>
          <t>states</t>
        </is>
      </c>
      <c r="E600" s="10" t="inlineStr">
        <is>
          <t>Definir, validar e manter: States</t>
        </is>
      </c>
      <c r="F600" s="10" t="n"/>
      <c r="G600" s="10" t="b">
        <v>1</v>
      </c>
      <c r="H600" s="10" t="b">
        <v>1</v>
      </c>
      <c r="I600" s="10" t="inlineStr">
        <is>
          <t>DERIVED</t>
        </is>
      </c>
      <c r="J600" s="10" t="inlineStr">
        <is>
          <t>PROPOSED</t>
        </is>
      </c>
      <c r="K600" s="10" t="inlineStr">
        <is>
          <t>DERIVED</t>
        </is>
      </c>
      <c r="L600" s="10" t="inlineStr">
        <is>
          <t>baixa</t>
        </is>
      </c>
      <c r="M600" s="10" t="inlineStr">
        <is>
          <t>["D10-DOC-PRD-001.SCHEMA.STATES"]</t>
        </is>
      </c>
    </row>
    <row r="601">
      <c r="A601" s="10" t="inlineStr">
        <is>
          <t>D10-DOC-PRD-001.SCHEMA.EDGE_CASES</t>
        </is>
      </c>
      <c r="B601" s="10" t="inlineStr">
        <is>
          <t>D10-DOC-PRD-001</t>
        </is>
      </c>
      <c r="C601" s="10" t="inlineStr">
        <is>
          <t>D10-DOC-PRD-001-T01</t>
        </is>
      </c>
      <c r="D601" s="10" t="inlineStr">
        <is>
          <t>edge_cases</t>
        </is>
      </c>
      <c r="E601" s="10" t="inlineStr">
        <is>
          <t>Definir, validar e manter: Edge Cases</t>
        </is>
      </c>
      <c r="F601" s="10" t="n"/>
      <c r="G601" s="10" t="b">
        <v>1</v>
      </c>
      <c r="H601" s="10" t="b">
        <v>1</v>
      </c>
      <c r="I601" s="10" t="inlineStr">
        <is>
          <t>DERIVED</t>
        </is>
      </c>
      <c r="J601" s="10" t="inlineStr">
        <is>
          <t>PROPOSED</t>
        </is>
      </c>
      <c r="K601" s="10" t="inlineStr">
        <is>
          <t>DERIVED</t>
        </is>
      </c>
      <c r="L601" s="10" t="inlineStr">
        <is>
          <t>baixa</t>
        </is>
      </c>
      <c r="M601" s="10" t="inlineStr">
        <is>
          <t>["D10-DOC-PRD-001.SCHEMA.EDGE_CASES"]</t>
        </is>
      </c>
    </row>
    <row r="602">
      <c r="A602" s="10" t="inlineStr">
        <is>
          <t>D10-DOC-PRD-001.SCHEMA.INTEGRATIONS</t>
        </is>
      </c>
      <c r="B602" s="10" t="inlineStr">
        <is>
          <t>D10-DOC-PRD-001</t>
        </is>
      </c>
      <c r="C602" s="10" t="inlineStr">
        <is>
          <t>D10-DOC-PRD-001-T01</t>
        </is>
      </c>
      <c r="D602" s="10" t="inlineStr">
        <is>
          <t>integrations</t>
        </is>
      </c>
      <c r="E602" s="10" t="inlineStr">
        <is>
          <t>Definir, validar e manter: Integrations</t>
        </is>
      </c>
      <c r="F602" s="10" t="n"/>
      <c r="G602" s="10" t="b">
        <v>1</v>
      </c>
      <c r="H602" s="10" t="b">
        <v>1</v>
      </c>
      <c r="I602" s="10" t="inlineStr">
        <is>
          <t>DERIVED</t>
        </is>
      </c>
      <c r="J602" s="10" t="inlineStr">
        <is>
          <t>PROPOSED</t>
        </is>
      </c>
      <c r="K602" s="10" t="inlineStr">
        <is>
          <t>DERIVED</t>
        </is>
      </c>
      <c r="L602" s="10" t="inlineStr">
        <is>
          <t>baixa</t>
        </is>
      </c>
      <c r="M602" s="10" t="inlineStr">
        <is>
          <t>["D10-DOC-PRD-001.SCHEMA.INTEGRATIONS"]</t>
        </is>
      </c>
    </row>
    <row r="603">
      <c r="A603" s="10" t="inlineStr">
        <is>
          <t>D10-DOC-PRD-001.SCHEMA.DATA_REQUIREMENTS</t>
        </is>
      </c>
      <c r="B603" s="10" t="inlineStr">
        <is>
          <t>D10-DOC-PRD-001</t>
        </is>
      </c>
      <c r="C603" s="10" t="inlineStr">
        <is>
          <t>D10-DOC-PRD-001-T01</t>
        </is>
      </c>
      <c r="D603" s="10" t="inlineStr">
        <is>
          <t>data_requirements</t>
        </is>
      </c>
      <c r="E603" s="10" t="inlineStr">
        <is>
          <t>Definir, validar e manter: Data Requirements</t>
        </is>
      </c>
      <c r="F603" s="10" t="n"/>
      <c r="G603" s="10" t="b">
        <v>1</v>
      </c>
      <c r="H603" s="10" t="b">
        <v>1</v>
      </c>
      <c r="I603" s="10" t="inlineStr">
        <is>
          <t>DERIVED</t>
        </is>
      </c>
      <c r="J603" s="10" t="inlineStr">
        <is>
          <t>PROPOSED</t>
        </is>
      </c>
      <c r="K603" s="10" t="inlineStr">
        <is>
          <t>DERIVED</t>
        </is>
      </c>
      <c r="L603" s="10" t="inlineStr">
        <is>
          <t>baixa</t>
        </is>
      </c>
      <c r="M603" s="10" t="inlineStr">
        <is>
          <t>["D10-DOC-PRD-001.SCHEMA.DATA_REQUIREMENTS"]</t>
        </is>
      </c>
    </row>
    <row r="604">
      <c r="A604" s="10" t="inlineStr">
        <is>
          <t>D10-DOC-PRD-001.SCHEMA.ANALYTICS</t>
        </is>
      </c>
      <c r="B604" s="10" t="inlineStr">
        <is>
          <t>D10-DOC-PRD-001</t>
        </is>
      </c>
      <c r="C604" s="10" t="inlineStr">
        <is>
          <t>D10-DOC-PRD-001-T01</t>
        </is>
      </c>
      <c r="D604" s="10" t="inlineStr">
        <is>
          <t>analytics</t>
        </is>
      </c>
      <c r="E604" s="10" t="inlineStr">
        <is>
          <t>Definir, validar e manter: Analytics</t>
        </is>
      </c>
      <c r="F604" s="10" t="n"/>
      <c r="G604" s="10" t="b">
        <v>1</v>
      </c>
      <c r="H604" s="10" t="b">
        <v>1</v>
      </c>
      <c r="I604" s="10" t="inlineStr">
        <is>
          <t>DERIVED</t>
        </is>
      </c>
      <c r="J604" s="10" t="inlineStr">
        <is>
          <t>PROPOSED</t>
        </is>
      </c>
      <c r="K604" s="10" t="inlineStr">
        <is>
          <t>DERIVED</t>
        </is>
      </c>
      <c r="L604" s="10" t="inlineStr">
        <is>
          <t>baixa</t>
        </is>
      </c>
      <c r="M604" s="10" t="inlineStr">
        <is>
          <t>["D10-DOC-PRD-001.SCHEMA.ANALYTICS"]</t>
        </is>
      </c>
    </row>
    <row r="605">
      <c r="A605" s="10" t="inlineStr">
        <is>
          <t>D10-DOC-PRD-001.SCHEMA.SECURITY</t>
        </is>
      </c>
      <c r="B605" s="10" t="inlineStr">
        <is>
          <t>D10-DOC-PRD-001</t>
        </is>
      </c>
      <c r="C605" s="10" t="inlineStr">
        <is>
          <t>D10-DOC-PRD-001-T01</t>
        </is>
      </c>
      <c r="D605" s="10" t="inlineStr">
        <is>
          <t>security</t>
        </is>
      </c>
      <c r="E605" s="10" t="inlineStr">
        <is>
          <t>Definir, validar e manter: Security</t>
        </is>
      </c>
      <c r="F605" s="10" t="n"/>
      <c r="G605" s="10" t="b">
        <v>1</v>
      </c>
      <c r="H605" s="10" t="b">
        <v>1</v>
      </c>
      <c r="I605" s="10" t="inlineStr">
        <is>
          <t>DERIVED</t>
        </is>
      </c>
      <c r="J605" s="10" t="inlineStr">
        <is>
          <t>PROPOSED</t>
        </is>
      </c>
      <c r="K605" s="10" t="inlineStr">
        <is>
          <t>DERIVED</t>
        </is>
      </c>
      <c r="L605" s="10" t="inlineStr">
        <is>
          <t>baixa</t>
        </is>
      </c>
      <c r="M605" s="10" t="inlineStr">
        <is>
          <t>["D10-DOC-PRD-001.SCHEMA.SECURITY"]</t>
        </is>
      </c>
    </row>
    <row r="606">
      <c r="A606" s="10" t="inlineStr">
        <is>
          <t>D10-DOC-PRD-001.SCHEMA.PRIVACY</t>
        </is>
      </c>
      <c r="B606" s="10" t="inlineStr">
        <is>
          <t>D10-DOC-PRD-001</t>
        </is>
      </c>
      <c r="C606" s="10" t="inlineStr">
        <is>
          <t>D10-DOC-PRD-001-T01</t>
        </is>
      </c>
      <c r="D606" s="10" t="inlineStr">
        <is>
          <t>privacy</t>
        </is>
      </c>
      <c r="E606" s="10" t="inlineStr">
        <is>
          <t>Definir, validar e manter: Privacy</t>
        </is>
      </c>
      <c r="F606" s="10" t="n"/>
      <c r="G606" s="10" t="b">
        <v>1</v>
      </c>
      <c r="H606" s="10" t="b">
        <v>1</v>
      </c>
      <c r="I606" s="10" t="inlineStr">
        <is>
          <t>DERIVED</t>
        </is>
      </c>
      <c r="J606" s="10" t="inlineStr">
        <is>
          <t>PROPOSED</t>
        </is>
      </c>
      <c r="K606" s="10" t="inlineStr">
        <is>
          <t>DERIVED</t>
        </is>
      </c>
      <c r="L606" s="10" t="inlineStr">
        <is>
          <t>baixa</t>
        </is>
      </c>
      <c r="M606" s="10" t="inlineStr">
        <is>
          <t>["D10-DOC-PRD-001.SCHEMA.PRIVACY"]</t>
        </is>
      </c>
    </row>
    <row r="607">
      <c r="A607" s="10" t="inlineStr">
        <is>
          <t>D10-DOC-PRD-001.SCHEMA.ACCESSIBILITY</t>
        </is>
      </c>
      <c r="B607" s="10" t="inlineStr">
        <is>
          <t>D10-DOC-PRD-001</t>
        </is>
      </c>
      <c r="C607" s="10" t="inlineStr">
        <is>
          <t>D10-DOC-PRD-001-T01</t>
        </is>
      </c>
      <c r="D607" s="10" t="inlineStr">
        <is>
          <t>accessibility</t>
        </is>
      </c>
      <c r="E607" s="10" t="inlineStr">
        <is>
          <t>Definir, validar e manter: Accessibility</t>
        </is>
      </c>
      <c r="F607" s="10" t="n"/>
      <c r="G607" s="10" t="b">
        <v>1</v>
      </c>
      <c r="H607" s="10" t="b">
        <v>1</v>
      </c>
      <c r="I607" s="10" t="inlineStr">
        <is>
          <t>DERIVED</t>
        </is>
      </c>
      <c r="J607" s="10" t="inlineStr">
        <is>
          <t>PROPOSED</t>
        </is>
      </c>
      <c r="K607" s="10" t="inlineStr">
        <is>
          <t>DERIVED</t>
        </is>
      </c>
      <c r="L607" s="10" t="inlineStr">
        <is>
          <t>baixa</t>
        </is>
      </c>
      <c r="M607" s="10" t="inlineStr">
        <is>
          <t>["D10-DOC-PRD-001.SCHEMA.ACCESSIBILITY"]</t>
        </is>
      </c>
    </row>
    <row r="608">
      <c r="A608" s="10" t="inlineStr">
        <is>
          <t>D10-DOC-PRD-001.SCHEMA.ACCEPTANCE_CRITERIA</t>
        </is>
      </c>
      <c r="B608" s="10" t="inlineStr">
        <is>
          <t>D10-DOC-PRD-001</t>
        </is>
      </c>
      <c r="C608" s="10" t="inlineStr">
        <is>
          <t>D10-DOC-PRD-001-T01</t>
        </is>
      </c>
      <c r="D608" s="10" t="inlineStr">
        <is>
          <t>acceptance_criteria</t>
        </is>
      </c>
      <c r="E608" s="10" t="inlineStr">
        <is>
          <t>Definir, validar e manter: Acceptance Criteria</t>
        </is>
      </c>
      <c r="F608" s="10" t="n"/>
      <c r="G608" s="10" t="b">
        <v>1</v>
      </c>
      <c r="H608" s="10" t="b">
        <v>1</v>
      </c>
      <c r="I608" s="10" t="inlineStr">
        <is>
          <t>DERIVED</t>
        </is>
      </c>
      <c r="J608" s="10" t="inlineStr">
        <is>
          <t>PROPOSED</t>
        </is>
      </c>
      <c r="K608" s="10" t="inlineStr">
        <is>
          <t>DERIVED</t>
        </is>
      </c>
      <c r="L608" s="10" t="inlineStr">
        <is>
          <t>baixa</t>
        </is>
      </c>
      <c r="M608" s="10" t="inlineStr">
        <is>
          <t>["D10-DOC-PRD-001.SCHEMA.ACCEPTANCE_CRITERIA"]</t>
        </is>
      </c>
    </row>
    <row r="609">
      <c r="A609" s="10" t="inlineStr">
        <is>
          <t>D10-DOC-PRD-001.SCHEMA.DEPENDENCIES</t>
        </is>
      </c>
      <c r="B609" s="10" t="inlineStr">
        <is>
          <t>D10-DOC-PRD-001</t>
        </is>
      </c>
      <c r="C609" s="10" t="inlineStr">
        <is>
          <t>D10-DOC-PRD-001-T01</t>
        </is>
      </c>
      <c r="D609" s="10" t="inlineStr">
        <is>
          <t>dependencies</t>
        </is>
      </c>
      <c r="E609" s="10" t="inlineStr">
        <is>
          <t>Definir, validar e manter: Dependencies</t>
        </is>
      </c>
      <c r="F609" s="10" t="n"/>
      <c r="G609" s="10" t="b">
        <v>1</v>
      </c>
      <c r="H609" s="10" t="b">
        <v>1</v>
      </c>
      <c r="I609" s="10" t="inlineStr">
        <is>
          <t>DERIVED</t>
        </is>
      </c>
      <c r="J609" s="10" t="inlineStr">
        <is>
          <t>PROPOSED</t>
        </is>
      </c>
      <c r="K609" s="10" t="inlineStr">
        <is>
          <t>DERIVED</t>
        </is>
      </c>
      <c r="L609" s="10" t="inlineStr">
        <is>
          <t>baixa</t>
        </is>
      </c>
      <c r="M609" s="10" t="inlineStr">
        <is>
          <t>["D10-DOC-PRD-001.SCHEMA.DEPENDENCIES"]</t>
        </is>
      </c>
    </row>
    <row r="610">
      <c r="A610" s="10" t="inlineStr">
        <is>
          <t>D10-DOC-PRD-001.SCHEMA.RELEASE_CRITERIA</t>
        </is>
      </c>
      <c r="B610" s="10" t="inlineStr">
        <is>
          <t>D10-DOC-PRD-001</t>
        </is>
      </c>
      <c r="C610" s="10" t="inlineStr">
        <is>
          <t>D10-DOC-PRD-001-T01</t>
        </is>
      </c>
      <c r="D610" s="10" t="inlineStr">
        <is>
          <t>release_criteria</t>
        </is>
      </c>
      <c r="E610" s="10" t="inlineStr">
        <is>
          <t>Definir, validar e manter: Release Criteria</t>
        </is>
      </c>
      <c r="F610" s="10" t="n"/>
      <c r="G610" s="10" t="b">
        <v>1</v>
      </c>
      <c r="H610" s="10" t="b">
        <v>1</v>
      </c>
      <c r="I610" s="10" t="inlineStr">
        <is>
          <t>DERIVED</t>
        </is>
      </c>
      <c r="J610" s="10" t="inlineStr">
        <is>
          <t>PROPOSED</t>
        </is>
      </c>
      <c r="K610" s="10" t="inlineStr">
        <is>
          <t>DERIVED</t>
        </is>
      </c>
      <c r="L610" s="10" t="inlineStr">
        <is>
          <t>baixa</t>
        </is>
      </c>
      <c r="M610" s="10" t="inlineStr">
        <is>
          <t>["D10-DOC-PRD-001.SCHEMA.RELEASE_CRITERIA"]</t>
        </is>
      </c>
    </row>
    <row r="611">
      <c r="A611" s="10" t="inlineStr">
        <is>
          <t>D11-DOC-EEP-001.USER_RESEARCH.EVIDENCIAS</t>
        </is>
      </c>
      <c r="B611" s="10" t="inlineStr">
        <is>
          <t>D11-DOC-EEP-001</t>
        </is>
      </c>
      <c r="C611" s="10" t="inlineStr">
        <is>
          <t>D11-DOC-EEP-001-T01</t>
        </is>
      </c>
      <c r="D611" s="10" t="inlineStr">
        <is>
          <t>evidencias</t>
        </is>
      </c>
      <c r="E611" s="10" t="inlineStr">
        <is>
          <t>Definir, validar e manter: Evidencias</t>
        </is>
      </c>
      <c r="F611" s="10" t="n"/>
      <c r="G611" s="10" t="b">
        <v>1</v>
      </c>
      <c r="H611" s="10" t="b">
        <v>1</v>
      </c>
      <c r="I611" s="10" t="inlineStr">
        <is>
          <t>DERIVED</t>
        </is>
      </c>
      <c r="J611" s="10" t="inlineStr">
        <is>
          <t>PROPOSED</t>
        </is>
      </c>
      <c r="K611" s="10" t="inlineStr">
        <is>
          <t>DERIVED</t>
        </is>
      </c>
      <c r="L611" s="10" t="inlineStr">
        <is>
          <t>baixa</t>
        </is>
      </c>
      <c r="M611" s="10" t="inlineStr">
        <is>
          <t>["D11-DOC-EEP-001.USER_RESEARCH.EVIDENCIAS"]</t>
        </is>
      </c>
    </row>
    <row r="612">
      <c r="A612" s="10" t="inlineStr">
        <is>
          <t>D11-DOC-EEP-001.USER_RESEARCH.NECESSIDADES</t>
        </is>
      </c>
      <c r="B612" s="10" t="inlineStr">
        <is>
          <t>D11-DOC-EEP-001</t>
        </is>
      </c>
      <c r="C612" s="10" t="inlineStr">
        <is>
          <t>D11-DOC-EEP-001-T01</t>
        </is>
      </c>
      <c r="D612" s="10" t="inlineStr">
        <is>
          <t>necessidades</t>
        </is>
      </c>
      <c r="E612" s="10" t="inlineStr">
        <is>
          <t>Definir, validar e manter: Necessidades</t>
        </is>
      </c>
      <c r="F612" s="10" t="n"/>
      <c r="G612" s="10" t="b">
        <v>1</v>
      </c>
      <c r="H612" s="10" t="b">
        <v>1</v>
      </c>
      <c r="I612" s="10" t="inlineStr">
        <is>
          <t>DERIVED</t>
        </is>
      </c>
      <c r="J612" s="10" t="inlineStr">
        <is>
          <t>PROPOSED</t>
        </is>
      </c>
      <c r="K612" s="10" t="inlineStr">
        <is>
          <t>DERIVED</t>
        </is>
      </c>
      <c r="L612" s="10" t="inlineStr">
        <is>
          <t>baixa</t>
        </is>
      </c>
      <c r="M612" s="10" t="inlineStr">
        <is>
          <t>["D11-DOC-EEP-001.USER_RESEARCH.NECESSIDADES"]</t>
        </is>
      </c>
    </row>
    <row r="613">
      <c r="A613" s="10" t="inlineStr">
        <is>
          <t>D11-DOC-EEP-001.PERSONAS.PERFIL</t>
        </is>
      </c>
      <c r="B613" s="10" t="inlineStr">
        <is>
          <t>D11-DOC-EEP-001</t>
        </is>
      </c>
      <c r="C613" s="10" t="inlineStr">
        <is>
          <t>D11-DOC-EEP-001-T02</t>
        </is>
      </c>
      <c r="D613" s="10" t="inlineStr">
        <is>
          <t>perfil</t>
        </is>
      </c>
      <c r="E613" s="10" t="inlineStr">
        <is>
          <t>Definir, validar e manter: Perfil</t>
        </is>
      </c>
      <c r="F613" s="10" t="n"/>
      <c r="G613" s="10" t="b">
        <v>1</v>
      </c>
      <c r="H613" s="10" t="b">
        <v>1</v>
      </c>
      <c r="I613" s="10" t="inlineStr">
        <is>
          <t>DERIVED</t>
        </is>
      </c>
      <c r="J613" s="10" t="inlineStr">
        <is>
          <t>PROPOSED</t>
        </is>
      </c>
      <c r="K613" s="10" t="inlineStr">
        <is>
          <t>DERIVED</t>
        </is>
      </c>
      <c r="L613" s="10" t="inlineStr">
        <is>
          <t>baixa</t>
        </is>
      </c>
      <c r="M613" s="10" t="inlineStr">
        <is>
          <t>["D11-DOC-EEP-001.PERSONAS.PERFIL"]</t>
        </is>
      </c>
    </row>
    <row r="614">
      <c r="A614" s="10" t="inlineStr">
        <is>
          <t>D11-DOC-EEP-001.PERSONAS.CONTEXTO</t>
        </is>
      </c>
      <c r="B614" s="10" t="inlineStr">
        <is>
          <t>D11-DOC-EEP-001</t>
        </is>
      </c>
      <c r="C614" s="10" t="inlineStr">
        <is>
          <t>D11-DOC-EEP-001-T02</t>
        </is>
      </c>
      <c r="D614" s="10" t="inlineStr">
        <is>
          <t>contexto</t>
        </is>
      </c>
      <c r="E614" s="10" t="inlineStr">
        <is>
          <t>Definir, validar e manter: Contexto</t>
        </is>
      </c>
      <c r="F614" s="10" t="n"/>
      <c r="G614" s="10" t="b">
        <v>1</v>
      </c>
      <c r="H614" s="10" t="b">
        <v>1</v>
      </c>
      <c r="I614" s="10" t="inlineStr">
        <is>
          <t>DERIVED</t>
        </is>
      </c>
      <c r="J614" s="10" t="inlineStr">
        <is>
          <t>PROPOSED</t>
        </is>
      </c>
      <c r="K614" s="10" t="inlineStr">
        <is>
          <t>DERIVED</t>
        </is>
      </c>
      <c r="L614" s="10" t="inlineStr">
        <is>
          <t>baixa</t>
        </is>
      </c>
      <c r="M614" s="10" t="inlineStr">
        <is>
          <t>["D11-DOC-EEP-001.PERSONAS.CONTEXTO"]</t>
        </is>
      </c>
    </row>
    <row r="615">
      <c r="A615" s="10" t="inlineStr">
        <is>
          <t>D11-DOC-EEP-001.JOURNEYS.ETAPA</t>
        </is>
      </c>
      <c r="B615" s="10" t="inlineStr">
        <is>
          <t>D11-DOC-EEP-001</t>
        </is>
      </c>
      <c r="C615" s="10" t="inlineStr">
        <is>
          <t>D11-DOC-EEP-001-T03</t>
        </is>
      </c>
      <c r="D615" s="10" t="inlineStr">
        <is>
          <t>etapa</t>
        </is>
      </c>
      <c r="E615" s="10" t="inlineStr">
        <is>
          <t>Definir, validar e manter: Etapa</t>
        </is>
      </c>
      <c r="F615" s="10" t="n"/>
      <c r="G615" s="10" t="b">
        <v>1</v>
      </c>
      <c r="H615" s="10" t="b">
        <v>1</v>
      </c>
      <c r="I615" s="10" t="inlineStr">
        <is>
          <t>DERIVED</t>
        </is>
      </c>
      <c r="J615" s="10" t="inlineStr">
        <is>
          <t>PROPOSED</t>
        </is>
      </c>
      <c r="K615" s="10" t="inlineStr">
        <is>
          <t>DERIVED</t>
        </is>
      </c>
      <c r="L615" s="10" t="inlineStr">
        <is>
          <t>baixa</t>
        </is>
      </c>
      <c r="M615" s="10" t="inlineStr">
        <is>
          <t>["D11-DOC-EEP-001.JOURNEYS.ETAPA"]</t>
        </is>
      </c>
    </row>
    <row r="616">
      <c r="A616" s="10" t="inlineStr">
        <is>
          <t>D11-DOC-EEP-001.JOURNEYS.ACAO</t>
        </is>
      </c>
      <c r="B616" s="10" t="inlineStr">
        <is>
          <t>D11-DOC-EEP-001</t>
        </is>
      </c>
      <c r="C616" s="10" t="inlineStr">
        <is>
          <t>D11-DOC-EEP-001-T03</t>
        </is>
      </c>
      <c r="D616" s="10" t="inlineStr">
        <is>
          <t>acao</t>
        </is>
      </c>
      <c r="E616" s="10" t="inlineStr">
        <is>
          <t>Definir, validar e manter: Acao</t>
        </is>
      </c>
      <c r="F616" s="10" t="n"/>
      <c r="G616" s="10" t="b">
        <v>1</v>
      </c>
      <c r="H616" s="10" t="b">
        <v>1</v>
      </c>
      <c r="I616" s="10" t="inlineStr">
        <is>
          <t>DERIVED</t>
        </is>
      </c>
      <c r="J616" s="10" t="inlineStr">
        <is>
          <t>PROPOSED</t>
        </is>
      </c>
      <c r="K616" s="10" t="inlineStr">
        <is>
          <t>DERIVED</t>
        </is>
      </c>
      <c r="L616" s="10" t="inlineStr">
        <is>
          <t>baixa</t>
        </is>
      </c>
      <c r="M616" s="10" t="inlineStr">
        <is>
          <t>["D11-DOC-EEP-001.JOURNEYS.ACAO"]</t>
        </is>
      </c>
    </row>
    <row r="617">
      <c r="A617" s="10" t="inlineStr">
        <is>
          <t>D11-DOC-EEP-001.JOURNEYS.FRICCAO</t>
        </is>
      </c>
      <c r="B617" s="10" t="inlineStr">
        <is>
          <t>D11-DOC-EEP-001</t>
        </is>
      </c>
      <c r="C617" s="10" t="inlineStr">
        <is>
          <t>D11-DOC-EEP-001-T03</t>
        </is>
      </c>
      <c r="D617" s="10" t="inlineStr">
        <is>
          <t>friccao</t>
        </is>
      </c>
      <c r="E617" s="10" t="inlineStr">
        <is>
          <t>Definir, validar e manter: Friccao</t>
        </is>
      </c>
      <c r="F617" s="10" t="n"/>
      <c r="G617" s="10" t="b">
        <v>1</v>
      </c>
      <c r="H617" s="10" t="b">
        <v>1</v>
      </c>
      <c r="I617" s="10" t="inlineStr">
        <is>
          <t>DERIVED</t>
        </is>
      </c>
      <c r="J617" s="10" t="inlineStr">
        <is>
          <t>PROPOSED</t>
        </is>
      </c>
      <c r="K617" s="10" t="inlineStr">
        <is>
          <t>DERIVED</t>
        </is>
      </c>
      <c r="L617" s="10" t="inlineStr">
        <is>
          <t>baixa</t>
        </is>
      </c>
      <c r="M617" s="10" t="inlineStr">
        <is>
          <t>["D11-DOC-EEP-001.JOURNEYS.FRICCAO"]</t>
        </is>
      </c>
    </row>
    <row r="618">
      <c r="A618" s="10" t="inlineStr">
        <is>
          <t>D11-DOC-EEP-001.INFORMATION_ARCHITECTURE.NAVEGACAO</t>
        </is>
      </c>
      <c r="B618" s="10" t="inlineStr">
        <is>
          <t>D11-DOC-EEP-001</t>
        </is>
      </c>
      <c r="C618" s="10" t="inlineStr">
        <is>
          <t>D11-DOC-EEP-001-T04</t>
        </is>
      </c>
      <c r="D618" s="10" t="inlineStr">
        <is>
          <t>navegacao</t>
        </is>
      </c>
      <c r="E618" s="10" t="inlineStr">
        <is>
          <t>Definir, validar e manter: Navegacao</t>
        </is>
      </c>
      <c r="F618" s="10" t="n"/>
      <c r="G618" s="10" t="b">
        <v>1</v>
      </c>
      <c r="H618" s="10" t="b">
        <v>1</v>
      </c>
      <c r="I618" s="10" t="inlineStr">
        <is>
          <t>DERIVED</t>
        </is>
      </c>
      <c r="J618" s="10" t="inlineStr">
        <is>
          <t>PROPOSED</t>
        </is>
      </c>
      <c r="K618" s="10" t="inlineStr">
        <is>
          <t>DERIVED</t>
        </is>
      </c>
      <c r="L618" s="10" t="inlineStr">
        <is>
          <t>baixa</t>
        </is>
      </c>
      <c r="M618" s="10" t="inlineStr">
        <is>
          <t>["D11-DOC-EEP-001.INFORMATION_ARCHITECTURE.NAVEGACAO"]</t>
        </is>
      </c>
    </row>
    <row r="619">
      <c r="A619" s="10" t="inlineStr">
        <is>
          <t>D11-DOC-EEP-001.INFORMATION_ARCHITECTURE.HIERARQUIA</t>
        </is>
      </c>
      <c r="B619" s="10" t="inlineStr">
        <is>
          <t>D11-DOC-EEP-001</t>
        </is>
      </c>
      <c r="C619" s="10" t="inlineStr">
        <is>
          <t>D11-DOC-EEP-001-T04</t>
        </is>
      </c>
      <c r="D619" s="10" t="inlineStr">
        <is>
          <t>hierarquia</t>
        </is>
      </c>
      <c r="E619" s="10" t="inlineStr">
        <is>
          <t>Definir, validar e manter: Hierarquia</t>
        </is>
      </c>
      <c r="F619" s="10" t="n"/>
      <c r="G619" s="10" t="b">
        <v>1</v>
      </c>
      <c r="H619" s="10" t="b">
        <v>1</v>
      </c>
      <c r="I619" s="10" t="inlineStr">
        <is>
          <t>DERIVED</t>
        </is>
      </c>
      <c r="J619" s="10" t="inlineStr">
        <is>
          <t>PROPOSED</t>
        </is>
      </c>
      <c r="K619" s="10" t="inlineStr">
        <is>
          <t>DERIVED</t>
        </is>
      </c>
      <c r="L619" s="10" t="inlineStr">
        <is>
          <t>baixa</t>
        </is>
      </c>
      <c r="M619" s="10" t="inlineStr">
        <is>
          <t>["D11-DOC-EEP-001.INFORMATION_ARCHITECTURE.HIERARQUIA"]</t>
        </is>
      </c>
    </row>
    <row r="620">
      <c r="A620" s="10" t="inlineStr">
        <is>
          <t>D11-DOC-EEP-001.FLOWS.ENTRADA</t>
        </is>
      </c>
      <c r="B620" s="10" t="inlineStr">
        <is>
          <t>D11-DOC-EEP-001</t>
        </is>
      </c>
      <c r="C620" s="10" t="inlineStr">
        <is>
          <t>D11-DOC-EEP-001-T05</t>
        </is>
      </c>
      <c r="D620" s="10" t="inlineStr">
        <is>
          <t>entrada</t>
        </is>
      </c>
      <c r="E620" s="10" t="inlineStr">
        <is>
          <t>Definir, validar e manter: Entrada</t>
        </is>
      </c>
      <c r="F620" s="10" t="n"/>
      <c r="G620" s="10" t="b">
        <v>1</v>
      </c>
      <c r="H620" s="10" t="b">
        <v>1</v>
      </c>
      <c r="I620" s="10" t="inlineStr">
        <is>
          <t>DERIVED</t>
        </is>
      </c>
      <c r="J620" s="10" t="inlineStr">
        <is>
          <t>PROPOSED</t>
        </is>
      </c>
      <c r="K620" s="10" t="inlineStr">
        <is>
          <t>DERIVED</t>
        </is>
      </c>
      <c r="L620" s="10" t="inlineStr">
        <is>
          <t>baixa</t>
        </is>
      </c>
      <c r="M620" s="10" t="inlineStr">
        <is>
          <t>["D11-DOC-EEP-001.FLOWS.ENTRADA"]</t>
        </is>
      </c>
    </row>
    <row r="621">
      <c r="A621" s="10" t="inlineStr">
        <is>
          <t>D11-DOC-EEP-001.FLOWS.DECISAO</t>
        </is>
      </c>
      <c r="B621" s="10" t="inlineStr">
        <is>
          <t>D11-DOC-EEP-001</t>
        </is>
      </c>
      <c r="C621" s="10" t="inlineStr">
        <is>
          <t>D11-DOC-EEP-001-T05</t>
        </is>
      </c>
      <c r="D621" s="10" t="inlineStr">
        <is>
          <t>decisao</t>
        </is>
      </c>
      <c r="E621" s="10" t="inlineStr">
        <is>
          <t>Definir, validar e manter: Decisao</t>
        </is>
      </c>
      <c r="F621" s="10" t="n"/>
      <c r="G621" s="10" t="b">
        <v>1</v>
      </c>
      <c r="H621" s="10" t="b">
        <v>1</v>
      </c>
      <c r="I621" s="10" t="inlineStr">
        <is>
          <t>DERIVED</t>
        </is>
      </c>
      <c r="J621" s="10" t="inlineStr">
        <is>
          <t>PROPOSED</t>
        </is>
      </c>
      <c r="K621" s="10" t="inlineStr">
        <is>
          <t>DERIVED</t>
        </is>
      </c>
      <c r="L621" s="10" t="inlineStr">
        <is>
          <t>baixa</t>
        </is>
      </c>
      <c r="M621" s="10" t="inlineStr">
        <is>
          <t>["D11-DOC-EEP-001.FLOWS.DECISAO"]</t>
        </is>
      </c>
    </row>
    <row r="622">
      <c r="A622" s="10" t="inlineStr">
        <is>
          <t>D11-DOC-EEP-001.FLOWS.SAIDA</t>
        </is>
      </c>
      <c r="B622" s="10" t="inlineStr">
        <is>
          <t>D11-DOC-EEP-001</t>
        </is>
      </c>
      <c r="C622" s="10" t="inlineStr">
        <is>
          <t>D11-DOC-EEP-001-T05</t>
        </is>
      </c>
      <c r="D622" s="10" t="inlineStr">
        <is>
          <t>saida</t>
        </is>
      </c>
      <c r="E622" s="10" t="inlineStr">
        <is>
          <t>Definir, validar e manter: Saida</t>
        </is>
      </c>
      <c r="F622" s="10" t="n"/>
      <c r="G622" s="10" t="b">
        <v>1</v>
      </c>
      <c r="H622" s="10" t="b">
        <v>1</v>
      </c>
      <c r="I622" s="10" t="inlineStr">
        <is>
          <t>DERIVED</t>
        </is>
      </c>
      <c r="J622" s="10" t="inlineStr">
        <is>
          <t>PROPOSED</t>
        </is>
      </c>
      <c r="K622" s="10" t="inlineStr">
        <is>
          <t>DERIVED</t>
        </is>
      </c>
      <c r="L622" s="10" t="inlineStr">
        <is>
          <t>baixa</t>
        </is>
      </c>
      <c r="M622" s="10" t="inlineStr">
        <is>
          <t>["D11-DOC-EEP-001.FLOWS.SAIDA"]</t>
        </is>
      </c>
    </row>
    <row r="623">
      <c r="A623" s="10" t="inlineStr">
        <is>
          <t>D11-DOC-EEP-001.INTERACTION.COMPORTAMENTO</t>
        </is>
      </c>
      <c r="B623" s="10" t="inlineStr">
        <is>
          <t>D11-DOC-EEP-001</t>
        </is>
      </c>
      <c r="C623" s="10" t="inlineStr">
        <is>
          <t>D11-DOC-EEP-001-T06</t>
        </is>
      </c>
      <c r="D623" s="10" t="inlineStr">
        <is>
          <t>comportamento</t>
        </is>
      </c>
      <c r="E623" s="10" t="inlineStr">
        <is>
          <t>Definir, validar e manter: Comportamento</t>
        </is>
      </c>
      <c r="F623" s="10" t="n"/>
      <c r="G623" s="10" t="b">
        <v>1</v>
      </c>
      <c r="H623" s="10" t="b">
        <v>1</v>
      </c>
      <c r="I623" s="10" t="inlineStr">
        <is>
          <t>FOUND</t>
        </is>
      </c>
      <c r="J623" s="10" t="inlineStr">
        <is>
          <t>DIRECT</t>
        </is>
      </c>
      <c r="K623" s="10" t="inlineStr">
        <is>
          <t>FOUND</t>
        </is>
      </c>
      <c r="L623" s="10" t="inlineStr">
        <is>
          <t>media</t>
        </is>
      </c>
      <c r="M623" s="10" t="inlineStr">
        <is>
          <t>["D11-DOC-EEP-001.INTERACTION.COMPORTAMENTO"]</t>
        </is>
      </c>
    </row>
    <row r="624">
      <c r="A624" s="10" t="inlineStr">
        <is>
          <t>D11-DOC-EEP-001.INTERACTION.FEEDBACK</t>
        </is>
      </c>
      <c r="B624" s="10" t="inlineStr">
        <is>
          <t>D11-DOC-EEP-001</t>
        </is>
      </c>
      <c r="C624" s="10" t="inlineStr">
        <is>
          <t>D11-DOC-EEP-001-T06</t>
        </is>
      </c>
      <c r="D624" s="10" t="inlineStr">
        <is>
          <t>feedback</t>
        </is>
      </c>
      <c r="E624" s="10" t="inlineStr">
        <is>
          <t>Definir, validar e manter: Feedback</t>
        </is>
      </c>
      <c r="F624" s="10" t="n"/>
      <c r="G624" s="10" t="b">
        <v>1</v>
      </c>
      <c r="H624" s="10" t="b">
        <v>1</v>
      </c>
      <c r="I624" s="10" t="inlineStr">
        <is>
          <t>DERIVED</t>
        </is>
      </c>
      <c r="J624" s="10" t="inlineStr">
        <is>
          <t>PROPOSED</t>
        </is>
      </c>
      <c r="K624" s="10" t="inlineStr">
        <is>
          <t>DERIVED</t>
        </is>
      </c>
      <c r="L624" s="10" t="inlineStr">
        <is>
          <t>baixa</t>
        </is>
      </c>
      <c r="M624" s="10" t="inlineStr">
        <is>
          <t>["D11-DOC-EEP-001.INTERACTION.FEEDBACK"]</t>
        </is>
      </c>
    </row>
    <row r="625">
      <c r="A625" s="10" t="inlineStr">
        <is>
          <t>D11-DOC-EEP-001.STATES.LOADING</t>
        </is>
      </c>
      <c r="B625" s="10" t="inlineStr">
        <is>
          <t>D11-DOC-EEP-001</t>
        </is>
      </c>
      <c r="C625" s="10" t="inlineStr">
        <is>
          <t>D11-DOC-EEP-001-T07</t>
        </is>
      </c>
      <c r="D625" s="10" t="inlineStr">
        <is>
          <t>loading</t>
        </is>
      </c>
      <c r="E625" s="10" t="inlineStr">
        <is>
          <t>Definir, validar e manter: Loading</t>
        </is>
      </c>
      <c r="F625" s="10" t="n"/>
      <c r="G625" s="10" t="b">
        <v>1</v>
      </c>
      <c r="H625" s="10" t="b">
        <v>1</v>
      </c>
      <c r="I625" s="10" t="inlineStr">
        <is>
          <t>DERIVED</t>
        </is>
      </c>
      <c r="J625" s="10" t="inlineStr">
        <is>
          <t>PROPOSED</t>
        </is>
      </c>
      <c r="K625" s="10" t="inlineStr">
        <is>
          <t>DERIVED</t>
        </is>
      </c>
      <c r="L625" s="10" t="inlineStr">
        <is>
          <t>baixa</t>
        </is>
      </c>
      <c r="M625" s="10" t="inlineStr">
        <is>
          <t>["D11-DOC-EEP-001.STATES.LOADING"]</t>
        </is>
      </c>
    </row>
    <row r="626">
      <c r="A626" s="10" t="inlineStr">
        <is>
          <t>D11-DOC-EEP-001.STATES.VAZIO</t>
        </is>
      </c>
      <c r="B626" s="10" t="inlineStr">
        <is>
          <t>D11-DOC-EEP-001</t>
        </is>
      </c>
      <c r="C626" s="10" t="inlineStr">
        <is>
          <t>D11-DOC-EEP-001-T07</t>
        </is>
      </c>
      <c r="D626" s="10" t="inlineStr">
        <is>
          <t>vazio</t>
        </is>
      </c>
      <c r="E626" s="10" t="inlineStr">
        <is>
          <t>Definir, validar e manter: Vazio</t>
        </is>
      </c>
      <c r="F626" s="10" t="n"/>
      <c r="G626" s="10" t="b">
        <v>1</v>
      </c>
      <c r="H626" s="10" t="b">
        <v>1</v>
      </c>
      <c r="I626" s="10" t="inlineStr">
        <is>
          <t>DERIVED</t>
        </is>
      </c>
      <c r="J626" s="10" t="inlineStr">
        <is>
          <t>PROPOSED</t>
        </is>
      </c>
      <c r="K626" s="10" t="inlineStr">
        <is>
          <t>DERIVED</t>
        </is>
      </c>
      <c r="L626" s="10" t="inlineStr">
        <is>
          <t>baixa</t>
        </is>
      </c>
      <c r="M626" s="10" t="inlineStr">
        <is>
          <t>["D11-DOC-EEP-001.STATES.VAZIO"]</t>
        </is>
      </c>
    </row>
    <row r="627">
      <c r="A627" s="10" t="inlineStr">
        <is>
          <t>D11-DOC-EEP-001.STATES.ERRO</t>
        </is>
      </c>
      <c r="B627" s="10" t="inlineStr">
        <is>
          <t>D11-DOC-EEP-001</t>
        </is>
      </c>
      <c r="C627" s="10" t="inlineStr">
        <is>
          <t>D11-DOC-EEP-001-T07</t>
        </is>
      </c>
      <c r="D627" s="10" t="inlineStr">
        <is>
          <t>erro</t>
        </is>
      </c>
      <c r="E627" s="10" t="inlineStr">
        <is>
          <t>Definir, validar e manter: Erro</t>
        </is>
      </c>
      <c r="F627" s="10" t="n"/>
      <c r="G627" s="10" t="b">
        <v>1</v>
      </c>
      <c r="H627" s="10" t="b">
        <v>1</v>
      </c>
      <c r="I627" s="10" t="inlineStr">
        <is>
          <t>DERIVED</t>
        </is>
      </c>
      <c r="J627" s="10" t="inlineStr">
        <is>
          <t>PROPOSED</t>
        </is>
      </c>
      <c r="K627" s="10" t="inlineStr">
        <is>
          <t>DERIVED</t>
        </is>
      </c>
      <c r="L627" s="10" t="inlineStr">
        <is>
          <t>baixa</t>
        </is>
      </c>
      <c r="M627" s="10" t="inlineStr">
        <is>
          <t>["D11-DOC-EEP-001.STATES.ERRO"]</t>
        </is>
      </c>
    </row>
    <row r="628">
      <c r="A628" s="10" t="inlineStr">
        <is>
          <t>D11-DOC-EEP-001.STATES.SUCESSO</t>
        </is>
      </c>
      <c r="B628" s="10" t="inlineStr">
        <is>
          <t>D11-DOC-EEP-001</t>
        </is>
      </c>
      <c r="C628" s="10" t="inlineStr">
        <is>
          <t>D11-DOC-EEP-001-T07</t>
        </is>
      </c>
      <c r="D628" s="10" t="inlineStr">
        <is>
          <t>sucesso</t>
        </is>
      </c>
      <c r="E628" s="10" t="inlineStr">
        <is>
          <t>Definir, validar e manter: Sucesso</t>
        </is>
      </c>
      <c r="F628" s="10" t="n"/>
      <c r="G628" s="10" t="b">
        <v>1</v>
      </c>
      <c r="H628" s="10" t="b">
        <v>1</v>
      </c>
      <c r="I628" s="10" t="inlineStr">
        <is>
          <t>DERIVED</t>
        </is>
      </c>
      <c r="J628" s="10" t="inlineStr">
        <is>
          <t>PROPOSED</t>
        </is>
      </c>
      <c r="K628" s="10" t="inlineStr">
        <is>
          <t>DERIVED</t>
        </is>
      </c>
      <c r="L628" s="10" t="inlineStr">
        <is>
          <t>baixa</t>
        </is>
      </c>
      <c r="M628" s="10" t="inlineStr">
        <is>
          <t>["D11-DOC-EEP-001.STATES.SUCESSO"]</t>
        </is>
      </c>
    </row>
    <row r="629">
      <c r="A629" s="10" t="inlineStr">
        <is>
          <t>D11-DOC-EEP-001.CONTENT.MICROCOPY</t>
        </is>
      </c>
      <c r="B629" s="10" t="inlineStr">
        <is>
          <t>D11-DOC-EEP-001</t>
        </is>
      </c>
      <c r="C629" s="10" t="inlineStr">
        <is>
          <t>D11-DOC-EEP-001-T08</t>
        </is>
      </c>
      <c r="D629" s="10" t="inlineStr">
        <is>
          <t>microcopy</t>
        </is>
      </c>
      <c r="E629" s="10" t="inlineStr">
        <is>
          <t>Definir, validar e manter: Microcopy</t>
        </is>
      </c>
      <c r="F629" s="10" t="n"/>
      <c r="G629" s="10" t="b">
        <v>1</v>
      </c>
      <c r="H629" s="10" t="b">
        <v>1</v>
      </c>
      <c r="I629" s="10" t="inlineStr">
        <is>
          <t>DERIVED</t>
        </is>
      </c>
      <c r="J629" s="10" t="inlineStr">
        <is>
          <t>PROPOSED</t>
        </is>
      </c>
      <c r="K629" s="10" t="inlineStr">
        <is>
          <t>DERIVED</t>
        </is>
      </c>
      <c r="L629" s="10" t="inlineStr">
        <is>
          <t>baixa</t>
        </is>
      </c>
      <c r="M629" s="10" t="inlineStr">
        <is>
          <t>["D11-DOC-EEP-001.CONTENT.MICROCOPY"]</t>
        </is>
      </c>
    </row>
    <row r="630">
      <c r="A630" s="10" t="inlineStr">
        <is>
          <t>D11-DOC-EEP-001.CONTENT.ORIENTACAO</t>
        </is>
      </c>
      <c r="B630" s="10" t="inlineStr">
        <is>
          <t>D11-DOC-EEP-001</t>
        </is>
      </c>
      <c r="C630" s="10" t="inlineStr">
        <is>
          <t>D11-DOC-EEP-001-T08</t>
        </is>
      </c>
      <c r="D630" s="10" t="inlineStr">
        <is>
          <t>orientacao</t>
        </is>
      </c>
      <c r="E630" s="10" t="inlineStr">
        <is>
          <t>Definir, validar e manter: Orientacao</t>
        </is>
      </c>
      <c r="F630" s="10" t="n"/>
      <c r="G630" s="10" t="b">
        <v>1</v>
      </c>
      <c r="H630" s="10" t="b">
        <v>1</v>
      </c>
      <c r="I630" s="10" t="inlineStr">
        <is>
          <t>DERIVED</t>
        </is>
      </c>
      <c r="J630" s="10" t="inlineStr">
        <is>
          <t>PROPOSED</t>
        </is>
      </c>
      <c r="K630" s="10" t="inlineStr">
        <is>
          <t>DERIVED</t>
        </is>
      </c>
      <c r="L630" s="10" t="inlineStr">
        <is>
          <t>baixa</t>
        </is>
      </c>
      <c r="M630" s="10" t="inlineStr">
        <is>
          <t>["D11-DOC-EEP-001.CONTENT.ORIENTACAO"]</t>
        </is>
      </c>
    </row>
    <row r="631">
      <c r="A631" s="10" t="inlineStr">
        <is>
          <t>D11-DOC-EEP-001.RESPONSIVE.MOBILE</t>
        </is>
      </c>
      <c r="B631" s="10" t="inlineStr">
        <is>
          <t>D11-DOC-EEP-001</t>
        </is>
      </c>
      <c r="C631" s="10" t="inlineStr">
        <is>
          <t>D11-DOC-EEP-001-T09</t>
        </is>
      </c>
      <c r="D631" s="10" t="inlineStr">
        <is>
          <t>mobile</t>
        </is>
      </c>
      <c r="E631" s="10" t="inlineStr">
        <is>
          <t>Definir, validar e manter: Mobile</t>
        </is>
      </c>
      <c r="F631" s="10" t="n"/>
      <c r="G631" s="10" t="b">
        <v>1</v>
      </c>
      <c r="H631" s="10" t="b">
        <v>1</v>
      </c>
      <c r="I631" s="10" t="inlineStr">
        <is>
          <t>DERIVED</t>
        </is>
      </c>
      <c r="J631" s="10" t="inlineStr">
        <is>
          <t>PROPOSED</t>
        </is>
      </c>
      <c r="K631" s="10" t="inlineStr">
        <is>
          <t>DERIVED</t>
        </is>
      </c>
      <c r="L631" s="10" t="inlineStr">
        <is>
          <t>baixa</t>
        </is>
      </c>
      <c r="M631" s="10" t="inlineStr">
        <is>
          <t>["D11-DOC-EEP-001.RESPONSIVE.MOBILE"]</t>
        </is>
      </c>
    </row>
    <row r="632">
      <c r="A632" s="10" t="inlineStr">
        <is>
          <t>D11-DOC-EEP-001.RESPONSIVE.TABLET</t>
        </is>
      </c>
      <c r="B632" s="10" t="inlineStr">
        <is>
          <t>D11-DOC-EEP-001</t>
        </is>
      </c>
      <c r="C632" s="10" t="inlineStr">
        <is>
          <t>D11-DOC-EEP-001-T09</t>
        </is>
      </c>
      <c r="D632" s="10" t="inlineStr">
        <is>
          <t>tablet</t>
        </is>
      </c>
      <c r="E632" s="10" t="inlineStr">
        <is>
          <t>Definir, validar e manter: Tablet</t>
        </is>
      </c>
      <c r="F632" s="10" t="n"/>
      <c r="G632" s="10" t="b">
        <v>1</v>
      </c>
      <c r="H632" s="10" t="b">
        <v>1</v>
      </c>
      <c r="I632" s="10" t="inlineStr">
        <is>
          <t>DERIVED</t>
        </is>
      </c>
      <c r="J632" s="10" t="inlineStr">
        <is>
          <t>PROPOSED</t>
        </is>
      </c>
      <c r="K632" s="10" t="inlineStr">
        <is>
          <t>DERIVED</t>
        </is>
      </c>
      <c r="L632" s="10" t="inlineStr">
        <is>
          <t>baixa</t>
        </is>
      </c>
      <c r="M632" s="10" t="inlineStr">
        <is>
          <t>["D11-DOC-EEP-001.RESPONSIVE.TABLET"]</t>
        </is>
      </c>
    </row>
    <row r="633">
      <c r="A633" s="10" t="inlineStr">
        <is>
          <t>D11-DOC-EEP-001.RESPONSIVE.DESKTOP</t>
        </is>
      </c>
      <c r="B633" s="10" t="inlineStr">
        <is>
          <t>D11-DOC-EEP-001</t>
        </is>
      </c>
      <c r="C633" s="10" t="inlineStr">
        <is>
          <t>D11-DOC-EEP-001-T09</t>
        </is>
      </c>
      <c r="D633" s="10" t="inlineStr">
        <is>
          <t>desktop</t>
        </is>
      </c>
      <c r="E633" s="10" t="inlineStr">
        <is>
          <t>Definir, validar e manter: Desktop</t>
        </is>
      </c>
      <c r="F633" s="10" t="n"/>
      <c r="G633" s="10" t="b">
        <v>1</v>
      </c>
      <c r="H633" s="10" t="b">
        <v>1</v>
      </c>
      <c r="I633" s="10" t="inlineStr">
        <is>
          <t>DERIVED</t>
        </is>
      </c>
      <c r="J633" s="10" t="inlineStr">
        <is>
          <t>PROPOSED</t>
        </is>
      </c>
      <c r="K633" s="10" t="inlineStr">
        <is>
          <t>DERIVED</t>
        </is>
      </c>
      <c r="L633" s="10" t="inlineStr">
        <is>
          <t>baixa</t>
        </is>
      </c>
      <c r="M633" s="10" t="inlineStr">
        <is>
          <t>["D11-DOC-EEP-001.RESPONSIVE.DESKTOP"]</t>
        </is>
      </c>
    </row>
    <row r="634">
      <c r="A634" s="10" t="inlineStr">
        <is>
          <t>D11-DOC-EEP-001.ACCESSIBILITY.TECLADO</t>
        </is>
      </c>
      <c r="B634" s="10" t="inlineStr">
        <is>
          <t>D11-DOC-EEP-001</t>
        </is>
      </c>
      <c r="C634" s="10" t="inlineStr">
        <is>
          <t>D11-DOC-EEP-001-T10</t>
        </is>
      </c>
      <c r="D634" s="10" t="inlineStr">
        <is>
          <t>teclado</t>
        </is>
      </c>
      <c r="E634" s="10" t="inlineStr">
        <is>
          <t>Definir, validar e manter: Teclado</t>
        </is>
      </c>
      <c r="F634" s="10" t="n"/>
      <c r="G634" s="10" t="b">
        <v>1</v>
      </c>
      <c r="H634" s="10" t="b">
        <v>1</v>
      </c>
      <c r="I634" s="10" t="inlineStr">
        <is>
          <t>EXTERNAL</t>
        </is>
      </c>
      <c r="J634" s="10" t="inlineStr">
        <is>
          <t>EXTERNAL_EVIDENCE</t>
        </is>
      </c>
      <c r="K634" s="10" t="inlineStr">
        <is>
          <t>EXTERNAL</t>
        </is>
      </c>
      <c r="L634" s="10" t="inlineStr">
        <is>
          <t>media</t>
        </is>
      </c>
      <c r="M634" s="10" t="inlineStr">
        <is>
          <t>["D11-DOC-EEP-001.ACCESSIBILITY.TECLADO"]</t>
        </is>
      </c>
    </row>
    <row r="635">
      <c r="A635" s="10" t="inlineStr">
        <is>
          <t>D11-DOC-EEP-001.ACCESSIBILITY.CONTRASTE</t>
        </is>
      </c>
      <c r="B635" s="10" t="inlineStr">
        <is>
          <t>D11-DOC-EEP-001</t>
        </is>
      </c>
      <c r="C635" s="10" t="inlineStr">
        <is>
          <t>D11-DOC-EEP-001-T10</t>
        </is>
      </c>
      <c r="D635" s="10" t="inlineStr">
        <is>
          <t>contraste</t>
        </is>
      </c>
      <c r="E635" s="10" t="inlineStr">
        <is>
          <t>Definir, validar e manter: Contraste</t>
        </is>
      </c>
      <c r="F635" s="10" t="n"/>
      <c r="G635" s="10" t="b">
        <v>1</v>
      </c>
      <c r="H635" s="10" t="b">
        <v>1</v>
      </c>
      <c r="I635" s="10" t="inlineStr">
        <is>
          <t>EXTERNAL</t>
        </is>
      </c>
      <c r="J635" s="10" t="inlineStr">
        <is>
          <t>EXTERNAL_EVIDENCE</t>
        </is>
      </c>
      <c r="K635" s="10" t="inlineStr">
        <is>
          <t>EXTERNAL</t>
        </is>
      </c>
      <c r="L635" s="10" t="inlineStr">
        <is>
          <t>media</t>
        </is>
      </c>
      <c r="M635" s="10" t="inlineStr">
        <is>
          <t>["D11-DOC-EEP-001.ACCESSIBILITY.CONTRASTE"]</t>
        </is>
      </c>
    </row>
    <row r="636">
      <c r="A636" s="10" t="inlineStr">
        <is>
          <t>D11-DOC-EEP-001.ACCESSIBILITY.SEMANTICA</t>
        </is>
      </c>
      <c r="B636" s="10" t="inlineStr">
        <is>
          <t>D11-DOC-EEP-001</t>
        </is>
      </c>
      <c r="C636" s="10" t="inlineStr">
        <is>
          <t>D11-DOC-EEP-001-T10</t>
        </is>
      </c>
      <c r="D636" s="10" t="inlineStr">
        <is>
          <t>semantica</t>
        </is>
      </c>
      <c r="E636" s="10" t="inlineStr">
        <is>
          <t>Definir, validar e manter: Semantica</t>
        </is>
      </c>
      <c r="F636" s="10" t="n"/>
      <c r="G636" s="10" t="b">
        <v>1</v>
      </c>
      <c r="H636" s="10" t="b">
        <v>1</v>
      </c>
      <c r="I636" s="10" t="inlineStr">
        <is>
          <t>DERIVED</t>
        </is>
      </c>
      <c r="J636" s="10" t="inlineStr">
        <is>
          <t>PROPOSED</t>
        </is>
      </c>
      <c r="K636" s="10" t="inlineStr">
        <is>
          <t>DERIVED</t>
        </is>
      </c>
      <c r="L636" s="10" t="inlineStr">
        <is>
          <t>baixa</t>
        </is>
      </c>
      <c r="M636" s="10" t="inlineStr">
        <is>
          <t>["D11-DOC-EEP-001.ACCESSIBILITY.SEMANTICA"]</t>
        </is>
      </c>
    </row>
    <row r="637">
      <c r="A637" s="10" t="inlineStr">
        <is>
          <t>D11-DOC-EEP-001.ACCESSIBILITY.MOVIMENTO</t>
        </is>
      </c>
      <c r="B637" s="10" t="inlineStr">
        <is>
          <t>D11-DOC-EEP-001</t>
        </is>
      </c>
      <c r="C637" s="10" t="inlineStr">
        <is>
          <t>D11-DOC-EEP-001-T10</t>
        </is>
      </c>
      <c r="D637" s="10" t="inlineStr">
        <is>
          <t>movimento</t>
        </is>
      </c>
      <c r="E637" s="10" t="inlineStr">
        <is>
          <t>Definir, validar e manter: Movimento</t>
        </is>
      </c>
      <c r="F637" s="10" t="n"/>
      <c r="G637" s="10" t="b">
        <v>1</v>
      </c>
      <c r="H637" s="10" t="b">
        <v>1</v>
      </c>
      <c r="I637" s="10" t="inlineStr">
        <is>
          <t>DERIVED</t>
        </is>
      </c>
      <c r="J637" s="10" t="inlineStr">
        <is>
          <t>PROPOSED</t>
        </is>
      </c>
      <c r="K637" s="10" t="inlineStr">
        <is>
          <t>DERIVED</t>
        </is>
      </c>
      <c r="L637" s="10" t="inlineStr">
        <is>
          <t>baixa</t>
        </is>
      </c>
      <c r="M637" s="10" t="inlineStr">
        <is>
          <t>["D11-DOC-EEP-001.ACCESSIBILITY.MOVIMENTO"]</t>
        </is>
      </c>
    </row>
    <row r="638">
      <c r="A638" s="10" t="inlineStr">
        <is>
          <t>D11-DOC-EEP-001.PROTOTYPE.ARTEFATO</t>
        </is>
      </c>
      <c r="B638" s="10" t="inlineStr">
        <is>
          <t>D11-DOC-EEP-001</t>
        </is>
      </c>
      <c r="C638" s="10" t="inlineStr">
        <is>
          <t>D11-DOC-EEP-001-T11</t>
        </is>
      </c>
      <c r="D638" s="10" t="inlineStr">
        <is>
          <t>artefato</t>
        </is>
      </c>
      <c r="E638" s="10" t="inlineStr">
        <is>
          <t>Definir, validar e manter: Artefato</t>
        </is>
      </c>
      <c r="F638" s="10" t="n"/>
      <c r="G638" s="10" t="b">
        <v>1</v>
      </c>
      <c r="H638" s="10" t="b">
        <v>1</v>
      </c>
      <c r="I638" s="10" t="inlineStr">
        <is>
          <t>DERIVED</t>
        </is>
      </c>
      <c r="J638" s="10" t="inlineStr">
        <is>
          <t>PROPOSED</t>
        </is>
      </c>
      <c r="K638" s="10" t="inlineStr">
        <is>
          <t>DERIVED</t>
        </is>
      </c>
      <c r="L638" s="10" t="inlineStr">
        <is>
          <t>baixa</t>
        </is>
      </c>
      <c r="M638" s="10" t="inlineStr">
        <is>
          <t>["D11-DOC-EEP-001.PROTOTYPE.ARTEFATO"]</t>
        </is>
      </c>
    </row>
    <row r="639">
      <c r="A639" s="10" t="inlineStr">
        <is>
          <t>D11-DOC-EEP-001.PROTOTYPE.STATUS</t>
        </is>
      </c>
      <c r="B639" s="10" t="inlineStr">
        <is>
          <t>D11-DOC-EEP-001</t>
        </is>
      </c>
      <c r="C639" s="10" t="inlineStr">
        <is>
          <t>D11-DOC-EEP-001-T11</t>
        </is>
      </c>
      <c r="D639" s="10" t="inlineStr">
        <is>
          <t>status</t>
        </is>
      </c>
      <c r="E639" s="10" t="inlineStr">
        <is>
          <t>Definir, validar e manter: Status</t>
        </is>
      </c>
      <c r="F639" s="10" t="n"/>
      <c r="G639" s="10" t="b">
        <v>1</v>
      </c>
      <c r="H639" s="10" t="b">
        <v>1</v>
      </c>
      <c r="I639" s="10" t="inlineStr">
        <is>
          <t>DERIVED</t>
        </is>
      </c>
      <c r="J639" s="10" t="inlineStr">
        <is>
          <t>PROPOSED</t>
        </is>
      </c>
      <c r="K639" s="10" t="inlineStr">
        <is>
          <t>DERIVED</t>
        </is>
      </c>
      <c r="L639" s="10" t="inlineStr">
        <is>
          <t>baixa</t>
        </is>
      </c>
      <c r="M639" s="10" t="inlineStr">
        <is>
          <t>["D11-DOC-EEP-001.PROTOTYPE.STATUS"]</t>
        </is>
      </c>
    </row>
    <row r="640">
      <c r="A640" s="10" t="inlineStr">
        <is>
          <t>D11-DOC-EEP-001.VALIDATION.TESTE</t>
        </is>
      </c>
      <c r="B640" s="10" t="inlineStr">
        <is>
          <t>D11-DOC-EEP-001</t>
        </is>
      </c>
      <c r="C640" s="10" t="inlineStr">
        <is>
          <t>D11-DOC-EEP-001-T12</t>
        </is>
      </c>
      <c r="D640" s="10" t="inlineStr">
        <is>
          <t>teste</t>
        </is>
      </c>
      <c r="E640" s="10" t="inlineStr">
        <is>
          <t>Definir, validar e manter: Teste</t>
        </is>
      </c>
      <c r="F640" s="10" t="n"/>
      <c r="G640" s="10" t="b">
        <v>1</v>
      </c>
      <c r="H640" s="10" t="b">
        <v>1</v>
      </c>
      <c r="I640" s="10" t="inlineStr">
        <is>
          <t>DERIVED</t>
        </is>
      </c>
      <c r="J640" s="10" t="inlineStr">
        <is>
          <t>PROPOSED</t>
        </is>
      </c>
      <c r="K640" s="10" t="inlineStr">
        <is>
          <t>DERIVED</t>
        </is>
      </c>
      <c r="L640" s="10" t="inlineStr">
        <is>
          <t>baixa</t>
        </is>
      </c>
      <c r="M640" s="10" t="inlineStr">
        <is>
          <t>["D11-DOC-EEP-001.VALIDATION.TESTE"]</t>
        </is>
      </c>
    </row>
    <row r="641">
      <c r="A641" s="10" t="inlineStr">
        <is>
          <t>D11-DOC-EEP-001.VALIDATION.RESULTADO</t>
        </is>
      </c>
      <c r="B641" s="10" t="inlineStr">
        <is>
          <t>D11-DOC-EEP-001</t>
        </is>
      </c>
      <c r="C641" s="10" t="inlineStr">
        <is>
          <t>D11-DOC-EEP-001-T12</t>
        </is>
      </c>
      <c r="D641" s="10" t="inlineStr">
        <is>
          <t>resultado</t>
        </is>
      </c>
      <c r="E641" s="10" t="inlineStr">
        <is>
          <t>Definir, validar e manter: Resultado</t>
        </is>
      </c>
      <c r="F641" s="10" t="n"/>
      <c r="G641" s="10" t="b">
        <v>1</v>
      </c>
      <c r="H641" s="10" t="b">
        <v>1</v>
      </c>
      <c r="I641" s="10" t="inlineStr">
        <is>
          <t>DERIVED</t>
        </is>
      </c>
      <c r="J641" s="10" t="inlineStr">
        <is>
          <t>PROPOSED</t>
        </is>
      </c>
      <c r="K641" s="10" t="inlineStr">
        <is>
          <t>DERIVED</t>
        </is>
      </c>
      <c r="L641" s="10" t="inlineStr">
        <is>
          <t>baixa</t>
        </is>
      </c>
      <c r="M641" s="10" t="inlineStr">
        <is>
          <t>["D11-DOC-EEP-001.VALIDATION.RESULTADO"]</t>
        </is>
      </c>
    </row>
    <row r="642">
      <c r="A642" s="10" t="inlineStr">
        <is>
          <t>D11-DOC-DSI-001.FOUNDATIONS.PRINCIPIOS</t>
        </is>
      </c>
      <c r="B642" s="10" t="inlineStr">
        <is>
          <t>D11-DOC-DSI-001</t>
        </is>
      </c>
      <c r="C642" s="10" t="inlineStr">
        <is>
          <t>D11-DOC-DSI-001-T01</t>
        </is>
      </c>
      <c r="D642" s="10" t="inlineStr">
        <is>
          <t>principios</t>
        </is>
      </c>
      <c r="E642" s="10" t="inlineStr">
        <is>
          <t>Definir, validar e manter: Principios</t>
        </is>
      </c>
      <c r="F642" s="10" t="n"/>
      <c r="G642" s="10" t="b">
        <v>1</v>
      </c>
      <c r="H642" s="10" t="b">
        <v>1</v>
      </c>
      <c r="I642" s="10" t="inlineStr">
        <is>
          <t>DERIVED</t>
        </is>
      </c>
      <c r="J642" s="10" t="inlineStr">
        <is>
          <t>PROPOSED</t>
        </is>
      </c>
      <c r="K642" s="10" t="inlineStr">
        <is>
          <t>DERIVED</t>
        </is>
      </c>
      <c r="L642" s="10" t="inlineStr">
        <is>
          <t>baixa</t>
        </is>
      </c>
      <c r="M642" s="10" t="inlineStr">
        <is>
          <t>["D11-DOC-DSI-001.FOUNDATIONS.PRINCIPIOS"]</t>
        </is>
      </c>
    </row>
    <row r="643">
      <c r="A643" s="10" t="inlineStr">
        <is>
          <t>D11-DOC-DSI-001.TOKENS.COR</t>
        </is>
      </c>
      <c r="B643" s="10" t="inlineStr">
        <is>
          <t>D11-DOC-DSI-001</t>
        </is>
      </c>
      <c r="C643" s="10" t="inlineStr">
        <is>
          <t>D11-DOC-DSI-001-T02</t>
        </is>
      </c>
      <c r="D643" s="10" t="inlineStr">
        <is>
          <t>cor</t>
        </is>
      </c>
      <c r="E643" s="10" t="inlineStr">
        <is>
          <t>Definir, validar e manter: Cor</t>
        </is>
      </c>
      <c r="F643" s="10" t="n"/>
      <c r="G643" s="10" t="b">
        <v>1</v>
      </c>
      <c r="H643" s="10" t="b">
        <v>1</v>
      </c>
      <c r="I643" s="10" t="inlineStr">
        <is>
          <t>DERIVED</t>
        </is>
      </c>
      <c r="J643" s="10" t="inlineStr">
        <is>
          <t>PROPOSED</t>
        </is>
      </c>
      <c r="K643" s="10" t="inlineStr">
        <is>
          <t>DERIVED</t>
        </is>
      </c>
      <c r="L643" s="10" t="inlineStr">
        <is>
          <t>baixa</t>
        </is>
      </c>
      <c r="M643" s="10" t="inlineStr">
        <is>
          <t>["D11-DOC-DSI-001.TOKENS.COR"]</t>
        </is>
      </c>
    </row>
    <row r="644">
      <c r="A644" s="10" t="inlineStr">
        <is>
          <t>D11-DOC-DSI-001.TOKENS.TIPOGRAFIA</t>
        </is>
      </c>
      <c r="B644" s="10" t="inlineStr">
        <is>
          <t>D11-DOC-DSI-001</t>
        </is>
      </c>
      <c r="C644" s="10" t="inlineStr">
        <is>
          <t>D11-DOC-DSI-001-T02</t>
        </is>
      </c>
      <c r="D644" s="10" t="inlineStr">
        <is>
          <t>tipografia</t>
        </is>
      </c>
      <c r="E644" s="10" t="inlineStr">
        <is>
          <t>Definir, validar e manter: Tipografia</t>
        </is>
      </c>
      <c r="F644" s="10" t="n"/>
      <c r="G644" s="10" t="b">
        <v>1</v>
      </c>
      <c r="H644" s="10" t="b">
        <v>1</v>
      </c>
      <c r="I644" s="10" t="inlineStr">
        <is>
          <t>DERIVED</t>
        </is>
      </c>
      <c r="J644" s="10" t="inlineStr">
        <is>
          <t>PROPOSED</t>
        </is>
      </c>
      <c r="K644" s="10" t="inlineStr">
        <is>
          <t>DERIVED</t>
        </is>
      </c>
      <c r="L644" s="10" t="inlineStr">
        <is>
          <t>baixa</t>
        </is>
      </c>
      <c r="M644" s="10" t="inlineStr">
        <is>
          <t>["D11-DOC-DSI-001.TOKENS.TIPOGRAFIA"]</t>
        </is>
      </c>
    </row>
    <row r="645">
      <c r="A645" s="10" t="inlineStr">
        <is>
          <t>D11-DOC-DSI-001.TOKENS.ESPACAMENTO</t>
        </is>
      </c>
      <c r="B645" s="10" t="inlineStr">
        <is>
          <t>D11-DOC-DSI-001</t>
        </is>
      </c>
      <c r="C645" s="10" t="inlineStr">
        <is>
          <t>D11-DOC-DSI-001-T02</t>
        </is>
      </c>
      <c r="D645" s="10" t="inlineStr">
        <is>
          <t>espacamento</t>
        </is>
      </c>
      <c r="E645" s="10" t="inlineStr">
        <is>
          <t>Definir, validar e manter: Espacamento</t>
        </is>
      </c>
      <c r="F645" s="10" t="n"/>
      <c r="G645" s="10" t="b">
        <v>1</v>
      </c>
      <c r="H645" s="10" t="b">
        <v>1</v>
      </c>
      <c r="I645" s="10" t="inlineStr">
        <is>
          <t>DERIVED</t>
        </is>
      </c>
      <c r="J645" s="10" t="inlineStr">
        <is>
          <t>PROPOSED</t>
        </is>
      </c>
      <c r="K645" s="10" t="inlineStr">
        <is>
          <t>DERIVED</t>
        </is>
      </c>
      <c r="L645" s="10" t="inlineStr">
        <is>
          <t>baixa</t>
        </is>
      </c>
      <c r="M645" s="10" t="inlineStr">
        <is>
          <t>["D11-DOC-DSI-001.TOKENS.ESPACAMENTO"]</t>
        </is>
      </c>
    </row>
    <row r="646">
      <c r="A646" s="10" t="inlineStr">
        <is>
          <t>D11-DOC-DSI-001.TOKENS.RAIO</t>
        </is>
      </c>
      <c r="B646" s="10" t="inlineStr">
        <is>
          <t>D11-DOC-DSI-001</t>
        </is>
      </c>
      <c r="C646" s="10" t="inlineStr">
        <is>
          <t>D11-DOC-DSI-001-T02</t>
        </is>
      </c>
      <c r="D646" s="10" t="inlineStr">
        <is>
          <t>raio</t>
        </is>
      </c>
      <c r="E646" s="10" t="inlineStr">
        <is>
          <t>Definir, validar e manter: Raio</t>
        </is>
      </c>
      <c r="F646" s="10" t="n"/>
      <c r="G646" s="10" t="b">
        <v>1</v>
      </c>
      <c r="H646" s="10" t="b">
        <v>1</v>
      </c>
      <c r="I646" s="10" t="inlineStr">
        <is>
          <t>DERIVED</t>
        </is>
      </c>
      <c r="J646" s="10" t="inlineStr">
        <is>
          <t>PROPOSED</t>
        </is>
      </c>
      <c r="K646" s="10" t="inlineStr">
        <is>
          <t>DERIVED</t>
        </is>
      </c>
      <c r="L646" s="10" t="inlineStr">
        <is>
          <t>baixa</t>
        </is>
      </c>
      <c r="M646" s="10" t="inlineStr">
        <is>
          <t>["D11-DOC-DSI-001.TOKENS.RAIO"]</t>
        </is>
      </c>
    </row>
    <row r="647">
      <c r="A647" s="10" t="inlineStr">
        <is>
          <t>D11-DOC-DSI-001.TOKENS.SOMBRA</t>
        </is>
      </c>
      <c r="B647" s="10" t="inlineStr">
        <is>
          <t>D11-DOC-DSI-001</t>
        </is>
      </c>
      <c r="C647" s="10" t="inlineStr">
        <is>
          <t>D11-DOC-DSI-001-T02</t>
        </is>
      </c>
      <c r="D647" s="10" t="inlineStr">
        <is>
          <t>sombra</t>
        </is>
      </c>
      <c r="E647" s="10" t="inlineStr">
        <is>
          <t>Definir, validar e manter: Sombra</t>
        </is>
      </c>
      <c r="F647" s="10" t="n"/>
      <c r="G647" s="10" t="b">
        <v>1</v>
      </c>
      <c r="H647" s="10" t="b">
        <v>1</v>
      </c>
      <c r="I647" s="10" t="inlineStr">
        <is>
          <t>DERIVED</t>
        </is>
      </c>
      <c r="J647" s="10" t="inlineStr">
        <is>
          <t>PROPOSED</t>
        </is>
      </c>
      <c r="K647" s="10" t="inlineStr">
        <is>
          <t>DERIVED</t>
        </is>
      </c>
      <c r="L647" s="10" t="inlineStr">
        <is>
          <t>baixa</t>
        </is>
      </c>
      <c r="M647" s="10" t="inlineStr">
        <is>
          <t>["D11-DOC-DSI-001.TOKENS.SOMBRA"]</t>
        </is>
      </c>
    </row>
    <row r="648">
      <c r="A648" s="10" t="inlineStr">
        <is>
          <t>D11-DOC-DSI-001.GRID.BREAKPOINTS</t>
        </is>
      </c>
      <c r="B648" s="10" t="inlineStr">
        <is>
          <t>D11-DOC-DSI-001</t>
        </is>
      </c>
      <c r="C648" s="10" t="inlineStr">
        <is>
          <t>D11-DOC-DSI-001-T03</t>
        </is>
      </c>
      <c r="D648" s="10" t="inlineStr">
        <is>
          <t>breakpoints</t>
        </is>
      </c>
      <c r="E648" s="10" t="inlineStr">
        <is>
          <t>Definir, validar e manter: Breakpoints</t>
        </is>
      </c>
      <c r="F648" s="10" t="n"/>
      <c r="G648" s="10" t="b">
        <v>1</v>
      </c>
      <c r="H648" s="10" t="b">
        <v>1</v>
      </c>
      <c r="I648" s="10" t="inlineStr">
        <is>
          <t>DERIVED</t>
        </is>
      </c>
      <c r="J648" s="10" t="inlineStr">
        <is>
          <t>PROPOSED</t>
        </is>
      </c>
      <c r="K648" s="10" t="inlineStr">
        <is>
          <t>DERIVED</t>
        </is>
      </c>
      <c r="L648" s="10" t="inlineStr">
        <is>
          <t>baixa</t>
        </is>
      </c>
      <c r="M648" s="10" t="inlineStr">
        <is>
          <t>["D11-DOC-DSI-001.GRID.BREAKPOINTS"]</t>
        </is>
      </c>
    </row>
    <row r="649">
      <c r="A649" s="10" t="inlineStr">
        <is>
          <t>D11-DOC-DSI-001.GRID.COLUNAS</t>
        </is>
      </c>
      <c r="B649" s="10" t="inlineStr">
        <is>
          <t>D11-DOC-DSI-001</t>
        </is>
      </c>
      <c r="C649" s="10" t="inlineStr">
        <is>
          <t>D11-DOC-DSI-001-T03</t>
        </is>
      </c>
      <c r="D649" s="10" t="inlineStr">
        <is>
          <t>colunas</t>
        </is>
      </c>
      <c r="E649" s="10" t="inlineStr">
        <is>
          <t>Definir, validar e manter: Colunas</t>
        </is>
      </c>
      <c r="F649" s="10" t="n"/>
      <c r="G649" s="10" t="b">
        <v>1</v>
      </c>
      <c r="H649" s="10" t="b">
        <v>1</v>
      </c>
      <c r="I649" s="10" t="inlineStr">
        <is>
          <t>DERIVED</t>
        </is>
      </c>
      <c r="J649" s="10" t="inlineStr">
        <is>
          <t>PROPOSED</t>
        </is>
      </c>
      <c r="K649" s="10" t="inlineStr">
        <is>
          <t>DERIVED</t>
        </is>
      </c>
      <c r="L649" s="10" t="inlineStr">
        <is>
          <t>baixa</t>
        </is>
      </c>
      <c r="M649" s="10" t="inlineStr">
        <is>
          <t>["D11-DOC-DSI-001.GRID.COLUNAS"]</t>
        </is>
      </c>
    </row>
    <row r="650">
      <c r="A650" s="10" t="inlineStr">
        <is>
          <t>D11-DOC-DSI-001.COMPONENTS.COMPONENTE</t>
        </is>
      </c>
      <c r="B650" s="10" t="inlineStr">
        <is>
          <t>D11-DOC-DSI-001</t>
        </is>
      </c>
      <c r="C650" s="10" t="inlineStr">
        <is>
          <t>D11-DOC-DSI-001-T04</t>
        </is>
      </c>
      <c r="D650" s="10" t="inlineStr">
        <is>
          <t>componente</t>
        </is>
      </c>
      <c r="E650" s="10" t="inlineStr">
        <is>
          <t>Definir, validar e manter: Componente</t>
        </is>
      </c>
      <c r="F650" s="10" t="n"/>
      <c r="G650" s="10" t="b">
        <v>1</v>
      </c>
      <c r="H650" s="10" t="b">
        <v>1</v>
      </c>
      <c r="I650" s="10" t="inlineStr">
        <is>
          <t>DERIVED</t>
        </is>
      </c>
      <c r="J650" s="10" t="inlineStr">
        <is>
          <t>PROPOSED</t>
        </is>
      </c>
      <c r="K650" s="10" t="inlineStr">
        <is>
          <t>DERIVED</t>
        </is>
      </c>
      <c r="L650" s="10" t="inlineStr">
        <is>
          <t>baixa</t>
        </is>
      </c>
      <c r="M650" s="10" t="inlineStr">
        <is>
          <t>["D11-DOC-DSI-001.COMPONENTS.COMPONENTE"]</t>
        </is>
      </c>
    </row>
    <row r="651">
      <c r="A651" s="10" t="inlineStr">
        <is>
          <t>D11-DOC-DSI-001.COMPONENTS.VARIANTE</t>
        </is>
      </c>
      <c r="B651" s="10" t="inlineStr">
        <is>
          <t>D11-DOC-DSI-001</t>
        </is>
      </c>
      <c r="C651" s="10" t="inlineStr">
        <is>
          <t>D11-DOC-DSI-001-T04</t>
        </is>
      </c>
      <c r="D651" s="10" t="inlineStr">
        <is>
          <t>variante</t>
        </is>
      </c>
      <c r="E651" s="10" t="inlineStr">
        <is>
          <t>Definir, validar e manter: Variante</t>
        </is>
      </c>
      <c r="F651" s="10" t="n"/>
      <c r="G651" s="10" t="b">
        <v>1</v>
      </c>
      <c r="H651" s="10" t="b">
        <v>1</v>
      </c>
      <c r="I651" s="10" t="inlineStr">
        <is>
          <t>DERIVED</t>
        </is>
      </c>
      <c r="J651" s="10" t="inlineStr">
        <is>
          <t>PROPOSED</t>
        </is>
      </c>
      <c r="K651" s="10" t="inlineStr">
        <is>
          <t>DERIVED</t>
        </is>
      </c>
      <c r="L651" s="10" t="inlineStr">
        <is>
          <t>baixa</t>
        </is>
      </c>
      <c r="M651" s="10" t="inlineStr">
        <is>
          <t>["D11-DOC-DSI-001.COMPONENTS.VARIANTE"]</t>
        </is>
      </c>
    </row>
    <row r="652">
      <c r="A652" s="10" t="inlineStr">
        <is>
          <t>D11-DOC-DSI-001.COMPONENTS.ESTADO</t>
        </is>
      </c>
      <c r="B652" s="10" t="inlineStr">
        <is>
          <t>D11-DOC-DSI-001</t>
        </is>
      </c>
      <c r="C652" s="10" t="inlineStr">
        <is>
          <t>D11-DOC-DSI-001-T04</t>
        </is>
      </c>
      <c r="D652" s="10" t="inlineStr">
        <is>
          <t>estado</t>
        </is>
      </c>
      <c r="E652" s="10" t="inlineStr">
        <is>
          <t>Definir, validar e manter: Estado</t>
        </is>
      </c>
      <c r="F652" s="10" t="n"/>
      <c r="G652" s="10" t="b">
        <v>1</v>
      </c>
      <c r="H652" s="10" t="b">
        <v>1</v>
      </c>
      <c r="I652" s="10" t="inlineStr">
        <is>
          <t>DERIVED</t>
        </is>
      </c>
      <c r="J652" s="10" t="inlineStr">
        <is>
          <t>PROPOSED</t>
        </is>
      </c>
      <c r="K652" s="10" t="inlineStr">
        <is>
          <t>DERIVED</t>
        </is>
      </c>
      <c r="L652" s="10" t="inlineStr">
        <is>
          <t>baixa</t>
        </is>
      </c>
      <c r="M652" s="10" t="inlineStr">
        <is>
          <t>["D11-DOC-DSI-001.COMPONENTS.ESTADO"]</t>
        </is>
      </c>
    </row>
    <row r="653">
      <c r="A653" s="10" t="inlineStr">
        <is>
          <t>D11-DOC-DSI-001.PATTERNS.NAVEGACAO</t>
        </is>
      </c>
      <c r="B653" s="10" t="inlineStr">
        <is>
          <t>D11-DOC-DSI-001</t>
        </is>
      </c>
      <c r="C653" s="10" t="inlineStr">
        <is>
          <t>D11-DOC-DSI-001-T05</t>
        </is>
      </c>
      <c r="D653" s="10" t="inlineStr">
        <is>
          <t>navegacao</t>
        </is>
      </c>
      <c r="E653" s="10" t="inlineStr">
        <is>
          <t>Definir, validar e manter: Navegacao</t>
        </is>
      </c>
      <c r="F653" s="10" t="n"/>
      <c r="G653" s="10" t="b">
        <v>1</v>
      </c>
      <c r="H653" s="10" t="b">
        <v>1</v>
      </c>
      <c r="I653" s="10" t="inlineStr">
        <is>
          <t>DERIVED</t>
        </is>
      </c>
      <c r="J653" s="10" t="inlineStr">
        <is>
          <t>PROPOSED</t>
        </is>
      </c>
      <c r="K653" s="10" t="inlineStr">
        <is>
          <t>DERIVED</t>
        </is>
      </c>
      <c r="L653" s="10" t="inlineStr">
        <is>
          <t>baixa</t>
        </is>
      </c>
      <c r="M653" s="10" t="inlineStr">
        <is>
          <t>["D11-DOC-DSI-001.PATTERNS.NAVEGACAO"]</t>
        </is>
      </c>
    </row>
    <row r="654">
      <c r="A654" s="10" t="inlineStr">
        <is>
          <t>D11-DOC-DSI-001.PATTERNS.FORMULARIO</t>
        </is>
      </c>
      <c r="B654" s="10" t="inlineStr">
        <is>
          <t>D11-DOC-DSI-001</t>
        </is>
      </c>
      <c r="C654" s="10" t="inlineStr">
        <is>
          <t>D11-DOC-DSI-001-T05</t>
        </is>
      </c>
      <c r="D654" s="10" t="inlineStr">
        <is>
          <t>formulario</t>
        </is>
      </c>
      <c r="E654" s="10" t="inlineStr">
        <is>
          <t>Definir, validar e manter: Formulario</t>
        </is>
      </c>
      <c r="F654" s="10" t="n"/>
      <c r="G654" s="10" t="b">
        <v>1</v>
      </c>
      <c r="H654" s="10" t="b">
        <v>1</v>
      </c>
      <c r="I654" s="10" t="inlineStr">
        <is>
          <t>DERIVED</t>
        </is>
      </c>
      <c r="J654" s="10" t="inlineStr">
        <is>
          <t>PROPOSED</t>
        </is>
      </c>
      <c r="K654" s="10" t="inlineStr">
        <is>
          <t>DERIVED</t>
        </is>
      </c>
      <c r="L654" s="10" t="inlineStr">
        <is>
          <t>baixa</t>
        </is>
      </c>
      <c r="M654" s="10" t="inlineStr">
        <is>
          <t>["D11-DOC-DSI-001.PATTERNS.FORMULARIO"]</t>
        </is>
      </c>
    </row>
    <row r="655">
      <c r="A655" s="10" t="inlineStr">
        <is>
          <t>D11-DOC-DSI-001.PATTERNS.FEEDBACK</t>
        </is>
      </c>
      <c r="B655" s="10" t="inlineStr">
        <is>
          <t>D11-DOC-DSI-001</t>
        </is>
      </c>
      <c r="C655" s="10" t="inlineStr">
        <is>
          <t>D11-DOC-DSI-001-T05</t>
        </is>
      </c>
      <c r="D655" s="10" t="inlineStr">
        <is>
          <t>feedback</t>
        </is>
      </c>
      <c r="E655" s="10" t="inlineStr">
        <is>
          <t>Definir, validar e manter: Feedback</t>
        </is>
      </c>
      <c r="F655" s="10" t="n"/>
      <c r="G655" s="10" t="b">
        <v>1</v>
      </c>
      <c r="H655" s="10" t="b">
        <v>1</v>
      </c>
      <c r="I655" s="10" t="inlineStr">
        <is>
          <t>DERIVED</t>
        </is>
      </c>
      <c r="J655" s="10" t="inlineStr">
        <is>
          <t>PROPOSED</t>
        </is>
      </c>
      <c r="K655" s="10" t="inlineStr">
        <is>
          <t>DERIVED</t>
        </is>
      </c>
      <c r="L655" s="10" t="inlineStr">
        <is>
          <t>baixa</t>
        </is>
      </c>
      <c r="M655" s="10" t="inlineStr">
        <is>
          <t>["D11-DOC-DSI-001.PATTERNS.FEEDBACK"]</t>
        </is>
      </c>
    </row>
    <row r="656">
      <c r="A656" s="10" t="inlineStr">
        <is>
          <t>D11-DOC-DSI-001.ICONS.BIBLIOTECA</t>
        </is>
      </c>
      <c r="B656" s="10" t="inlineStr">
        <is>
          <t>D11-DOC-DSI-001</t>
        </is>
      </c>
      <c r="C656" s="10" t="inlineStr">
        <is>
          <t>D11-DOC-DSI-001-T06</t>
        </is>
      </c>
      <c r="D656" s="10" t="inlineStr">
        <is>
          <t>biblioteca</t>
        </is>
      </c>
      <c r="E656" s="10" t="inlineStr">
        <is>
          <t>Definir, validar e manter: Biblioteca</t>
        </is>
      </c>
      <c r="F656" s="10" t="n"/>
      <c r="G656" s="10" t="b">
        <v>1</v>
      </c>
      <c r="H656" s="10" t="b">
        <v>1</v>
      </c>
      <c r="I656" s="10" t="inlineStr">
        <is>
          <t>DERIVED</t>
        </is>
      </c>
      <c r="J656" s="10" t="inlineStr">
        <is>
          <t>PROPOSED</t>
        </is>
      </c>
      <c r="K656" s="10" t="inlineStr">
        <is>
          <t>DERIVED</t>
        </is>
      </c>
      <c r="L656" s="10" t="inlineStr">
        <is>
          <t>baixa</t>
        </is>
      </c>
      <c r="M656" s="10" t="inlineStr">
        <is>
          <t>["D11-DOC-DSI-001.ICONS.BIBLIOTECA"]</t>
        </is>
      </c>
    </row>
    <row r="657">
      <c r="A657" s="10" t="inlineStr">
        <is>
          <t>D11-DOC-DSI-001.ICONS.REGRAS</t>
        </is>
      </c>
      <c r="B657" s="10" t="inlineStr">
        <is>
          <t>D11-DOC-DSI-001</t>
        </is>
      </c>
      <c r="C657" s="10" t="inlineStr">
        <is>
          <t>D11-DOC-DSI-001-T06</t>
        </is>
      </c>
      <c r="D657" s="10" t="inlineStr">
        <is>
          <t>regras</t>
        </is>
      </c>
      <c r="E657" s="10" t="inlineStr">
        <is>
          <t>Definir, validar e manter: Regras</t>
        </is>
      </c>
      <c r="F657" s="10" t="n"/>
      <c r="G657" s="10" t="b">
        <v>1</v>
      </c>
      <c r="H657" s="10" t="b">
        <v>1</v>
      </c>
      <c r="I657" s="10" t="inlineStr">
        <is>
          <t>DERIVED</t>
        </is>
      </c>
      <c r="J657" s="10" t="inlineStr">
        <is>
          <t>PROPOSED</t>
        </is>
      </c>
      <c r="K657" s="10" t="inlineStr">
        <is>
          <t>DERIVED</t>
        </is>
      </c>
      <c r="L657" s="10" t="inlineStr">
        <is>
          <t>baixa</t>
        </is>
      </c>
      <c r="M657" s="10" t="inlineStr">
        <is>
          <t>["D11-DOC-DSI-001.ICONS.REGRAS"]</t>
        </is>
      </c>
    </row>
    <row r="658">
      <c r="A658" s="10" t="inlineStr">
        <is>
          <t>D11-DOC-DSI-001.MOTION.DURACAO</t>
        </is>
      </c>
      <c r="B658" s="10" t="inlineStr">
        <is>
          <t>D11-DOC-DSI-001</t>
        </is>
      </c>
      <c r="C658" s="10" t="inlineStr">
        <is>
          <t>D11-DOC-DSI-001-T07</t>
        </is>
      </c>
      <c r="D658" s="10" t="inlineStr">
        <is>
          <t>duracao</t>
        </is>
      </c>
      <c r="E658" s="10" t="inlineStr">
        <is>
          <t>Definir, validar e manter: Duracao</t>
        </is>
      </c>
      <c r="F658" s="10" t="n"/>
      <c r="G658" s="10" t="b">
        <v>1</v>
      </c>
      <c r="H658" s="10" t="b">
        <v>1</v>
      </c>
      <c r="I658" s="10" t="inlineStr">
        <is>
          <t>DERIVED</t>
        </is>
      </c>
      <c r="J658" s="10" t="inlineStr">
        <is>
          <t>PROPOSED</t>
        </is>
      </c>
      <c r="K658" s="10" t="inlineStr">
        <is>
          <t>DERIVED</t>
        </is>
      </c>
      <c r="L658" s="10" t="inlineStr">
        <is>
          <t>baixa</t>
        </is>
      </c>
      <c r="M658" s="10" t="inlineStr">
        <is>
          <t>["D11-DOC-DSI-001.MOTION.DURACAO"]</t>
        </is>
      </c>
    </row>
    <row r="659">
      <c r="A659" s="10" t="inlineStr">
        <is>
          <t>D11-DOC-DSI-001.MOTION.EASING</t>
        </is>
      </c>
      <c r="B659" s="10" t="inlineStr">
        <is>
          <t>D11-DOC-DSI-001</t>
        </is>
      </c>
      <c r="C659" s="10" t="inlineStr">
        <is>
          <t>D11-DOC-DSI-001-T07</t>
        </is>
      </c>
      <c r="D659" s="10" t="inlineStr">
        <is>
          <t>easing</t>
        </is>
      </c>
      <c r="E659" s="10" t="inlineStr">
        <is>
          <t>Definir, validar e manter: Easing</t>
        </is>
      </c>
      <c r="F659" s="10" t="n"/>
      <c r="G659" s="10" t="b">
        <v>1</v>
      </c>
      <c r="H659" s="10" t="b">
        <v>1</v>
      </c>
      <c r="I659" s="10" t="inlineStr">
        <is>
          <t>DERIVED</t>
        </is>
      </c>
      <c r="J659" s="10" t="inlineStr">
        <is>
          <t>PROPOSED</t>
        </is>
      </c>
      <c r="K659" s="10" t="inlineStr">
        <is>
          <t>DERIVED</t>
        </is>
      </c>
      <c r="L659" s="10" t="inlineStr">
        <is>
          <t>baixa</t>
        </is>
      </c>
      <c r="M659" s="10" t="inlineStr">
        <is>
          <t>["D11-DOC-DSI-001.MOTION.EASING"]</t>
        </is>
      </c>
    </row>
    <row r="660">
      <c r="A660" s="10" t="inlineStr">
        <is>
          <t>D11-DOC-DSI-001.MOTION.REDUCED_MOTION</t>
        </is>
      </c>
      <c r="B660" s="10" t="inlineStr">
        <is>
          <t>D11-DOC-DSI-001</t>
        </is>
      </c>
      <c r="C660" s="10" t="inlineStr">
        <is>
          <t>D11-DOC-DSI-001-T07</t>
        </is>
      </c>
      <c r="D660" s="10" t="inlineStr">
        <is>
          <t>reduced_motion</t>
        </is>
      </c>
      <c r="E660" s="10" t="inlineStr">
        <is>
          <t>Definir, validar e manter: Reduced Motion</t>
        </is>
      </c>
      <c r="F660" s="10" t="n"/>
      <c r="G660" s="10" t="b">
        <v>1</v>
      </c>
      <c r="H660" s="10" t="b">
        <v>1</v>
      </c>
      <c r="I660" s="10" t="inlineStr">
        <is>
          <t>DERIVED</t>
        </is>
      </c>
      <c r="J660" s="10" t="inlineStr">
        <is>
          <t>PROPOSED</t>
        </is>
      </c>
      <c r="K660" s="10" t="inlineStr">
        <is>
          <t>DERIVED</t>
        </is>
      </c>
      <c r="L660" s="10" t="inlineStr">
        <is>
          <t>baixa</t>
        </is>
      </c>
      <c r="M660" s="10" t="inlineStr">
        <is>
          <t>["D11-DOC-DSI-001.MOTION.REDUCED_MOTION"]</t>
        </is>
      </c>
    </row>
    <row r="661">
      <c r="A661" s="10" t="inlineStr">
        <is>
          <t>D11-DOC-DSI-001.ACCESSIBILITY.WCAG</t>
        </is>
      </c>
      <c r="B661" s="10" t="inlineStr">
        <is>
          <t>D11-DOC-DSI-001</t>
        </is>
      </c>
      <c r="C661" s="10" t="inlineStr">
        <is>
          <t>D11-DOC-DSI-001-T08</t>
        </is>
      </c>
      <c r="D661" s="10" t="inlineStr">
        <is>
          <t>wcag</t>
        </is>
      </c>
      <c r="E661" s="10" t="inlineStr">
        <is>
          <t>Definir, validar e manter: Wcag</t>
        </is>
      </c>
      <c r="F661" s="10" t="n"/>
      <c r="G661" s="10" t="b">
        <v>1</v>
      </c>
      <c r="H661" s="10" t="b">
        <v>1</v>
      </c>
      <c r="I661" s="10" t="inlineStr">
        <is>
          <t>EXTERNAL</t>
        </is>
      </c>
      <c r="J661" s="10" t="inlineStr">
        <is>
          <t>EXTERNAL_EVIDENCE</t>
        </is>
      </c>
      <c r="K661" s="10" t="inlineStr">
        <is>
          <t>EXTERNAL</t>
        </is>
      </c>
      <c r="L661" s="10" t="inlineStr">
        <is>
          <t>media</t>
        </is>
      </c>
      <c r="M661" s="10" t="inlineStr">
        <is>
          <t>["D11-DOC-DSI-001.ACCESSIBILITY.WCAG"]</t>
        </is>
      </c>
    </row>
    <row r="662">
      <c r="A662" s="10" t="inlineStr">
        <is>
          <t>D11-DOC-DSI-001.ACCESSIBILITY.FOCO</t>
        </is>
      </c>
      <c r="B662" s="10" t="inlineStr">
        <is>
          <t>D11-DOC-DSI-001</t>
        </is>
      </c>
      <c r="C662" s="10" t="inlineStr">
        <is>
          <t>D11-DOC-DSI-001-T08</t>
        </is>
      </c>
      <c r="D662" s="10" t="inlineStr">
        <is>
          <t>foco</t>
        </is>
      </c>
      <c r="E662" s="10" t="inlineStr">
        <is>
          <t>Definir, validar e manter: Foco</t>
        </is>
      </c>
      <c r="F662" s="10" t="n"/>
      <c r="G662" s="10" t="b">
        <v>1</v>
      </c>
      <c r="H662" s="10" t="b">
        <v>1</v>
      </c>
      <c r="I662" s="10" t="inlineStr">
        <is>
          <t>EXTERNAL</t>
        </is>
      </c>
      <c r="J662" s="10" t="inlineStr">
        <is>
          <t>EXTERNAL_EVIDENCE</t>
        </is>
      </c>
      <c r="K662" s="10" t="inlineStr">
        <is>
          <t>EXTERNAL</t>
        </is>
      </c>
      <c r="L662" s="10" t="inlineStr">
        <is>
          <t>media</t>
        </is>
      </c>
      <c r="M662" s="10" t="inlineStr">
        <is>
          <t>["D11-DOC-DSI-001.ACCESSIBILITY.FOCO"]</t>
        </is>
      </c>
    </row>
    <row r="663">
      <c r="A663" s="10" t="inlineStr">
        <is>
          <t>D11-DOC-DSI-001.ACCESSIBILITY.CONTRASTE</t>
        </is>
      </c>
      <c r="B663" s="10" t="inlineStr">
        <is>
          <t>D11-DOC-DSI-001</t>
        </is>
      </c>
      <c r="C663" s="10" t="inlineStr">
        <is>
          <t>D11-DOC-DSI-001-T08</t>
        </is>
      </c>
      <c r="D663" s="10" t="inlineStr">
        <is>
          <t>contraste</t>
        </is>
      </c>
      <c r="E663" s="10" t="inlineStr">
        <is>
          <t>Definir, validar e manter: Contraste</t>
        </is>
      </c>
      <c r="F663" s="10" t="n"/>
      <c r="G663" s="10" t="b">
        <v>1</v>
      </c>
      <c r="H663" s="10" t="b">
        <v>1</v>
      </c>
      <c r="I663" s="10" t="inlineStr">
        <is>
          <t>EXTERNAL</t>
        </is>
      </c>
      <c r="J663" s="10" t="inlineStr">
        <is>
          <t>EXTERNAL_EVIDENCE</t>
        </is>
      </c>
      <c r="K663" s="10" t="inlineStr">
        <is>
          <t>EXTERNAL</t>
        </is>
      </c>
      <c r="L663" s="10" t="inlineStr">
        <is>
          <t>media</t>
        </is>
      </c>
      <c r="M663" s="10" t="inlineStr">
        <is>
          <t>["D11-DOC-DSI-001.ACCESSIBILITY.CONTRASTE"]</t>
        </is>
      </c>
    </row>
    <row r="664">
      <c r="A664" s="10" t="inlineStr">
        <is>
          <t>D11-DOC-DSI-001.CONTENT_DESIGN.VOZ</t>
        </is>
      </c>
      <c r="B664" s="10" t="inlineStr">
        <is>
          <t>D11-DOC-DSI-001</t>
        </is>
      </c>
      <c r="C664" s="10" t="inlineStr">
        <is>
          <t>D11-DOC-DSI-001-T09</t>
        </is>
      </c>
      <c r="D664" s="10" t="inlineStr">
        <is>
          <t>voz</t>
        </is>
      </c>
      <c r="E664" s="10" t="inlineStr">
        <is>
          <t>Definir, validar e manter: Voz</t>
        </is>
      </c>
      <c r="F664" s="10" t="n"/>
      <c r="G664" s="10" t="b">
        <v>1</v>
      </c>
      <c r="H664" s="10" t="b">
        <v>1</v>
      </c>
      <c r="I664" s="10" t="inlineStr">
        <is>
          <t>DERIVED</t>
        </is>
      </c>
      <c r="J664" s="10" t="inlineStr">
        <is>
          <t>PROPOSED</t>
        </is>
      </c>
      <c r="K664" s="10" t="inlineStr">
        <is>
          <t>DERIVED</t>
        </is>
      </c>
      <c r="L664" s="10" t="inlineStr">
        <is>
          <t>baixa</t>
        </is>
      </c>
      <c r="M664" s="10" t="inlineStr">
        <is>
          <t>["D11-DOC-DSI-001.CONTENT_DESIGN.VOZ"]</t>
        </is>
      </c>
    </row>
    <row r="665">
      <c r="A665" s="10" t="inlineStr">
        <is>
          <t>D11-DOC-DSI-001.CONTENT_DESIGN.TOM</t>
        </is>
      </c>
      <c r="B665" s="10" t="inlineStr">
        <is>
          <t>D11-DOC-DSI-001</t>
        </is>
      </c>
      <c r="C665" s="10" t="inlineStr">
        <is>
          <t>D11-DOC-DSI-001-T09</t>
        </is>
      </c>
      <c r="D665" s="10" t="inlineStr">
        <is>
          <t>tom</t>
        </is>
      </c>
      <c r="E665" s="10" t="inlineStr">
        <is>
          <t>Definir, validar e manter: Tom</t>
        </is>
      </c>
      <c r="F665" s="10" t="n"/>
      <c r="G665" s="10" t="b">
        <v>1</v>
      </c>
      <c r="H665" s="10" t="b">
        <v>1</v>
      </c>
      <c r="I665" s="10" t="inlineStr">
        <is>
          <t>DERIVED</t>
        </is>
      </c>
      <c r="J665" s="10" t="inlineStr">
        <is>
          <t>PROPOSED</t>
        </is>
      </c>
      <c r="K665" s="10" t="inlineStr">
        <is>
          <t>DERIVED</t>
        </is>
      </c>
      <c r="L665" s="10" t="inlineStr">
        <is>
          <t>baixa</t>
        </is>
      </c>
      <c r="M665" s="10" t="inlineStr">
        <is>
          <t>["D11-DOC-DSI-001.CONTENT_DESIGN.TOM"]</t>
        </is>
      </c>
    </row>
    <row r="666">
      <c r="A666" s="10" t="inlineStr">
        <is>
          <t>D11-DOC-DSI-001.CONTENT_DESIGN.NOMENCLATURA</t>
        </is>
      </c>
      <c r="B666" s="10" t="inlineStr">
        <is>
          <t>D11-DOC-DSI-001</t>
        </is>
      </c>
      <c r="C666" s="10" t="inlineStr">
        <is>
          <t>D11-DOC-DSI-001-T09</t>
        </is>
      </c>
      <c r="D666" s="10" t="inlineStr">
        <is>
          <t>nomenclatura</t>
        </is>
      </c>
      <c r="E666" s="10" t="inlineStr">
        <is>
          <t>Definir, validar e manter: Nomenclatura</t>
        </is>
      </c>
      <c r="F666" s="10" t="n"/>
      <c r="G666" s="10" t="b">
        <v>1</v>
      </c>
      <c r="H666" s="10" t="b">
        <v>1</v>
      </c>
      <c r="I666" s="10" t="inlineStr">
        <is>
          <t>DERIVED</t>
        </is>
      </c>
      <c r="J666" s="10" t="inlineStr">
        <is>
          <t>PROPOSED</t>
        </is>
      </c>
      <c r="K666" s="10" t="inlineStr">
        <is>
          <t>DERIVED</t>
        </is>
      </c>
      <c r="L666" s="10" t="inlineStr">
        <is>
          <t>baixa</t>
        </is>
      </c>
      <c r="M666" s="10" t="inlineStr">
        <is>
          <t>["D11-DOC-DSI-001.CONTENT_DESIGN.NOMENCLATURA"]</t>
        </is>
      </c>
    </row>
    <row r="667">
      <c r="A667" s="10" t="inlineStr">
        <is>
          <t>D11-DOC-DSI-001.GOVERNANCE.VERSAO</t>
        </is>
      </c>
      <c r="B667" s="10" t="inlineStr">
        <is>
          <t>D11-DOC-DSI-001</t>
        </is>
      </c>
      <c r="C667" s="10" t="inlineStr">
        <is>
          <t>D11-DOC-DSI-001-T10</t>
        </is>
      </c>
      <c r="D667" s="10" t="inlineStr">
        <is>
          <t>versao</t>
        </is>
      </c>
      <c r="E667" s="10" t="inlineStr">
        <is>
          <t>Definir, validar e manter: Versao</t>
        </is>
      </c>
      <c r="F667" s="10" t="n"/>
      <c r="G667" s="10" t="b">
        <v>1</v>
      </c>
      <c r="H667" s="10" t="b">
        <v>1</v>
      </c>
      <c r="I667" s="10" t="inlineStr">
        <is>
          <t>DERIVED</t>
        </is>
      </c>
      <c r="J667" s="10" t="inlineStr">
        <is>
          <t>PROPOSED</t>
        </is>
      </c>
      <c r="K667" s="10" t="inlineStr">
        <is>
          <t>DERIVED</t>
        </is>
      </c>
      <c r="L667" s="10" t="inlineStr">
        <is>
          <t>baixa</t>
        </is>
      </c>
      <c r="M667" s="10" t="inlineStr">
        <is>
          <t>["D11-DOC-DSI-001.GOVERNANCE.VERSAO"]</t>
        </is>
      </c>
    </row>
    <row r="668">
      <c r="A668" s="10" t="inlineStr">
        <is>
          <t>D11-DOC-DSI-001.GOVERNANCE.OWNER</t>
        </is>
      </c>
      <c r="B668" s="10" t="inlineStr">
        <is>
          <t>D11-DOC-DSI-001</t>
        </is>
      </c>
      <c r="C668" s="10" t="inlineStr">
        <is>
          <t>D11-DOC-DSI-001-T10</t>
        </is>
      </c>
      <c r="D668" s="10" t="inlineStr">
        <is>
          <t>owner</t>
        </is>
      </c>
      <c r="E668" s="10" t="inlineStr">
        <is>
          <t>Definir, validar e manter: Owner</t>
        </is>
      </c>
      <c r="F668" s="10" t="n"/>
      <c r="G668" s="10" t="b">
        <v>1</v>
      </c>
      <c r="H668" s="10" t="b">
        <v>1</v>
      </c>
      <c r="I668" s="10" t="inlineStr">
        <is>
          <t>DERIVED</t>
        </is>
      </c>
      <c r="J668" s="10" t="inlineStr">
        <is>
          <t>PROPOSED</t>
        </is>
      </c>
      <c r="K668" s="10" t="inlineStr">
        <is>
          <t>DERIVED</t>
        </is>
      </c>
      <c r="L668" s="10" t="inlineStr">
        <is>
          <t>baixa</t>
        </is>
      </c>
      <c r="M668" s="10" t="inlineStr">
        <is>
          <t>["D11-DOC-DSI-001.GOVERNANCE.OWNER"]</t>
        </is>
      </c>
    </row>
    <row r="669">
      <c r="A669" s="10" t="inlineStr">
        <is>
          <t>D11-DOC-DSI-001.GOVERNANCE.CONTRIBUICAO</t>
        </is>
      </c>
      <c r="B669" s="10" t="inlineStr">
        <is>
          <t>D11-DOC-DSI-001</t>
        </is>
      </c>
      <c r="C669" s="10" t="inlineStr">
        <is>
          <t>D11-DOC-DSI-001-T10</t>
        </is>
      </c>
      <c r="D669" s="10" t="inlineStr">
        <is>
          <t>contribuicao</t>
        </is>
      </c>
      <c r="E669" s="10" t="inlineStr">
        <is>
          <t>Definir, validar e manter: Contribuicao</t>
        </is>
      </c>
      <c r="F669" s="10" t="n"/>
      <c r="G669" s="10" t="b">
        <v>1</v>
      </c>
      <c r="H669" s="10" t="b">
        <v>1</v>
      </c>
      <c r="I669" s="10" t="inlineStr">
        <is>
          <t>DERIVED</t>
        </is>
      </c>
      <c r="J669" s="10" t="inlineStr">
        <is>
          <t>PROPOSED</t>
        </is>
      </c>
      <c r="K669" s="10" t="inlineStr">
        <is>
          <t>DERIVED</t>
        </is>
      </c>
      <c r="L669" s="10" t="inlineStr">
        <is>
          <t>baixa</t>
        </is>
      </c>
      <c r="M669" s="10" t="inlineStr">
        <is>
          <t>["D11-DOC-DSI-001.GOVERNANCE.CONTRIBUICAO"]</t>
        </is>
      </c>
    </row>
    <row r="670">
      <c r="A670" s="10" t="inlineStr">
        <is>
          <t>D11-DOC-DSI-001.ENGINEERING_HANDOFF.PACKAGE</t>
        </is>
      </c>
      <c r="B670" s="10" t="inlineStr">
        <is>
          <t>D11-DOC-DSI-001</t>
        </is>
      </c>
      <c r="C670" s="10" t="inlineStr">
        <is>
          <t>D11-DOC-DSI-001-T11</t>
        </is>
      </c>
      <c r="D670" s="10" t="inlineStr">
        <is>
          <t>package</t>
        </is>
      </c>
      <c r="E670" s="10" t="inlineStr">
        <is>
          <t>Definir, validar e manter: Package</t>
        </is>
      </c>
      <c r="F670" s="10" t="n"/>
      <c r="G670" s="10" t="b">
        <v>1</v>
      </c>
      <c r="H670" s="10" t="b">
        <v>1</v>
      </c>
      <c r="I670" s="10" t="inlineStr">
        <is>
          <t>DERIVED</t>
        </is>
      </c>
      <c r="J670" s="10" t="inlineStr">
        <is>
          <t>PROPOSED</t>
        </is>
      </c>
      <c r="K670" s="10" t="inlineStr">
        <is>
          <t>DERIVED</t>
        </is>
      </c>
      <c r="L670" s="10" t="inlineStr">
        <is>
          <t>baixa</t>
        </is>
      </c>
      <c r="M670" s="10" t="inlineStr">
        <is>
          <t>["D11-DOC-DSI-001.ENGINEERING_HANDOFF.PACKAGE"]</t>
        </is>
      </c>
    </row>
    <row r="671">
      <c r="A671" s="10" t="inlineStr">
        <is>
          <t>D11-DOC-DSI-001.ENGINEERING_HANDOFF.TOKENS</t>
        </is>
      </c>
      <c r="B671" s="10" t="inlineStr">
        <is>
          <t>D11-DOC-DSI-001</t>
        </is>
      </c>
      <c r="C671" s="10" t="inlineStr">
        <is>
          <t>D11-DOC-DSI-001-T11</t>
        </is>
      </c>
      <c r="D671" s="10" t="inlineStr">
        <is>
          <t>tokens</t>
        </is>
      </c>
      <c r="E671" s="10" t="inlineStr">
        <is>
          <t>Definir, validar e manter: Tokens</t>
        </is>
      </c>
      <c r="F671" s="10" t="n"/>
      <c r="G671" s="10" t="b">
        <v>1</v>
      </c>
      <c r="H671" s="10" t="b">
        <v>1</v>
      </c>
      <c r="I671" s="10" t="inlineStr">
        <is>
          <t>DERIVED</t>
        </is>
      </c>
      <c r="J671" s="10" t="inlineStr">
        <is>
          <t>PROPOSED</t>
        </is>
      </c>
      <c r="K671" s="10" t="inlineStr">
        <is>
          <t>DERIVED</t>
        </is>
      </c>
      <c r="L671" s="10" t="inlineStr">
        <is>
          <t>baixa</t>
        </is>
      </c>
      <c r="M671" s="10" t="inlineStr">
        <is>
          <t>["D11-DOC-DSI-001.ENGINEERING_HANDOFF.TOKENS"]</t>
        </is>
      </c>
    </row>
    <row r="672">
      <c r="A672" s="10" t="inlineStr">
        <is>
          <t>D11-DOC-DSI-001.ENGINEERING_HANDOFF.STORYBOOK</t>
        </is>
      </c>
      <c r="B672" s="10" t="inlineStr">
        <is>
          <t>D11-DOC-DSI-001</t>
        </is>
      </c>
      <c r="C672" s="10" t="inlineStr">
        <is>
          <t>D11-DOC-DSI-001-T11</t>
        </is>
      </c>
      <c r="D672" s="10" t="inlineStr">
        <is>
          <t>storybook</t>
        </is>
      </c>
      <c r="E672" s="10" t="inlineStr">
        <is>
          <t>Definir, validar e manter: Storybook</t>
        </is>
      </c>
      <c r="F672" s="10" t="n"/>
      <c r="G672" s="10" t="b">
        <v>1</v>
      </c>
      <c r="H672" s="10" t="b">
        <v>1</v>
      </c>
      <c r="I672" s="10" t="inlineStr">
        <is>
          <t>DERIVED</t>
        </is>
      </c>
      <c r="J672" s="10" t="inlineStr">
        <is>
          <t>PROPOSED</t>
        </is>
      </c>
      <c r="K672" s="10" t="inlineStr">
        <is>
          <t>DERIVED</t>
        </is>
      </c>
      <c r="L672" s="10" t="inlineStr">
        <is>
          <t>baixa</t>
        </is>
      </c>
      <c r="M672" s="10" t="inlineStr">
        <is>
          <t>["D11-DOC-DSI-001.ENGINEERING_HANDOFF.STORYBOOK"]</t>
        </is>
      </c>
    </row>
    <row r="673">
      <c r="A673" s="10" t="inlineStr">
        <is>
          <t>D12-DOC-ETE-001.ARCHITECTURE.VISAO_GERAL</t>
        </is>
      </c>
      <c r="B673" s="10" t="inlineStr">
        <is>
          <t>D12-DOC-ETE-001</t>
        </is>
      </c>
      <c r="C673" s="10" t="inlineStr">
        <is>
          <t>D12-DOC-ETE-001-T01</t>
        </is>
      </c>
      <c r="D673" s="10" t="inlineStr">
        <is>
          <t>visao_geral</t>
        </is>
      </c>
      <c r="E673" s="10" t="inlineStr">
        <is>
          <t>Definir, validar e manter: Visao Geral</t>
        </is>
      </c>
      <c r="F673" s="10" t="n"/>
      <c r="G673" s="10" t="b">
        <v>1</v>
      </c>
      <c r="H673" s="10" t="b">
        <v>1</v>
      </c>
      <c r="I673" s="10" t="inlineStr">
        <is>
          <t>DERIVED</t>
        </is>
      </c>
      <c r="J673" s="10" t="inlineStr">
        <is>
          <t>PROPOSED</t>
        </is>
      </c>
      <c r="K673" s="10" t="inlineStr">
        <is>
          <t>DERIVED</t>
        </is>
      </c>
      <c r="L673" s="10" t="inlineStr">
        <is>
          <t>baixa</t>
        </is>
      </c>
      <c r="M673" s="10" t="inlineStr">
        <is>
          <t>["D12-DOC-ETE-001.ARCHITECTURE.VISAO_GERAL"]</t>
        </is>
      </c>
    </row>
    <row r="674">
      <c r="A674" s="10" t="inlineStr">
        <is>
          <t>D12-DOC-ETE-001.ARCHITECTURE.DIAGRAMAS</t>
        </is>
      </c>
      <c r="B674" s="10" t="inlineStr">
        <is>
          <t>D12-DOC-ETE-001</t>
        </is>
      </c>
      <c r="C674" s="10" t="inlineStr">
        <is>
          <t>D12-DOC-ETE-001-T01</t>
        </is>
      </c>
      <c r="D674" s="10" t="inlineStr">
        <is>
          <t>diagramas</t>
        </is>
      </c>
      <c r="E674" s="10" t="inlineStr">
        <is>
          <t>Definir, validar e manter: Diagramas</t>
        </is>
      </c>
      <c r="F674" s="10" t="n"/>
      <c r="G674" s="10" t="b">
        <v>1</v>
      </c>
      <c r="H674" s="10" t="b">
        <v>1</v>
      </c>
      <c r="I674" s="10" t="inlineStr">
        <is>
          <t>DERIVED</t>
        </is>
      </c>
      <c r="J674" s="10" t="inlineStr">
        <is>
          <t>PROPOSED</t>
        </is>
      </c>
      <c r="K674" s="10" t="inlineStr">
        <is>
          <t>DERIVED</t>
        </is>
      </c>
      <c r="L674" s="10" t="inlineStr">
        <is>
          <t>baixa</t>
        </is>
      </c>
      <c r="M674" s="10" t="inlineStr">
        <is>
          <t>["D12-DOC-ETE-001.ARCHITECTURE.DIAGRAMAS"]</t>
        </is>
      </c>
    </row>
    <row r="675">
      <c r="A675" s="10" t="inlineStr">
        <is>
          <t>D12-DOC-ETE-001.REPOSITORIES.REPOSITORIO</t>
        </is>
      </c>
      <c r="B675" s="10" t="inlineStr">
        <is>
          <t>D12-DOC-ETE-001</t>
        </is>
      </c>
      <c r="C675" s="10" t="inlineStr">
        <is>
          <t>D12-DOC-ETE-001-T02</t>
        </is>
      </c>
      <c r="D675" s="10" t="inlineStr">
        <is>
          <t>repositorio</t>
        </is>
      </c>
      <c r="E675" s="10" t="inlineStr">
        <is>
          <t>Definir, validar e manter: Repositorio</t>
        </is>
      </c>
      <c r="F675" s="10" t="n"/>
      <c r="G675" s="10" t="b">
        <v>1</v>
      </c>
      <c r="H675" s="10" t="b">
        <v>1</v>
      </c>
      <c r="I675" s="10" t="inlineStr">
        <is>
          <t>DERIVED</t>
        </is>
      </c>
      <c r="J675" s="10" t="inlineStr">
        <is>
          <t>PROPOSED</t>
        </is>
      </c>
      <c r="K675" s="10" t="inlineStr">
        <is>
          <t>DERIVED</t>
        </is>
      </c>
      <c r="L675" s="10" t="inlineStr">
        <is>
          <t>baixa</t>
        </is>
      </c>
      <c r="M675" s="10" t="inlineStr">
        <is>
          <t>["D12-DOC-ETE-001.REPOSITORIES.REPOSITORIO"]</t>
        </is>
      </c>
    </row>
    <row r="676">
      <c r="A676" s="10" t="inlineStr">
        <is>
          <t>D12-DOC-ETE-001.REPOSITORIES.BRANCH</t>
        </is>
      </c>
      <c r="B676" s="10" t="inlineStr">
        <is>
          <t>D12-DOC-ETE-001</t>
        </is>
      </c>
      <c r="C676" s="10" t="inlineStr">
        <is>
          <t>D12-DOC-ETE-001-T02</t>
        </is>
      </c>
      <c r="D676" s="10" t="inlineStr">
        <is>
          <t>branch</t>
        </is>
      </c>
      <c r="E676" s="10" t="inlineStr">
        <is>
          <t>Definir, validar e manter: Branch</t>
        </is>
      </c>
      <c r="F676" s="10" t="n"/>
      <c r="G676" s="10" t="b">
        <v>1</v>
      </c>
      <c r="H676" s="10" t="b">
        <v>1</v>
      </c>
      <c r="I676" s="10" t="inlineStr">
        <is>
          <t>DERIVED</t>
        </is>
      </c>
      <c r="J676" s="10" t="inlineStr">
        <is>
          <t>PROPOSED</t>
        </is>
      </c>
      <c r="K676" s="10" t="inlineStr">
        <is>
          <t>DERIVED</t>
        </is>
      </c>
      <c r="L676" s="10" t="inlineStr">
        <is>
          <t>baixa</t>
        </is>
      </c>
      <c r="M676" s="10" t="inlineStr">
        <is>
          <t>["D12-DOC-ETE-001.REPOSITORIES.BRANCH"]</t>
        </is>
      </c>
    </row>
    <row r="677">
      <c r="A677" s="10" t="inlineStr">
        <is>
          <t>D12-DOC-ETE-001.REPOSITORIES.FINALIDADE</t>
        </is>
      </c>
      <c r="B677" s="10" t="inlineStr">
        <is>
          <t>D12-DOC-ETE-001</t>
        </is>
      </c>
      <c r="C677" s="10" t="inlineStr">
        <is>
          <t>D12-DOC-ETE-001-T02</t>
        </is>
      </c>
      <c r="D677" s="10" t="inlineStr">
        <is>
          <t>finalidade</t>
        </is>
      </c>
      <c r="E677" s="10" t="inlineStr">
        <is>
          <t>Definir, validar e manter: Finalidade</t>
        </is>
      </c>
      <c r="F677" s="10" t="n"/>
      <c r="G677" s="10" t="b">
        <v>1</v>
      </c>
      <c r="H677" s="10" t="b">
        <v>1</v>
      </c>
      <c r="I677" s="10" t="inlineStr">
        <is>
          <t>DERIVED</t>
        </is>
      </c>
      <c r="J677" s="10" t="inlineStr">
        <is>
          <t>PROPOSED</t>
        </is>
      </c>
      <c r="K677" s="10" t="inlineStr">
        <is>
          <t>DERIVED</t>
        </is>
      </c>
      <c r="L677" s="10" t="inlineStr">
        <is>
          <t>baixa</t>
        </is>
      </c>
      <c r="M677" s="10" t="inlineStr">
        <is>
          <t>["D12-DOC-ETE-001.REPOSITORIES.FINALIDADE"]</t>
        </is>
      </c>
    </row>
    <row r="678">
      <c r="A678" s="10" t="inlineStr">
        <is>
          <t>D12-DOC-ETE-001.STACK.FRAMEWORKS</t>
        </is>
      </c>
      <c r="B678" s="10" t="inlineStr">
        <is>
          <t>D12-DOC-ETE-001</t>
        </is>
      </c>
      <c r="C678" s="10" t="inlineStr">
        <is>
          <t>D12-DOC-ETE-001-T03</t>
        </is>
      </c>
      <c r="D678" s="10" t="inlineStr">
        <is>
          <t>frameworks</t>
        </is>
      </c>
      <c r="E678" s="10" t="inlineStr">
        <is>
          <t>Definir, validar e manter: Frameworks</t>
        </is>
      </c>
      <c r="F678" s="10" t="n"/>
      <c r="G678" s="10" t="b">
        <v>1</v>
      </c>
      <c r="H678" s="10" t="b">
        <v>1</v>
      </c>
      <c r="I678" s="10" t="inlineStr">
        <is>
          <t>FOUND</t>
        </is>
      </c>
      <c r="J678" s="10" t="inlineStr">
        <is>
          <t>DIRECT</t>
        </is>
      </c>
      <c r="K678" s="10" t="inlineStr">
        <is>
          <t>FOUND</t>
        </is>
      </c>
      <c r="L678" s="10" t="inlineStr">
        <is>
          <t>alta</t>
        </is>
      </c>
      <c r="M678" s="10" t="inlineStr">
        <is>
          <t>["D12-DOC-ETE-001.STACK.FRAMEWORKS"]</t>
        </is>
      </c>
    </row>
    <row r="679">
      <c r="A679" s="10" t="inlineStr">
        <is>
          <t>D12-DOC-ETE-001.STACK.LINGUAGENS</t>
        </is>
      </c>
      <c r="B679" s="10" t="inlineStr">
        <is>
          <t>D12-DOC-ETE-001</t>
        </is>
      </c>
      <c r="C679" s="10" t="inlineStr">
        <is>
          <t>D12-DOC-ETE-001-T03</t>
        </is>
      </c>
      <c r="D679" s="10" t="inlineStr">
        <is>
          <t>linguagens</t>
        </is>
      </c>
      <c r="E679" s="10" t="inlineStr">
        <is>
          <t>Definir, validar e manter: Linguagens</t>
        </is>
      </c>
      <c r="F679" s="10" t="n"/>
      <c r="G679" s="10" t="b">
        <v>1</v>
      </c>
      <c r="H679" s="10" t="b">
        <v>1</v>
      </c>
      <c r="I679" s="10" t="inlineStr">
        <is>
          <t>DERIVED</t>
        </is>
      </c>
      <c r="J679" s="10" t="inlineStr">
        <is>
          <t>PROPOSED</t>
        </is>
      </c>
      <c r="K679" s="10" t="inlineStr">
        <is>
          <t>DERIVED</t>
        </is>
      </c>
      <c r="L679" s="10" t="inlineStr">
        <is>
          <t>baixa</t>
        </is>
      </c>
      <c r="M679" s="10" t="inlineStr">
        <is>
          <t>["D12-DOC-ETE-001.STACK.LINGUAGENS"]</t>
        </is>
      </c>
    </row>
    <row r="680">
      <c r="A680" s="10" t="inlineStr">
        <is>
          <t>D12-DOC-ETE-001.STACK.RUNTIME</t>
        </is>
      </c>
      <c r="B680" s="10" t="inlineStr">
        <is>
          <t>D12-DOC-ETE-001</t>
        </is>
      </c>
      <c r="C680" s="10" t="inlineStr">
        <is>
          <t>D12-DOC-ETE-001-T03</t>
        </is>
      </c>
      <c r="D680" s="10" t="inlineStr">
        <is>
          <t>runtime</t>
        </is>
      </c>
      <c r="E680" s="10" t="inlineStr">
        <is>
          <t>Definir, validar e manter: Runtime</t>
        </is>
      </c>
      <c r="F680" s="10" t="n"/>
      <c r="G680" s="10" t="b">
        <v>1</v>
      </c>
      <c r="H680" s="10" t="b">
        <v>1</v>
      </c>
      <c r="I680" s="10" t="inlineStr">
        <is>
          <t>DERIVED</t>
        </is>
      </c>
      <c r="J680" s="10" t="inlineStr">
        <is>
          <t>PROPOSED</t>
        </is>
      </c>
      <c r="K680" s="10" t="inlineStr">
        <is>
          <t>DERIVED</t>
        </is>
      </c>
      <c r="L680" s="10" t="inlineStr">
        <is>
          <t>baixa</t>
        </is>
      </c>
      <c r="M680" s="10" t="inlineStr">
        <is>
          <t>["D12-DOC-ETE-001.STACK.RUNTIME"]</t>
        </is>
      </c>
    </row>
    <row r="681">
      <c r="A681" s="10" t="inlineStr">
        <is>
          <t>D12-DOC-ETE-001.APPLICATIONS.APP</t>
        </is>
      </c>
      <c r="B681" s="10" t="inlineStr">
        <is>
          <t>D12-DOC-ETE-001</t>
        </is>
      </c>
      <c r="C681" s="10" t="inlineStr">
        <is>
          <t>D12-DOC-ETE-001-T04</t>
        </is>
      </c>
      <c r="D681" s="10" t="inlineStr">
        <is>
          <t>app</t>
        </is>
      </c>
      <c r="E681" s="10" t="inlineStr">
        <is>
          <t>Definir, validar e manter: App</t>
        </is>
      </c>
      <c r="F681" s="10" t="n"/>
      <c r="G681" s="10" t="b">
        <v>1</v>
      </c>
      <c r="H681" s="10" t="b">
        <v>1</v>
      </c>
      <c r="I681" s="10" t="inlineStr">
        <is>
          <t>DERIVED</t>
        </is>
      </c>
      <c r="J681" s="10" t="inlineStr">
        <is>
          <t>PROPOSED</t>
        </is>
      </c>
      <c r="K681" s="10" t="inlineStr">
        <is>
          <t>DERIVED</t>
        </is>
      </c>
      <c r="L681" s="10" t="inlineStr">
        <is>
          <t>baixa</t>
        </is>
      </c>
      <c r="M681" s="10" t="inlineStr">
        <is>
          <t>["D12-DOC-ETE-001.APPLICATIONS.APP"]</t>
        </is>
      </c>
    </row>
    <row r="682">
      <c r="A682" s="10" t="inlineStr">
        <is>
          <t>D12-DOC-ETE-001.APPLICATIONS.RESPONSABILIDADE</t>
        </is>
      </c>
      <c r="B682" s="10" t="inlineStr">
        <is>
          <t>D12-DOC-ETE-001</t>
        </is>
      </c>
      <c r="C682" s="10" t="inlineStr">
        <is>
          <t>D12-DOC-ETE-001-T04</t>
        </is>
      </c>
      <c r="D682" s="10" t="inlineStr">
        <is>
          <t>responsabilidade</t>
        </is>
      </c>
      <c r="E682" s="10" t="inlineStr">
        <is>
          <t>Definir, validar e manter: Responsabilidade</t>
        </is>
      </c>
      <c r="F682" s="10" t="n"/>
      <c r="G682" s="10" t="b">
        <v>1</v>
      </c>
      <c r="H682" s="10" t="b">
        <v>1</v>
      </c>
      <c r="I682" s="10" t="inlineStr">
        <is>
          <t>DERIVED</t>
        </is>
      </c>
      <c r="J682" s="10" t="inlineStr">
        <is>
          <t>PROPOSED</t>
        </is>
      </c>
      <c r="K682" s="10" t="inlineStr">
        <is>
          <t>DERIVED</t>
        </is>
      </c>
      <c r="L682" s="10" t="inlineStr">
        <is>
          <t>baixa</t>
        </is>
      </c>
      <c r="M682" s="10" t="inlineStr">
        <is>
          <t>["D12-DOC-ETE-001.APPLICATIONS.RESPONSABILIDADE"]</t>
        </is>
      </c>
    </row>
    <row r="683">
      <c r="A683" s="10" t="inlineStr">
        <is>
          <t>D12-DOC-ETE-001.PACKAGES.PACKAGE</t>
        </is>
      </c>
      <c r="B683" s="10" t="inlineStr">
        <is>
          <t>D12-DOC-ETE-001</t>
        </is>
      </c>
      <c r="C683" s="10" t="inlineStr">
        <is>
          <t>D12-DOC-ETE-001-T05</t>
        </is>
      </c>
      <c r="D683" s="10" t="inlineStr">
        <is>
          <t>package</t>
        </is>
      </c>
      <c r="E683" s="10" t="inlineStr">
        <is>
          <t>Definir, validar e manter: Package</t>
        </is>
      </c>
      <c r="F683" s="10" t="n"/>
      <c r="G683" s="10" t="b">
        <v>1</v>
      </c>
      <c r="H683" s="10" t="b">
        <v>1</v>
      </c>
      <c r="I683" s="10" t="inlineStr">
        <is>
          <t>FOUND</t>
        </is>
      </c>
      <c r="J683" s="10" t="inlineStr">
        <is>
          <t>DIRECT</t>
        </is>
      </c>
      <c r="K683" s="10" t="inlineStr">
        <is>
          <t>FOUND</t>
        </is>
      </c>
      <c r="L683" s="10" t="inlineStr">
        <is>
          <t>alta</t>
        </is>
      </c>
      <c r="M683" s="10" t="inlineStr">
        <is>
          <t>["D12-DOC-ETE-001.PACKAGES.PACKAGE"]</t>
        </is>
      </c>
    </row>
    <row r="684">
      <c r="A684" s="10" t="inlineStr">
        <is>
          <t>D12-DOC-ETE-001.PACKAGES.RESPONSABILIDADE</t>
        </is>
      </c>
      <c r="B684" s="10" t="inlineStr">
        <is>
          <t>D12-DOC-ETE-001</t>
        </is>
      </c>
      <c r="C684" s="10" t="inlineStr">
        <is>
          <t>D12-DOC-ETE-001-T05</t>
        </is>
      </c>
      <c r="D684" s="10" t="inlineStr">
        <is>
          <t>responsabilidade</t>
        </is>
      </c>
      <c r="E684" s="10" t="inlineStr">
        <is>
          <t>Definir, validar e manter: Responsabilidade</t>
        </is>
      </c>
      <c r="F684" s="10" t="n"/>
      <c r="G684" s="10" t="b">
        <v>1</v>
      </c>
      <c r="H684" s="10" t="b">
        <v>1</v>
      </c>
      <c r="I684" s="10" t="inlineStr">
        <is>
          <t>DERIVED</t>
        </is>
      </c>
      <c r="J684" s="10" t="inlineStr">
        <is>
          <t>PROPOSED</t>
        </is>
      </c>
      <c r="K684" s="10" t="inlineStr">
        <is>
          <t>DERIVED</t>
        </is>
      </c>
      <c r="L684" s="10" t="inlineStr">
        <is>
          <t>baixa</t>
        </is>
      </c>
      <c r="M684" s="10" t="inlineStr">
        <is>
          <t>["D12-DOC-ETE-001.PACKAGES.RESPONSABILIDADE"]</t>
        </is>
      </c>
    </row>
    <row r="685">
      <c r="A685" s="10" t="inlineStr">
        <is>
          <t>D12-DOC-ETE-001.INTERFACES.API</t>
        </is>
      </c>
      <c r="B685" s="10" t="inlineStr">
        <is>
          <t>D12-DOC-ETE-001</t>
        </is>
      </c>
      <c r="C685" s="10" t="inlineStr">
        <is>
          <t>D12-DOC-ETE-001-T06</t>
        </is>
      </c>
      <c r="D685" s="10" t="inlineStr">
        <is>
          <t>api</t>
        </is>
      </c>
      <c r="E685" s="10" t="inlineStr">
        <is>
          <t>Definir, validar e manter: API</t>
        </is>
      </c>
      <c r="F685" s="10" t="n"/>
      <c r="G685" s="10" t="b">
        <v>1</v>
      </c>
      <c r="H685" s="10" t="b">
        <v>1</v>
      </c>
      <c r="I685" s="10" t="inlineStr">
        <is>
          <t>DERIVED</t>
        </is>
      </c>
      <c r="J685" s="10" t="inlineStr">
        <is>
          <t>PROPOSED</t>
        </is>
      </c>
      <c r="K685" s="10" t="inlineStr">
        <is>
          <t>DERIVED</t>
        </is>
      </c>
      <c r="L685" s="10" t="inlineStr">
        <is>
          <t>baixa</t>
        </is>
      </c>
      <c r="M685" s="10" t="inlineStr">
        <is>
          <t>["D12-DOC-ETE-001.INTERFACES.API"]</t>
        </is>
      </c>
    </row>
    <row r="686">
      <c r="A686" s="10" t="inlineStr">
        <is>
          <t>D12-DOC-ETE-001.INTERFACES.EVENTOS</t>
        </is>
      </c>
      <c r="B686" s="10" t="inlineStr">
        <is>
          <t>D12-DOC-ETE-001</t>
        </is>
      </c>
      <c r="C686" s="10" t="inlineStr">
        <is>
          <t>D12-DOC-ETE-001-T06</t>
        </is>
      </c>
      <c r="D686" s="10" t="inlineStr">
        <is>
          <t>eventos</t>
        </is>
      </c>
      <c r="E686" s="10" t="inlineStr">
        <is>
          <t>Definir, validar e manter: Eventos</t>
        </is>
      </c>
      <c r="F686" s="10" t="n"/>
      <c r="G686" s="10" t="b">
        <v>1</v>
      </c>
      <c r="H686" s="10" t="b">
        <v>1</v>
      </c>
      <c r="I686" s="10" t="inlineStr">
        <is>
          <t>DERIVED</t>
        </is>
      </c>
      <c r="J686" s="10" t="inlineStr">
        <is>
          <t>PROPOSED</t>
        </is>
      </c>
      <c r="K686" s="10" t="inlineStr">
        <is>
          <t>DERIVED</t>
        </is>
      </c>
      <c r="L686" s="10" t="inlineStr">
        <is>
          <t>baixa</t>
        </is>
      </c>
      <c r="M686" s="10" t="inlineStr">
        <is>
          <t>["D12-DOC-ETE-001.INTERFACES.EVENTOS"]</t>
        </is>
      </c>
    </row>
    <row r="687">
      <c r="A687" s="10" t="inlineStr">
        <is>
          <t>D12-DOC-ETE-001.INTERFACES.WEBHOOKS</t>
        </is>
      </c>
      <c r="B687" s="10" t="inlineStr">
        <is>
          <t>D12-DOC-ETE-001</t>
        </is>
      </c>
      <c r="C687" s="10" t="inlineStr">
        <is>
          <t>D12-DOC-ETE-001-T06</t>
        </is>
      </c>
      <c r="D687" s="10" t="inlineStr">
        <is>
          <t>webhooks</t>
        </is>
      </c>
      <c r="E687" s="10" t="inlineStr">
        <is>
          <t>Definir, validar e manter: Webhooks</t>
        </is>
      </c>
      <c r="F687" s="10" t="n"/>
      <c r="G687" s="10" t="b">
        <v>1</v>
      </c>
      <c r="H687" s="10" t="b">
        <v>1</v>
      </c>
      <c r="I687" s="10" t="inlineStr">
        <is>
          <t>DERIVED</t>
        </is>
      </c>
      <c r="J687" s="10" t="inlineStr">
        <is>
          <t>PROPOSED</t>
        </is>
      </c>
      <c r="K687" s="10" t="inlineStr">
        <is>
          <t>DERIVED</t>
        </is>
      </c>
      <c r="L687" s="10" t="inlineStr">
        <is>
          <t>baixa</t>
        </is>
      </c>
      <c r="M687" s="10" t="inlineStr">
        <is>
          <t>["D12-DOC-ETE-001.INTERFACES.WEBHOOKS"]</t>
        </is>
      </c>
    </row>
    <row r="688">
      <c r="A688" s="10" t="inlineStr">
        <is>
          <t>D12-DOC-ETE-001.DATA.BANCO</t>
        </is>
      </c>
      <c r="B688" s="10" t="inlineStr">
        <is>
          <t>D12-DOC-ETE-001</t>
        </is>
      </c>
      <c r="C688" s="10" t="inlineStr">
        <is>
          <t>D12-DOC-ETE-001-T07</t>
        </is>
      </c>
      <c r="D688" s="10" t="inlineStr">
        <is>
          <t>banco</t>
        </is>
      </c>
      <c r="E688" s="10" t="inlineStr">
        <is>
          <t>Definir, validar e manter: Banco</t>
        </is>
      </c>
      <c r="F688" s="10" t="n"/>
      <c r="G688" s="10" t="b">
        <v>1</v>
      </c>
      <c r="H688" s="10" t="b">
        <v>1</v>
      </c>
      <c r="I688" s="10" t="inlineStr">
        <is>
          <t>DERIVED</t>
        </is>
      </c>
      <c r="J688" s="10" t="inlineStr">
        <is>
          <t>PROPOSED</t>
        </is>
      </c>
      <c r="K688" s="10" t="inlineStr">
        <is>
          <t>DERIVED</t>
        </is>
      </c>
      <c r="L688" s="10" t="inlineStr">
        <is>
          <t>baixa</t>
        </is>
      </c>
      <c r="M688" s="10" t="inlineStr">
        <is>
          <t>["D12-DOC-ETE-001.DATA.BANCO"]</t>
        </is>
      </c>
    </row>
    <row r="689">
      <c r="A689" s="10" t="inlineStr">
        <is>
          <t>D12-DOC-ETE-001.DATA.SCHEMA</t>
        </is>
      </c>
      <c r="B689" s="10" t="inlineStr">
        <is>
          <t>D12-DOC-ETE-001</t>
        </is>
      </c>
      <c r="C689" s="10" t="inlineStr">
        <is>
          <t>D12-DOC-ETE-001-T07</t>
        </is>
      </c>
      <c r="D689" s="10" t="inlineStr">
        <is>
          <t>schema</t>
        </is>
      </c>
      <c r="E689" s="10" t="inlineStr">
        <is>
          <t>Definir, validar e manter: Schema</t>
        </is>
      </c>
      <c r="F689" s="10" t="n"/>
      <c r="G689" s="10" t="b">
        <v>1</v>
      </c>
      <c r="H689" s="10" t="b">
        <v>1</v>
      </c>
      <c r="I689" s="10" t="inlineStr">
        <is>
          <t>DERIVED</t>
        </is>
      </c>
      <c r="J689" s="10" t="inlineStr">
        <is>
          <t>PROPOSED</t>
        </is>
      </c>
      <c r="K689" s="10" t="inlineStr">
        <is>
          <t>DERIVED</t>
        </is>
      </c>
      <c r="L689" s="10" t="inlineStr">
        <is>
          <t>baixa</t>
        </is>
      </c>
      <c r="M689" s="10" t="inlineStr">
        <is>
          <t>["D12-DOC-ETE-001.DATA.SCHEMA"]</t>
        </is>
      </c>
    </row>
    <row r="690">
      <c r="A690" s="10" t="inlineStr">
        <is>
          <t>D12-DOC-ETE-001.DATA.MIGRACOES</t>
        </is>
      </c>
      <c r="B690" s="10" t="inlineStr">
        <is>
          <t>D12-DOC-ETE-001</t>
        </is>
      </c>
      <c r="C690" s="10" t="inlineStr">
        <is>
          <t>D12-DOC-ETE-001-T07</t>
        </is>
      </c>
      <c r="D690" s="10" t="inlineStr">
        <is>
          <t>migracoes</t>
        </is>
      </c>
      <c r="E690" s="10" t="inlineStr">
        <is>
          <t>Definir, validar e manter: Migracoes</t>
        </is>
      </c>
      <c r="F690" s="10" t="n"/>
      <c r="G690" s="10" t="b">
        <v>1</v>
      </c>
      <c r="H690" s="10" t="b">
        <v>1</v>
      </c>
      <c r="I690" s="10" t="inlineStr">
        <is>
          <t>DERIVED</t>
        </is>
      </c>
      <c r="J690" s="10" t="inlineStr">
        <is>
          <t>PROPOSED</t>
        </is>
      </c>
      <c r="K690" s="10" t="inlineStr">
        <is>
          <t>DERIVED</t>
        </is>
      </c>
      <c r="L690" s="10" t="inlineStr">
        <is>
          <t>baixa</t>
        </is>
      </c>
      <c r="M690" s="10" t="inlineStr">
        <is>
          <t>["D12-DOC-ETE-001.DATA.MIGRACOES"]</t>
        </is>
      </c>
    </row>
    <row r="691">
      <c r="A691" s="10" t="inlineStr">
        <is>
          <t>D12-DOC-ETE-001.AUTHENTICATION.AUTH</t>
        </is>
      </c>
      <c r="B691" s="10" t="inlineStr">
        <is>
          <t>D12-DOC-ETE-001</t>
        </is>
      </c>
      <c r="C691" s="10" t="inlineStr">
        <is>
          <t>D12-DOC-ETE-001-T08</t>
        </is>
      </c>
      <c r="D691" s="10" t="inlineStr">
        <is>
          <t>auth</t>
        </is>
      </c>
      <c r="E691" s="10" t="inlineStr">
        <is>
          <t>Definir, validar e manter: Auth</t>
        </is>
      </c>
      <c r="F691" s="10" t="n"/>
      <c r="G691" s="10" t="b">
        <v>1</v>
      </c>
      <c r="H691" s="10" t="b">
        <v>1</v>
      </c>
      <c r="I691" s="10" t="inlineStr">
        <is>
          <t>DERIVED</t>
        </is>
      </c>
      <c r="J691" s="10" t="inlineStr">
        <is>
          <t>PROPOSED</t>
        </is>
      </c>
      <c r="K691" s="10" t="inlineStr">
        <is>
          <t>DERIVED</t>
        </is>
      </c>
      <c r="L691" s="10" t="inlineStr">
        <is>
          <t>baixa</t>
        </is>
      </c>
      <c r="M691" s="10" t="inlineStr">
        <is>
          <t>["D12-DOC-ETE-001.AUTHENTICATION.AUTH"]</t>
        </is>
      </c>
    </row>
    <row r="692">
      <c r="A692" s="10" t="inlineStr">
        <is>
          <t>D12-DOC-ETE-001.AUTHENTICATION.AUTORIZACAO</t>
        </is>
      </c>
      <c r="B692" s="10" t="inlineStr">
        <is>
          <t>D12-DOC-ETE-001</t>
        </is>
      </c>
      <c r="C692" s="10" t="inlineStr">
        <is>
          <t>D12-DOC-ETE-001-T08</t>
        </is>
      </c>
      <c r="D692" s="10" t="inlineStr">
        <is>
          <t>autorizacao</t>
        </is>
      </c>
      <c r="E692" s="10" t="inlineStr">
        <is>
          <t>Definir, validar e manter: Autorizacao</t>
        </is>
      </c>
      <c r="F692" s="10" t="n"/>
      <c r="G692" s="10" t="b">
        <v>1</v>
      </c>
      <c r="H692" s="10" t="b">
        <v>1</v>
      </c>
      <c r="I692" s="10" t="inlineStr">
        <is>
          <t>DERIVED</t>
        </is>
      </c>
      <c r="J692" s="10" t="inlineStr">
        <is>
          <t>PROPOSED</t>
        </is>
      </c>
      <c r="K692" s="10" t="inlineStr">
        <is>
          <t>DERIVED</t>
        </is>
      </c>
      <c r="L692" s="10" t="inlineStr">
        <is>
          <t>baixa</t>
        </is>
      </c>
      <c r="M692" s="10" t="inlineStr">
        <is>
          <t>["D12-DOC-ETE-001.AUTHENTICATION.AUTORIZACAO"]</t>
        </is>
      </c>
    </row>
    <row r="693">
      <c r="A693" s="10" t="inlineStr">
        <is>
          <t>D12-DOC-ETE-001.INTEGRATIONS.SERVICO</t>
        </is>
      </c>
      <c r="B693" s="10" t="inlineStr">
        <is>
          <t>D12-DOC-ETE-001</t>
        </is>
      </c>
      <c r="C693" s="10" t="inlineStr">
        <is>
          <t>D12-DOC-ETE-001-T09</t>
        </is>
      </c>
      <c r="D693" s="10" t="inlineStr">
        <is>
          <t>servico</t>
        </is>
      </c>
      <c r="E693" s="10" t="inlineStr">
        <is>
          <t>Definir, validar e manter: Servico</t>
        </is>
      </c>
      <c r="F693" s="10" t="n"/>
      <c r="G693" s="10" t="b">
        <v>1</v>
      </c>
      <c r="H693" s="10" t="b">
        <v>1</v>
      </c>
      <c r="I693" s="10" t="inlineStr">
        <is>
          <t>FOUND</t>
        </is>
      </c>
      <c r="J693" s="10" t="inlineStr">
        <is>
          <t>DIRECT</t>
        </is>
      </c>
      <c r="K693" s="10" t="inlineStr">
        <is>
          <t>FOUND</t>
        </is>
      </c>
      <c r="L693" s="10" t="inlineStr">
        <is>
          <t>media</t>
        </is>
      </c>
      <c r="M693" s="10" t="inlineStr">
        <is>
          <t>["D12-DOC-ETE-001.INTEGRATIONS.SERVICO"]</t>
        </is>
      </c>
    </row>
    <row r="694">
      <c r="A694" s="10" t="inlineStr">
        <is>
          <t>D12-DOC-ETE-001.INTEGRATIONS.CONTRATO</t>
        </is>
      </c>
      <c r="B694" s="10" t="inlineStr">
        <is>
          <t>D12-DOC-ETE-001</t>
        </is>
      </c>
      <c r="C694" s="10" t="inlineStr">
        <is>
          <t>D12-DOC-ETE-001-T09</t>
        </is>
      </c>
      <c r="D694" s="10" t="inlineStr">
        <is>
          <t>contrato</t>
        </is>
      </c>
      <c r="E694" s="10" t="inlineStr">
        <is>
          <t>Definir, validar e manter: Contrato</t>
        </is>
      </c>
      <c r="F694" s="10" t="n"/>
      <c r="G694" s="10" t="b">
        <v>1</v>
      </c>
      <c r="H694" s="10" t="b">
        <v>1</v>
      </c>
      <c r="I694" s="10" t="inlineStr">
        <is>
          <t>DERIVED</t>
        </is>
      </c>
      <c r="J694" s="10" t="inlineStr">
        <is>
          <t>PROPOSED</t>
        </is>
      </c>
      <c r="K694" s="10" t="inlineStr">
        <is>
          <t>DERIVED</t>
        </is>
      </c>
      <c r="L694" s="10" t="inlineStr">
        <is>
          <t>baixa</t>
        </is>
      </c>
      <c r="M694" s="10" t="inlineStr">
        <is>
          <t>["D12-DOC-ETE-001.INTEGRATIONS.CONTRATO"]</t>
        </is>
      </c>
    </row>
    <row r="695">
      <c r="A695" s="10" t="inlineStr">
        <is>
          <t>D12-DOC-ETE-001.INFRASTRUCTURE.HOSTING</t>
        </is>
      </c>
      <c r="B695" s="10" t="inlineStr">
        <is>
          <t>D12-DOC-ETE-001</t>
        </is>
      </c>
      <c r="C695" s="10" t="inlineStr">
        <is>
          <t>D12-DOC-ETE-001-T10</t>
        </is>
      </c>
      <c r="D695" s="10" t="inlineStr">
        <is>
          <t>hosting</t>
        </is>
      </c>
      <c r="E695" s="10" t="inlineStr">
        <is>
          <t>Definir, validar e manter: Hosting</t>
        </is>
      </c>
      <c r="F695" s="10" t="n"/>
      <c r="G695" s="10" t="b">
        <v>1</v>
      </c>
      <c r="H695" s="10" t="b">
        <v>1</v>
      </c>
      <c r="I695" s="10" t="inlineStr">
        <is>
          <t>DERIVED</t>
        </is>
      </c>
      <c r="J695" s="10" t="inlineStr">
        <is>
          <t>PROPOSED</t>
        </is>
      </c>
      <c r="K695" s="10" t="inlineStr">
        <is>
          <t>DERIVED</t>
        </is>
      </c>
      <c r="L695" s="10" t="inlineStr">
        <is>
          <t>baixa</t>
        </is>
      </c>
      <c r="M695" s="10" t="inlineStr">
        <is>
          <t>["D12-DOC-ETE-001.INFRASTRUCTURE.HOSTING"]</t>
        </is>
      </c>
    </row>
    <row r="696">
      <c r="A696" s="10" t="inlineStr">
        <is>
          <t>D12-DOC-ETE-001.INFRASTRUCTURE.STORAGE</t>
        </is>
      </c>
      <c r="B696" s="10" t="inlineStr">
        <is>
          <t>D12-DOC-ETE-001</t>
        </is>
      </c>
      <c r="C696" s="10" t="inlineStr">
        <is>
          <t>D12-DOC-ETE-001-T10</t>
        </is>
      </c>
      <c r="D696" s="10" t="inlineStr">
        <is>
          <t>storage</t>
        </is>
      </c>
      <c r="E696" s="10" t="inlineStr">
        <is>
          <t>Definir, validar e manter: Storage</t>
        </is>
      </c>
      <c r="F696" s="10" t="n"/>
      <c r="G696" s="10" t="b">
        <v>1</v>
      </c>
      <c r="H696" s="10" t="b">
        <v>1</v>
      </c>
      <c r="I696" s="10" t="inlineStr">
        <is>
          <t>DERIVED</t>
        </is>
      </c>
      <c r="J696" s="10" t="inlineStr">
        <is>
          <t>PROPOSED</t>
        </is>
      </c>
      <c r="K696" s="10" t="inlineStr">
        <is>
          <t>DERIVED</t>
        </is>
      </c>
      <c r="L696" s="10" t="inlineStr">
        <is>
          <t>baixa</t>
        </is>
      </c>
      <c r="M696" s="10" t="inlineStr">
        <is>
          <t>["D12-DOC-ETE-001.INFRASTRUCTURE.STORAGE"]</t>
        </is>
      </c>
    </row>
    <row r="697">
      <c r="A697" s="10" t="inlineStr">
        <is>
          <t>D12-DOC-ETE-001.INFRASTRUCTURE.NETWORK</t>
        </is>
      </c>
      <c r="B697" s="10" t="inlineStr">
        <is>
          <t>D12-DOC-ETE-001</t>
        </is>
      </c>
      <c r="C697" s="10" t="inlineStr">
        <is>
          <t>D12-DOC-ETE-001-T10</t>
        </is>
      </c>
      <c r="D697" s="10" t="inlineStr">
        <is>
          <t>network</t>
        </is>
      </c>
      <c r="E697" s="10" t="inlineStr">
        <is>
          <t>Definir, validar e manter: Network</t>
        </is>
      </c>
      <c r="F697" s="10" t="n"/>
      <c r="G697" s="10" t="b">
        <v>1</v>
      </c>
      <c r="H697" s="10" t="b">
        <v>1</v>
      </c>
      <c r="I697" s="10" t="inlineStr">
        <is>
          <t>DERIVED</t>
        </is>
      </c>
      <c r="J697" s="10" t="inlineStr">
        <is>
          <t>PROPOSED</t>
        </is>
      </c>
      <c r="K697" s="10" t="inlineStr">
        <is>
          <t>DERIVED</t>
        </is>
      </c>
      <c r="L697" s="10" t="inlineStr">
        <is>
          <t>baixa</t>
        </is>
      </c>
      <c r="M697" s="10" t="inlineStr">
        <is>
          <t>["D12-DOC-ETE-001.INFRASTRUCTURE.NETWORK"]</t>
        </is>
      </c>
    </row>
    <row r="698">
      <c r="A698" s="10" t="inlineStr">
        <is>
          <t>D12-DOC-ETE-001.ENVIRONMENTS.LOCAL</t>
        </is>
      </c>
      <c r="B698" s="10" t="inlineStr">
        <is>
          <t>D12-DOC-ETE-001</t>
        </is>
      </c>
      <c r="C698" s="10" t="inlineStr">
        <is>
          <t>D12-DOC-ETE-001-T11</t>
        </is>
      </c>
      <c r="D698" s="10" t="inlineStr">
        <is>
          <t>local</t>
        </is>
      </c>
      <c r="E698" s="10" t="inlineStr">
        <is>
          <t>Definir, validar e manter: Local</t>
        </is>
      </c>
      <c r="F698" s="10" t="n"/>
      <c r="G698" s="10" t="b">
        <v>1</v>
      </c>
      <c r="H698" s="10" t="b">
        <v>1</v>
      </c>
      <c r="I698" s="10" t="inlineStr">
        <is>
          <t>DERIVED</t>
        </is>
      </c>
      <c r="J698" s="10" t="inlineStr">
        <is>
          <t>PROPOSED</t>
        </is>
      </c>
      <c r="K698" s="10" t="inlineStr">
        <is>
          <t>DERIVED</t>
        </is>
      </c>
      <c r="L698" s="10" t="inlineStr">
        <is>
          <t>baixa</t>
        </is>
      </c>
      <c r="M698" s="10" t="inlineStr">
        <is>
          <t>["D12-DOC-ETE-001.ENVIRONMENTS.LOCAL"]</t>
        </is>
      </c>
    </row>
    <row r="699">
      <c r="A699" s="10" t="inlineStr">
        <is>
          <t>D12-DOC-ETE-001.ENVIRONMENTS.PREVIEW</t>
        </is>
      </c>
      <c r="B699" s="10" t="inlineStr">
        <is>
          <t>D12-DOC-ETE-001</t>
        </is>
      </c>
      <c r="C699" s="10" t="inlineStr">
        <is>
          <t>D12-DOC-ETE-001-T11</t>
        </is>
      </c>
      <c r="D699" s="10" t="inlineStr">
        <is>
          <t>preview</t>
        </is>
      </c>
      <c r="E699" s="10" t="inlineStr">
        <is>
          <t>Definir, validar e manter: Preview</t>
        </is>
      </c>
      <c r="F699" s="10" t="n"/>
      <c r="G699" s="10" t="b">
        <v>1</v>
      </c>
      <c r="H699" s="10" t="b">
        <v>1</v>
      </c>
      <c r="I699" s="10" t="inlineStr">
        <is>
          <t>DERIVED</t>
        </is>
      </c>
      <c r="J699" s="10" t="inlineStr">
        <is>
          <t>PROPOSED</t>
        </is>
      </c>
      <c r="K699" s="10" t="inlineStr">
        <is>
          <t>DERIVED</t>
        </is>
      </c>
      <c r="L699" s="10" t="inlineStr">
        <is>
          <t>baixa</t>
        </is>
      </c>
      <c r="M699" s="10" t="inlineStr">
        <is>
          <t>["D12-DOC-ETE-001.ENVIRONMENTS.PREVIEW"]</t>
        </is>
      </c>
    </row>
    <row r="700">
      <c r="A700" s="10" t="inlineStr">
        <is>
          <t>D12-DOC-ETE-001.ENVIRONMENTS.STAGING</t>
        </is>
      </c>
      <c r="B700" s="10" t="inlineStr">
        <is>
          <t>D12-DOC-ETE-001</t>
        </is>
      </c>
      <c r="C700" s="10" t="inlineStr">
        <is>
          <t>D12-DOC-ETE-001-T11</t>
        </is>
      </c>
      <c r="D700" s="10" t="inlineStr">
        <is>
          <t>staging</t>
        </is>
      </c>
      <c r="E700" s="10" t="inlineStr">
        <is>
          <t>Definir, validar e manter: Staging</t>
        </is>
      </c>
      <c r="F700" s="10" t="n"/>
      <c r="G700" s="10" t="b">
        <v>1</v>
      </c>
      <c r="H700" s="10" t="b">
        <v>1</v>
      </c>
      <c r="I700" s="10" t="inlineStr">
        <is>
          <t>DERIVED</t>
        </is>
      </c>
      <c r="J700" s="10" t="inlineStr">
        <is>
          <t>PROPOSED</t>
        </is>
      </c>
      <c r="K700" s="10" t="inlineStr">
        <is>
          <t>DERIVED</t>
        </is>
      </c>
      <c r="L700" s="10" t="inlineStr">
        <is>
          <t>baixa</t>
        </is>
      </c>
      <c r="M700" s="10" t="inlineStr">
        <is>
          <t>["D12-DOC-ETE-001.ENVIRONMENTS.STAGING"]</t>
        </is>
      </c>
    </row>
    <row r="701">
      <c r="A701" s="10" t="inlineStr">
        <is>
          <t>D12-DOC-ETE-001.ENVIRONMENTS.PRODUCTION</t>
        </is>
      </c>
      <c r="B701" s="10" t="inlineStr">
        <is>
          <t>D12-DOC-ETE-001</t>
        </is>
      </c>
      <c r="C701" s="10" t="inlineStr">
        <is>
          <t>D12-DOC-ETE-001-T11</t>
        </is>
      </c>
      <c r="D701" s="10" t="inlineStr">
        <is>
          <t>production</t>
        </is>
      </c>
      <c r="E701" s="10" t="inlineStr">
        <is>
          <t>Definir, validar e manter: Production</t>
        </is>
      </c>
      <c r="F701" s="10" t="n"/>
      <c r="G701" s="10" t="b">
        <v>1</v>
      </c>
      <c r="H701" s="10" t="b">
        <v>1</v>
      </c>
      <c r="I701" s="10" t="inlineStr">
        <is>
          <t>DERIVED</t>
        </is>
      </c>
      <c r="J701" s="10" t="inlineStr">
        <is>
          <t>PROPOSED</t>
        </is>
      </c>
      <c r="K701" s="10" t="inlineStr">
        <is>
          <t>DERIVED</t>
        </is>
      </c>
      <c r="L701" s="10" t="inlineStr">
        <is>
          <t>baixa</t>
        </is>
      </c>
      <c r="M701" s="10" t="inlineStr">
        <is>
          <t>["D12-DOC-ETE-001.ENVIRONMENTS.PRODUCTION"]</t>
        </is>
      </c>
    </row>
    <row r="702">
      <c r="A702" s="10" t="inlineStr">
        <is>
          <t>D12-DOC-ETE-001.CICD.BUILD</t>
        </is>
      </c>
      <c r="B702" s="10" t="inlineStr">
        <is>
          <t>D12-DOC-ETE-001</t>
        </is>
      </c>
      <c r="C702" s="10" t="inlineStr">
        <is>
          <t>D12-DOC-ETE-001-T12</t>
        </is>
      </c>
      <c r="D702" s="10" t="inlineStr">
        <is>
          <t>build</t>
        </is>
      </c>
      <c r="E702" s="10" t="inlineStr">
        <is>
          <t>Definir, validar e manter: Build</t>
        </is>
      </c>
      <c r="F702" s="10" t="n"/>
      <c r="G702" s="10" t="b">
        <v>1</v>
      </c>
      <c r="H702" s="10" t="b">
        <v>1</v>
      </c>
      <c r="I702" s="10" t="inlineStr">
        <is>
          <t>DERIVED</t>
        </is>
      </c>
      <c r="J702" s="10" t="inlineStr">
        <is>
          <t>PROPOSED</t>
        </is>
      </c>
      <c r="K702" s="10" t="inlineStr">
        <is>
          <t>DERIVED</t>
        </is>
      </c>
      <c r="L702" s="10" t="inlineStr">
        <is>
          <t>baixa</t>
        </is>
      </c>
      <c r="M702" s="10" t="inlineStr">
        <is>
          <t>["D12-DOC-ETE-001.CICD.BUILD"]</t>
        </is>
      </c>
    </row>
    <row r="703">
      <c r="A703" s="10" t="inlineStr">
        <is>
          <t>D12-DOC-ETE-001.CICD.TEST</t>
        </is>
      </c>
      <c r="B703" s="10" t="inlineStr">
        <is>
          <t>D12-DOC-ETE-001</t>
        </is>
      </c>
      <c r="C703" s="10" t="inlineStr">
        <is>
          <t>D12-DOC-ETE-001-T12</t>
        </is>
      </c>
      <c r="D703" s="10" t="inlineStr">
        <is>
          <t>test</t>
        </is>
      </c>
      <c r="E703" s="10" t="inlineStr">
        <is>
          <t>Definir, validar e manter: Test</t>
        </is>
      </c>
      <c r="F703" s="10" t="n"/>
      <c r="G703" s="10" t="b">
        <v>1</v>
      </c>
      <c r="H703" s="10" t="b">
        <v>1</v>
      </c>
      <c r="I703" s="10" t="inlineStr">
        <is>
          <t>DERIVED</t>
        </is>
      </c>
      <c r="J703" s="10" t="inlineStr">
        <is>
          <t>PROPOSED</t>
        </is>
      </c>
      <c r="K703" s="10" t="inlineStr">
        <is>
          <t>DERIVED</t>
        </is>
      </c>
      <c r="L703" s="10" t="inlineStr">
        <is>
          <t>baixa</t>
        </is>
      </c>
      <c r="M703" s="10" t="inlineStr">
        <is>
          <t>["D12-DOC-ETE-001.CICD.TEST"]</t>
        </is>
      </c>
    </row>
    <row r="704">
      <c r="A704" s="10" t="inlineStr">
        <is>
          <t>D12-DOC-ETE-001.CICD.DEPLOY</t>
        </is>
      </c>
      <c r="B704" s="10" t="inlineStr">
        <is>
          <t>D12-DOC-ETE-001</t>
        </is>
      </c>
      <c r="C704" s="10" t="inlineStr">
        <is>
          <t>D12-DOC-ETE-001-T12</t>
        </is>
      </c>
      <c r="D704" s="10" t="inlineStr">
        <is>
          <t>deploy</t>
        </is>
      </c>
      <c r="E704" s="10" t="inlineStr">
        <is>
          <t>Definir, validar e manter: Deploy</t>
        </is>
      </c>
      <c r="F704" s="10" t="n"/>
      <c r="G704" s="10" t="b">
        <v>1</v>
      </c>
      <c r="H704" s="10" t="b">
        <v>1</v>
      </c>
      <c r="I704" s="10" t="inlineStr">
        <is>
          <t>DERIVED</t>
        </is>
      </c>
      <c r="J704" s="10" t="inlineStr">
        <is>
          <t>PROPOSED</t>
        </is>
      </c>
      <c r="K704" s="10" t="inlineStr">
        <is>
          <t>DERIVED</t>
        </is>
      </c>
      <c r="L704" s="10" t="inlineStr">
        <is>
          <t>baixa</t>
        </is>
      </c>
      <c r="M704" s="10" t="inlineStr">
        <is>
          <t>["D12-DOC-ETE-001.CICD.DEPLOY"]</t>
        </is>
      </c>
    </row>
    <row r="705">
      <c r="A705" s="10" t="inlineStr">
        <is>
          <t>D12-DOC-ETE-001.OBSERVABILITY.LOGS</t>
        </is>
      </c>
      <c r="B705" s="10" t="inlineStr">
        <is>
          <t>D12-DOC-ETE-001</t>
        </is>
      </c>
      <c r="C705" s="10" t="inlineStr">
        <is>
          <t>D12-DOC-ETE-001-T13</t>
        </is>
      </c>
      <c r="D705" s="10" t="inlineStr">
        <is>
          <t>logs</t>
        </is>
      </c>
      <c r="E705" s="10" t="inlineStr">
        <is>
          <t>Definir, validar e manter: Logs</t>
        </is>
      </c>
      <c r="F705" s="10" t="n"/>
      <c r="G705" s="10" t="b">
        <v>1</v>
      </c>
      <c r="H705" s="10" t="b">
        <v>1</v>
      </c>
      <c r="I705" s="10" t="inlineStr">
        <is>
          <t>DERIVED</t>
        </is>
      </c>
      <c r="J705" s="10" t="inlineStr">
        <is>
          <t>PROPOSED</t>
        </is>
      </c>
      <c r="K705" s="10" t="inlineStr">
        <is>
          <t>DERIVED</t>
        </is>
      </c>
      <c r="L705" s="10" t="inlineStr">
        <is>
          <t>baixa</t>
        </is>
      </c>
      <c r="M705" s="10" t="inlineStr">
        <is>
          <t>["D12-DOC-ETE-001.OBSERVABILITY.LOGS"]</t>
        </is>
      </c>
    </row>
    <row r="706">
      <c r="A706" s="10" t="inlineStr">
        <is>
          <t>D12-DOC-ETE-001.OBSERVABILITY.METRICS</t>
        </is>
      </c>
      <c r="B706" s="10" t="inlineStr">
        <is>
          <t>D12-DOC-ETE-001</t>
        </is>
      </c>
      <c r="C706" s="10" t="inlineStr">
        <is>
          <t>D12-DOC-ETE-001-T13</t>
        </is>
      </c>
      <c r="D706" s="10" t="inlineStr">
        <is>
          <t>metrics</t>
        </is>
      </c>
      <c r="E706" s="10" t="inlineStr">
        <is>
          <t>Definir, validar e manter: Metrics</t>
        </is>
      </c>
      <c r="F706" s="10" t="n"/>
      <c r="G706" s="10" t="b">
        <v>1</v>
      </c>
      <c r="H706" s="10" t="b">
        <v>1</v>
      </c>
      <c r="I706" s="10" t="inlineStr">
        <is>
          <t>DERIVED</t>
        </is>
      </c>
      <c r="J706" s="10" t="inlineStr">
        <is>
          <t>PROPOSED</t>
        </is>
      </c>
      <c r="K706" s="10" t="inlineStr">
        <is>
          <t>DERIVED</t>
        </is>
      </c>
      <c r="L706" s="10" t="inlineStr">
        <is>
          <t>baixa</t>
        </is>
      </c>
      <c r="M706" s="10" t="inlineStr">
        <is>
          <t>["D12-DOC-ETE-001.OBSERVABILITY.METRICS"]</t>
        </is>
      </c>
    </row>
    <row r="707">
      <c r="A707" s="10" t="inlineStr">
        <is>
          <t>D12-DOC-ETE-001.OBSERVABILITY.ERRORS</t>
        </is>
      </c>
      <c r="B707" s="10" t="inlineStr">
        <is>
          <t>D12-DOC-ETE-001</t>
        </is>
      </c>
      <c r="C707" s="10" t="inlineStr">
        <is>
          <t>D12-DOC-ETE-001-T13</t>
        </is>
      </c>
      <c r="D707" s="10" t="inlineStr">
        <is>
          <t>errors</t>
        </is>
      </c>
      <c r="E707" s="10" t="inlineStr">
        <is>
          <t>Definir, validar e manter: Errors</t>
        </is>
      </c>
      <c r="F707" s="10" t="n"/>
      <c r="G707" s="10" t="b">
        <v>1</v>
      </c>
      <c r="H707" s="10" t="b">
        <v>1</v>
      </c>
      <c r="I707" s="10" t="inlineStr">
        <is>
          <t>DERIVED</t>
        </is>
      </c>
      <c r="J707" s="10" t="inlineStr">
        <is>
          <t>PROPOSED</t>
        </is>
      </c>
      <c r="K707" s="10" t="inlineStr">
        <is>
          <t>DERIVED</t>
        </is>
      </c>
      <c r="L707" s="10" t="inlineStr">
        <is>
          <t>baixa</t>
        </is>
      </c>
      <c r="M707" s="10" t="inlineStr">
        <is>
          <t>["D12-DOC-ETE-001.OBSERVABILITY.ERRORS"]</t>
        </is>
      </c>
    </row>
    <row r="708">
      <c r="A708" s="10" t="inlineStr">
        <is>
          <t>D12-DOC-ETE-001.PERFORMANCE.BUDGETS</t>
        </is>
      </c>
      <c r="B708" s="10" t="inlineStr">
        <is>
          <t>D12-DOC-ETE-001</t>
        </is>
      </c>
      <c r="C708" s="10" t="inlineStr">
        <is>
          <t>D12-DOC-ETE-001-T14</t>
        </is>
      </c>
      <c r="D708" s="10" t="inlineStr">
        <is>
          <t>budgets</t>
        </is>
      </c>
      <c r="E708" s="10" t="inlineStr">
        <is>
          <t>Definir, validar e manter: Budgets</t>
        </is>
      </c>
      <c r="F708" s="10" t="n"/>
      <c r="G708" s="10" t="b">
        <v>1</v>
      </c>
      <c r="H708" s="10" t="b">
        <v>1</v>
      </c>
      <c r="I708" s="10" t="inlineStr">
        <is>
          <t>DERIVED</t>
        </is>
      </c>
      <c r="J708" s="10" t="inlineStr">
        <is>
          <t>PROPOSED</t>
        </is>
      </c>
      <c r="K708" s="10" t="inlineStr">
        <is>
          <t>DERIVED</t>
        </is>
      </c>
      <c r="L708" s="10" t="inlineStr">
        <is>
          <t>baixa</t>
        </is>
      </c>
      <c r="M708" s="10" t="inlineStr">
        <is>
          <t>["D12-DOC-ETE-001.PERFORMANCE.BUDGETS"]</t>
        </is>
      </c>
    </row>
    <row r="709">
      <c r="A709" s="10" t="inlineStr">
        <is>
          <t>D12-DOC-ETE-001.PERFORMANCE.LIMITES</t>
        </is>
      </c>
      <c r="B709" s="10" t="inlineStr">
        <is>
          <t>D12-DOC-ETE-001</t>
        </is>
      </c>
      <c r="C709" s="10" t="inlineStr">
        <is>
          <t>D12-DOC-ETE-001-T14</t>
        </is>
      </c>
      <c r="D709" s="10" t="inlineStr">
        <is>
          <t>limites</t>
        </is>
      </c>
      <c r="E709" s="10" t="inlineStr">
        <is>
          <t>Definir, validar e manter: Limites</t>
        </is>
      </c>
      <c r="F709" s="10" t="n"/>
      <c r="G709" s="10" t="b">
        <v>1</v>
      </c>
      <c r="H709" s="10" t="b">
        <v>1</v>
      </c>
      <c r="I709" s="10" t="inlineStr">
        <is>
          <t>DERIVED</t>
        </is>
      </c>
      <c r="J709" s="10" t="inlineStr">
        <is>
          <t>PROPOSED</t>
        </is>
      </c>
      <c r="K709" s="10" t="inlineStr">
        <is>
          <t>DERIVED</t>
        </is>
      </c>
      <c r="L709" s="10" t="inlineStr">
        <is>
          <t>baixa</t>
        </is>
      </c>
      <c r="M709" s="10" t="inlineStr">
        <is>
          <t>["D12-DOC-ETE-001.PERFORMANCE.LIMITES"]</t>
        </is>
      </c>
    </row>
    <row r="710">
      <c r="A710" s="10" t="inlineStr">
        <is>
          <t>D12-DOC-ETE-001.SECURITY.SECRETS</t>
        </is>
      </c>
      <c r="B710" s="10" t="inlineStr">
        <is>
          <t>D12-DOC-ETE-001</t>
        </is>
      </c>
      <c r="C710" s="10" t="inlineStr">
        <is>
          <t>D12-DOC-ETE-001-T15</t>
        </is>
      </c>
      <c r="D710" s="10" t="inlineStr">
        <is>
          <t>secrets</t>
        </is>
      </c>
      <c r="E710" s="10" t="inlineStr">
        <is>
          <t>Definir, validar e manter: Secrets</t>
        </is>
      </c>
      <c r="F710" s="10" t="n"/>
      <c r="G710" s="10" t="b">
        <v>1</v>
      </c>
      <c r="H710" s="10" t="b">
        <v>1</v>
      </c>
      <c r="I710" s="10" t="inlineStr">
        <is>
          <t>DERIVED</t>
        </is>
      </c>
      <c r="J710" s="10" t="inlineStr">
        <is>
          <t>PROPOSED</t>
        </is>
      </c>
      <c r="K710" s="10" t="inlineStr">
        <is>
          <t>DERIVED</t>
        </is>
      </c>
      <c r="L710" s="10" t="inlineStr">
        <is>
          <t>baixa</t>
        </is>
      </c>
      <c r="M710" s="10" t="inlineStr">
        <is>
          <t>["D12-DOC-ETE-001.SECURITY.SECRETS"]</t>
        </is>
      </c>
    </row>
    <row r="711">
      <c r="A711" s="10" t="inlineStr">
        <is>
          <t>D12-DOC-ETE-001.SECURITY.HEADERS</t>
        </is>
      </c>
      <c r="B711" s="10" t="inlineStr">
        <is>
          <t>D12-DOC-ETE-001</t>
        </is>
      </c>
      <c r="C711" s="10" t="inlineStr">
        <is>
          <t>D12-DOC-ETE-001-T15</t>
        </is>
      </c>
      <c r="D711" s="10" t="inlineStr">
        <is>
          <t>headers</t>
        </is>
      </c>
      <c r="E711" s="10" t="inlineStr">
        <is>
          <t>Definir, validar e manter: Headers</t>
        </is>
      </c>
      <c r="F711" s="10" t="n"/>
      <c r="G711" s="10" t="b">
        <v>1</v>
      </c>
      <c r="H711" s="10" t="b">
        <v>1</v>
      </c>
      <c r="I711" s="10" t="inlineStr">
        <is>
          <t>DERIVED</t>
        </is>
      </c>
      <c r="J711" s="10" t="inlineStr">
        <is>
          <t>PROPOSED</t>
        </is>
      </c>
      <c r="K711" s="10" t="inlineStr">
        <is>
          <t>DERIVED</t>
        </is>
      </c>
      <c r="L711" s="10" t="inlineStr">
        <is>
          <t>baixa</t>
        </is>
      </c>
      <c r="M711" s="10" t="inlineStr">
        <is>
          <t>["D12-DOC-ETE-001.SECURITY.HEADERS"]</t>
        </is>
      </c>
    </row>
    <row r="712">
      <c r="A712" s="10" t="inlineStr">
        <is>
          <t>D12-DOC-ETE-001.SECURITY.RATE_LIMIT</t>
        </is>
      </c>
      <c r="B712" s="10" t="inlineStr">
        <is>
          <t>D12-DOC-ETE-001</t>
        </is>
      </c>
      <c r="C712" s="10" t="inlineStr">
        <is>
          <t>D12-DOC-ETE-001-T15</t>
        </is>
      </c>
      <c r="D712" s="10" t="inlineStr">
        <is>
          <t>rate_limit</t>
        </is>
      </c>
      <c r="E712" s="10" t="inlineStr">
        <is>
          <t>Definir, validar e manter: Rate Limit</t>
        </is>
      </c>
      <c r="F712" s="10" t="n"/>
      <c r="G712" s="10" t="b">
        <v>1</v>
      </c>
      <c r="H712" s="10" t="b">
        <v>1</v>
      </c>
      <c r="I712" s="10" t="inlineStr">
        <is>
          <t>DERIVED</t>
        </is>
      </c>
      <c r="J712" s="10" t="inlineStr">
        <is>
          <t>PROPOSED</t>
        </is>
      </c>
      <c r="K712" s="10" t="inlineStr">
        <is>
          <t>DERIVED</t>
        </is>
      </c>
      <c r="L712" s="10" t="inlineStr">
        <is>
          <t>baixa</t>
        </is>
      </c>
      <c r="M712" s="10" t="inlineStr">
        <is>
          <t>["D12-DOC-ETE-001.SECURITY.RATE_LIMIT"]</t>
        </is>
      </c>
    </row>
    <row r="713">
      <c r="A713" s="10" t="inlineStr">
        <is>
          <t>D12-DOC-ETE-001.TESTING.UNITARIO</t>
        </is>
      </c>
      <c r="B713" s="10" t="inlineStr">
        <is>
          <t>D12-DOC-ETE-001</t>
        </is>
      </c>
      <c r="C713" s="10" t="inlineStr">
        <is>
          <t>D12-DOC-ETE-001-T16</t>
        </is>
      </c>
      <c r="D713" s="10" t="inlineStr">
        <is>
          <t>unitario</t>
        </is>
      </c>
      <c r="E713" s="10" t="inlineStr">
        <is>
          <t>Definir, validar e manter: Unitario</t>
        </is>
      </c>
      <c r="F713" s="10" t="n"/>
      <c r="G713" s="10" t="b">
        <v>1</v>
      </c>
      <c r="H713" s="10" t="b">
        <v>1</v>
      </c>
      <c r="I713" s="10" t="inlineStr">
        <is>
          <t>DERIVED</t>
        </is>
      </c>
      <c r="J713" s="10" t="inlineStr">
        <is>
          <t>PROPOSED</t>
        </is>
      </c>
      <c r="K713" s="10" t="inlineStr">
        <is>
          <t>DERIVED</t>
        </is>
      </c>
      <c r="L713" s="10" t="inlineStr">
        <is>
          <t>baixa</t>
        </is>
      </c>
      <c r="M713" s="10" t="inlineStr">
        <is>
          <t>["D12-DOC-ETE-001.TESTING.UNITARIO"]</t>
        </is>
      </c>
    </row>
    <row r="714">
      <c r="A714" s="10" t="inlineStr">
        <is>
          <t>D12-DOC-ETE-001.TESTING.INTEGRACAO</t>
        </is>
      </c>
      <c r="B714" s="10" t="inlineStr">
        <is>
          <t>D12-DOC-ETE-001</t>
        </is>
      </c>
      <c r="C714" s="10" t="inlineStr">
        <is>
          <t>D12-DOC-ETE-001-T16</t>
        </is>
      </c>
      <c r="D714" s="10" t="inlineStr">
        <is>
          <t>integracao</t>
        </is>
      </c>
      <c r="E714" s="10" t="inlineStr">
        <is>
          <t>Definir, validar e manter: Integracao</t>
        </is>
      </c>
      <c r="F714" s="10" t="n"/>
      <c r="G714" s="10" t="b">
        <v>1</v>
      </c>
      <c r="H714" s="10" t="b">
        <v>1</v>
      </c>
      <c r="I714" s="10" t="inlineStr">
        <is>
          <t>DERIVED</t>
        </is>
      </c>
      <c r="J714" s="10" t="inlineStr">
        <is>
          <t>PROPOSED</t>
        </is>
      </c>
      <c r="K714" s="10" t="inlineStr">
        <is>
          <t>DERIVED</t>
        </is>
      </c>
      <c r="L714" s="10" t="inlineStr">
        <is>
          <t>baixa</t>
        </is>
      </c>
      <c r="M714" s="10" t="inlineStr">
        <is>
          <t>["D12-DOC-ETE-001.TESTING.INTEGRACAO"]</t>
        </is>
      </c>
    </row>
    <row r="715">
      <c r="A715" s="10" t="inlineStr">
        <is>
          <t>D12-DOC-ETE-001.TESTING.E2E</t>
        </is>
      </c>
      <c r="B715" s="10" t="inlineStr">
        <is>
          <t>D12-DOC-ETE-001</t>
        </is>
      </c>
      <c r="C715" s="10" t="inlineStr">
        <is>
          <t>D12-DOC-ETE-001-T16</t>
        </is>
      </c>
      <c r="D715" s="10" t="inlineStr">
        <is>
          <t>e2e</t>
        </is>
      </c>
      <c r="E715" s="10" t="inlineStr">
        <is>
          <t>Definir, validar e manter: E2e</t>
        </is>
      </c>
      <c r="F715" s="10" t="n"/>
      <c r="G715" s="10" t="b">
        <v>1</v>
      </c>
      <c r="H715" s="10" t="b">
        <v>1</v>
      </c>
      <c r="I715" s="10" t="inlineStr">
        <is>
          <t>DERIVED</t>
        </is>
      </c>
      <c r="J715" s="10" t="inlineStr">
        <is>
          <t>PROPOSED</t>
        </is>
      </c>
      <c r="K715" s="10" t="inlineStr">
        <is>
          <t>DERIVED</t>
        </is>
      </c>
      <c r="L715" s="10" t="inlineStr">
        <is>
          <t>baixa</t>
        </is>
      </c>
      <c r="M715" s="10" t="inlineStr">
        <is>
          <t>["D12-DOC-ETE-001.TESTING.E2E"]</t>
        </is>
      </c>
    </row>
    <row r="716">
      <c r="A716" s="10" t="inlineStr">
        <is>
          <t>D12-DOC-ETE-001.DEPLOYMENT.PROCESSO</t>
        </is>
      </c>
      <c r="B716" s="10" t="inlineStr">
        <is>
          <t>D12-DOC-ETE-001</t>
        </is>
      </c>
      <c r="C716" s="10" t="inlineStr">
        <is>
          <t>D12-DOC-ETE-001-T17</t>
        </is>
      </c>
      <c r="D716" s="10" t="inlineStr">
        <is>
          <t>processo</t>
        </is>
      </c>
      <c r="E716" s="10" t="inlineStr">
        <is>
          <t>Definir, validar e manter: Processo</t>
        </is>
      </c>
      <c r="F716" s="10" t="n"/>
      <c r="G716" s="10" t="b">
        <v>1</v>
      </c>
      <c r="H716" s="10" t="b">
        <v>1</v>
      </c>
      <c r="I716" s="10" t="inlineStr">
        <is>
          <t>DERIVED</t>
        </is>
      </c>
      <c r="J716" s="10" t="inlineStr">
        <is>
          <t>PROPOSED</t>
        </is>
      </c>
      <c r="K716" s="10" t="inlineStr">
        <is>
          <t>DERIVED</t>
        </is>
      </c>
      <c r="L716" s="10" t="inlineStr">
        <is>
          <t>baixa</t>
        </is>
      </c>
      <c r="M716" s="10" t="inlineStr">
        <is>
          <t>["D12-DOC-ETE-001.DEPLOYMENT.PROCESSO"]</t>
        </is>
      </c>
    </row>
    <row r="717">
      <c r="A717" s="10" t="inlineStr">
        <is>
          <t>D12-DOC-ETE-001.DEPLOYMENT.RELEASE</t>
        </is>
      </c>
      <c r="B717" s="10" t="inlineStr">
        <is>
          <t>D12-DOC-ETE-001</t>
        </is>
      </c>
      <c r="C717" s="10" t="inlineStr">
        <is>
          <t>D12-DOC-ETE-001-T17</t>
        </is>
      </c>
      <c r="D717" s="10" t="inlineStr">
        <is>
          <t>release</t>
        </is>
      </c>
      <c r="E717" s="10" t="inlineStr">
        <is>
          <t>Definir, validar e manter: Release</t>
        </is>
      </c>
      <c r="F717" s="10" t="n"/>
      <c r="G717" s="10" t="b">
        <v>1</v>
      </c>
      <c r="H717" s="10" t="b">
        <v>1</v>
      </c>
      <c r="I717" s="10" t="inlineStr">
        <is>
          <t>DERIVED</t>
        </is>
      </c>
      <c r="J717" s="10" t="inlineStr">
        <is>
          <t>PROPOSED</t>
        </is>
      </c>
      <c r="K717" s="10" t="inlineStr">
        <is>
          <t>DERIVED</t>
        </is>
      </c>
      <c r="L717" s="10" t="inlineStr">
        <is>
          <t>baixa</t>
        </is>
      </c>
      <c r="M717" s="10" t="inlineStr">
        <is>
          <t>["D12-DOC-ETE-001.DEPLOYMENT.RELEASE"]</t>
        </is>
      </c>
    </row>
    <row r="718">
      <c r="A718" s="10" t="inlineStr">
        <is>
          <t>D12-DOC-ETE-001.ROLLBACK.CONDICAO</t>
        </is>
      </c>
      <c r="B718" s="10" t="inlineStr">
        <is>
          <t>D12-DOC-ETE-001</t>
        </is>
      </c>
      <c r="C718" s="10" t="inlineStr">
        <is>
          <t>D12-DOC-ETE-001-T18</t>
        </is>
      </c>
      <c r="D718" s="10" t="inlineStr">
        <is>
          <t>condicao</t>
        </is>
      </c>
      <c r="E718" s="10" t="inlineStr">
        <is>
          <t>Definir, validar e manter: Condicao</t>
        </is>
      </c>
      <c r="F718" s="10" t="n"/>
      <c r="G718" s="10" t="b">
        <v>1</v>
      </c>
      <c r="H718" s="10" t="b">
        <v>1</v>
      </c>
      <c r="I718" s="10" t="inlineStr">
        <is>
          <t>DERIVED</t>
        </is>
      </c>
      <c r="J718" s="10" t="inlineStr">
        <is>
          <t>PROPOSED</t>
        </is>
      </c>
      <c r="K718" s="10" t="inlineStr">
        <is>
          <t>DERIVED</t>
        </is>
      </c>
      <c r="L718" s="10" t="inlineStr">
        <is>
          <t>baixa</t>
        </is>
      </c>
      <c r="M718" s="10" t="inlineStr">
        <is>
          <t>["D12-DOC-ETE-001.ROLLBACK.CONDICAO"]</t>
        </is>
      </c>
    </row>
    <row r="719">
      <c r="A719" s="10" t="inlineStr">
        <is>
          <t>D12-DOC-ETE-001.ROLLBACK.PROCEDIMENTO</t>
        </is>
      </c>
      <c r="B719" s="10" t="inlineStr">
        <is>
          <t>D12-DOC-ETE-001</t>
        </is>
      </c>
      <c r="C719" s="10" t="inlineStr">
        <is>
          <t>D12-DOC-ETE-001-T18</t>
        </is>
      </c>
      <c r="D719" s="10" t="inlineStr">
        <is>
          <t>procedimento</t>
        </is>
      </c>
      <c r="E719" s="10" t="inlineStr">
        <is>
          <t>Definir, validar e manter: Procedimento</t>
        </is>
      </c>
      <c r="F719" s="10" t="n"/>
      <c r="G719" s="10" t="b">
        <v>1</v>
      </c>
      <c r="H719" s="10" t="b">
        <v>1</v>
      </c>
      <c r="I719" s="10" t="inlineStr">
        <is>
          <t>DERIVED</t>
        </is>
      </c>
      <c r="J719" s="10" t="inlineStr">
        <is>
          <t>PROPOSED</t>
        </is>
      </c>
      <c r="K719" s="10" t="inlineStr">
        <is>
          <t>DERIVED</t>
        </is>
      </c>
      <c r="L719" s="10" t="inlineStr">
        <is>
          <t>baixa</t>
        </is>
      </c>
      <c r="M719" s="10" t="inlineStr">
        <is>
          <t>["D12-DOC-ETE-001.ROLLBACK.PROCEDIMENTO"]</t>
        </is>
      </c>
    </row>
    <row r="720">
      <c r="A720" s="10" t="inlineStr">
        <is>
          <t>D12-DOC-ETE-001.ADR_LINKS.DECISOES_ARQUITETURAIS</t>
        </is>
      </c>
      <c r="B720" s="10" t="inlineStr">
        <is>
          <t>D12-DOC-ETE-001</t>
        </is>
      </c>
      <c r="C720" s="10" t="inlineStr">
        <is>
          <t>D12-DOC-ETE-001-T19</t>
        </is>
      </c>
      <c r="D720" s="10" t="inlineStr">
        <is>
          <t>decisoes_arquiteturais</t>
        </is>
      </c>
      <c r="E720" s="10" t="inlineStr">
        <is>
          <t>Definir, validar e manter: Decisoes Arquiteturais</t>
        </is>
      </c>
      <c r="F720" s="10" t="n"/>
      <c r="G720" s="10" t="b">
        <v>1</v>
      </c>
      <c r="H720" s="10" t="b">
        <v>1</v>
      </c>
      <c r="I720" s="10" t="inlineStr">
        <is>
          <t>FOUND</t>
        </is>
      </c>
      <c r="J720" s="10" t="inlineStr">
        <is>
          <t>DIRECT</t>
        </is>
      </c>
      <c r="K720" s="10" t="inlineStr">
        <is>
          <t>FOUND</t>
        </is>
      </c>
      <c r="L720" s="10" t="inlineStr">
        <is>
          <t>alta</t>
        </is>
      </c>
      <c r="M720" s="10" t="inlineStr">
        <is>
          <t>["D12-DOC-ETE-001.ADR_LINKS.DECISOES_ARQUITETURAIS"]</t>
        </is>
      </c>
    </row>
    <row r="721">
      <c r="A721" s="10" t="inlineStr">
        <is>
          <t>D13-DOC-DRM-001.MARKET.DEFINICAO</t>
        </is>
      </c>
      <c r="B721" s="10" t="inlineStr">
        <is>
          <t>D13-DOC-DRM-001</t>
        </is>
      </c>
      <c r="C721" s="10" t="inlineStr">
        <is>
          <t>D13-DOC-DRM-001-T01</t>
        </is>
      </c>
      <c r="D721" s="10" t="inlineStr">
        <is>
          <t>definicao</t>
        </is>
      </c>
      <c r="E721" s="10" t="inlineStr">
        <is>
          <t>Definir, validar e manter: Definicao</t>
        </is>
      </c>
      <c r="F721" s="10" t="n"/>
      <c r="G721" s="10" t="b">
        <v>1</v>
      </c>
      <c r="H721" s="10" t="b">
        <v>1</v>
      </c>
      <c r="I721" s="10" t="inlineStr">
        <is>
          <t>DERIVED</t>
        </is>
      </c>
      <c r="J721" s="10" t="inlineStr">
        <is>
          <t>PROPOSED</t>
        </is>
      </c>
      <c r="K721" s="10" t="inlineStr">
        <is>
          <t>DERIVED</t>
        </is>
      </c>
      <c r="L721" s="10" t="inlineStr">
        <is>
          <t>baixa</t>
        </is>
      </c>
      <c r="M721" s="10" t="inlineStr">
        <is>
          <t>["D13-DOC-DRM-001.MARKET.DEFINICAO"]</t>
        </is>
      </c>
    </row>
    <row r="722">
      <c r="A722" s="10" t="inlineStr">
        <is>
          <t>D13-DOC-DRM-001.MARKET.TAMANHO</t>
        </is>
      </c>
      <c r="B722" s="10" t="inlineStr">
        <is>
          <t>D13-DOC-DRM-001</t>
        </is>
      </c>
      <c r="C722" s="10" t="inlineStr">
        <is>
          <t>D13-DOC-DRM-001-T01</t>
        </is>
      </c>
      <c r="D722" s="10" t="inlineStr">
        <is>
          <t>tamanho</t>
        </is>
      </c>
      <c r="E722" s="10" t="inlineStr">
        <is>
          <t>Definir, validar e manter: Tamanho</t>
        </is>
      </c>
      <c r="F722" s="10" t="n"/>
      <c r="G722" s="10" t="b">
        <v>1</v>
      </c>
      <c r="H722" s="10" t="b">
        <v>1</v>
      </c>
      <c r="I722" s="10" t="inlineStr">
        <is>
          <t>DERIVED</t>
        </is>
      </c>
      <c r="J722" s="10" t="inlineStr">
        <is>
          <t>PROPOSED</t>
        </is>
      </c>
      <c r="K722" s="10" t="inlineStr">
        <is>
          <t>DERIVED</t>
        </is>
      </c>
      <c r="L722" s="10" t="inlineStr">
        <is>
          <t>baixa</t>
        </is>
      </c>
      <c r="M722" s="10" t="inlineStr">
        <is>
          <t>["D13-DOC-DRM-001.MARKET.TAMANHO"]</t>
        </is>
      </c>
    </row>
    <row r="723">
      <c r="A723" s="10" t="inlineStr">
        <is>
          <t>D13-DOC-DRM-001.MARKET.TENDENCIA</t>
        </is>
      </c>
      <c r="B723" s="10" t="inlineStr">
        <is>
          <t>D13-DOC-DRM-001</t>
        </is>
      </c>
      <c r="C723" s="10" t="inlineStr">
        <is>
          <t>D13-DOC-DRM-001-T01</t>
        </is>
      </c>
      <c r="D723" s="10" t="inlineStr">
        <is>
          <t>tendencia</t>
        </is>
      </c>
      <c r="E723" s="10" t="inlineStr">
        <is>
          <t>Definir, validar e manter: Tendencia</t>
        </is>
      </c>
      <c r="F723" s="10" t="n"/>
      <c r="G723" s="10" t="b">
        <v>1</v>
      </c>
      <c r="H723" s="10" t="b">
        <v>1</v>
      </c>
      <c r="I723" s="10" t="inlineStr">
        <is>
          <t>DERIVED</t>
        </is>
      </c>
      <c r="J723" s="10" t="inlineStr">
        <is>
          <t>PROPOSED</t>
        </is>
      </c>
      <c r="K723" s="10" t="inlineStr">
        <is>
          <t>DERIVED</t>
        </is>
      </c>
      <c r="L723" s="10" t="inlineStr">
        <is>
          <t>baixa</t>
        </is>
      </c>
      <c r="M723" s="10" t="inlineStr">
        <is>
          <t>["D13-DOC-DRM-001.MARKET.TENDENCIA"]</t>
        </is>
      </c>
    </row>
    <row r="724">
      <c r="A724" s="10" t="inlineStr">
        <is>
          <t>D13-DOC-DRM-001.SEGMENTS.SEGMENTO</t>
        </is>
      </c>
      <c r="B724" s="10" t="inlineStr">
        <is>
          <t>D13-DOC-DRM-001</t>
        </is>
      </c>
      <c r="C724" s="10" t="inlineStr">
        <is>
          <t>D13-DOC-DRM-001-T02</t>
        </is>
      </c>
      <c r="D724" s="10" t="inlineStr">
        <is>
          <t>segmento</t>
        </is>
      </c>
      <c r="E724" s="10" t="inlineStr">
        <is>
          <t>Definir, validar e manter: Segmento</t>
        </is>
      </c>
      <c r="F724" s="10" t="n"/>
      <c r="G724" s="10" t="b">
        <v>1</v>
      </c>
      <c r="H724" s="10" t="b">
        <v>1</v>
      </c>
      <c r="I724" s="10" t="inlineStr">
        <is>
          <t>DERIVED</t>
        </is>
      </c>
      <c r="J724" s="10" t="inlineStr">
        <is>
          <t>PROPOSED</t>
        </is>
      </c>
      <c r="K724" s="10" t="inlineStr">
        <is>
          <t>DERIVED</t>
        </is>
      </c>
      <c r="L724" s="10" t="inlineStr">
        <is>
          <t>baixa</t>
        </is>
      </c>
      <c r="M724" s="10" t="inlineStr">
        <is>
          <t>["D13-DOC-DRM-001.SEGMENTS.SEGMENTO"]</t>
        </is>
      </c>
    </row>
    <row r="725">
      <c r="A725" s="10" t="inlineStr">
        <is>
          <t>D13-DOC-DRM-001.SEGMENTS.NECESSIDADE</t>
        </is>
      </c>
      <c r="B725" s="10" t="inlineStr">
        <is>
          <t>D13-DOC-DRM-001</t>
        </is>
      </c>
      <c r="C725" s="10" t="inlineStr">
        <is>
          <t>D13-DOC-DRM-001-T02</t>
        </is>
      </c>
      <c r="D725" s="10" t="inlineStr">
        <is>
          <t>necessidade</t>
        </is>
      </c>
      <c r="E725" s="10" t="inlineStr">
        <is>
          <t>Definir, validar e manter: Necessidade</t>
        </is>
      </c>
      <c r="F725" s="10" t="n"/>
      <c r="G725" s="10" t="b">
        <v>1</v>
      </c>
      <c r="H725" s="10" t="b">
        <v>1</v>
      </c>
      <c r="I725" s="10" t="inlineStr">
        <is>
          <t>DERIVED</t>
        </is>
      </c>
      <c r="J725" s="10" t="inlineStr">
        <is>
          <t>PROPOSED</t>
        </is>
      </c>
      <c r="K725" s="10" t="inlineStr">
        <is>
          <t>DERIVED</t>
        </is>
      </c>
      <c r="L725" s="10" t="inlineStr">
        <is>
          <t>baixa</t>
        </is>
      </c>
      <c r="M725" s="10" t="inlineStr">
        <is>
          <t>["D13-DOC-DRM-001.SEGMENTS.NECESSIDADE"]</t>
        </is>
      </c>
    </row>
    <row r="726">
      <c r="A726" s="10" t="inlineStr">
        <is>
          <t>D13-DOC-DRM-001.ICP.PERFIL</t>
        </is>
      </c>
      <c r="B726" s="10" t="inlineStr">
        <is>
          <t>D13-DOC-DRM-001</t>
        </is>
      </c>
      <c r="C726" s="10" t="inlineStr">
        <is>
          <t>D13-DOC-DRM-001-T03</t>
        </is>
      </c>
      <c r="D726" s="10" t="inlineStr">
        <is>
          <t>perfil</t>
        </is>
      </c>
      <c r="E726" s="10" t="inlineStr">
        <is>
          <t>Definir, validar e manter: Perfil</t>
        </is>
      </c>
      <c r="F726" s="10" t="n"/>
      <c r="G726" s="10" t="b">
        <v>1</v>
      </c>
      <c r="H726" s="10" t="b">
        <v>1</v>
      </c>
      <c r="I726" s="10" t="inlineStr">
        <is>
          <t>DERIVED</t>
        </is>
      </c>
      <c r="J726" s="10" t="inlineStr">
        <is>
          <t>PROPOSED</t>
        </is>
      </c>
      <c r="K726" s="10" t="inlineStr">
        <is>
          <t>DERIVED</t>
        </is>
      </c>
      <c r="L726" s="10" t="inlineStr">
        <is>
          <t>baixa</t>
        </is>
      </c>
      <c r="M726" s="10" t="inlineStr">
        <is>
          <t>["D13-DOC-DRM-001.ICP.PERFIL"]</t>
        </is>
      </c>
    </row>
    <row r="727">
      <c r="A727" s="10" t="inlineStr">
        <is>
          <t>D13-DOC-DRM-001.ICP.CRITERIOS</t>
        </is>
      </c>
      <c r="B727" s="10" t="inlineStr">
        <is>
          <t>D13-DOC-DRM-001</t>
        </is>
      </c>
      <c r="C727" s="10" t="inlineStr">
        <is>
          <t>D13-DOC-DRM-001-T03</t>
        </is>
      </c>
      <c r="D727" s="10" t="inlineStr">
        <is>
          <t>criterios</t>
        </is>
      </c>
      <c r="E727" s="10" t="inlineStr">
        <is>
          <t>Definir, validar e manter: Criterios</t>
        </is>
      </c>
      <c r="F727" s="10" t="n"/>
      <c r="G727" s="10" t="b">
        <v>1</v>
      </c>
      <c r="H727" s="10" t="b">
        <v>1</v>
      </c>
      <c r="I727" s="10" t="inlineStr">
        <is>
          <t>DERIVED</t>
        </is>
      </c>
      <c r="J727" s="10" t="inlineStr">
        <is>
          <t>PROPOSED</t>
        </is>
      </c>
      <c r="K727" s="10" t="inlineStr">
        <is>
          <t>DERIVED</t>
        </is>
      </c>
      <c r="L727" s="10" t="inlineStr">
        <is>
          <t>baixa</t>
        </is>
      </c>
      <c r="M727" s="10" t="inlineStr">
        <is>
          <t>["D13-DOC-DRM-001.ICP.CRITERIOS"]</t>
        </is>
      </c>
    </row>
    <row r="728">
      <c r="A728" s="10" t="inlineStr">
        <is>
          <t>D13-DOC-DRM-001.ICP.EXCLUSOES</t>
        </is>
      </c>
      <c r="B728" s="10" t="inlineStr">
        <is>
          <t>D13-DOC-DRM-001</t>
        </is>
      </c>
      <c r="C728" s="10" t="inlineStr">
        <is>
          <t>D13-DOC-DRM-001-T03</t>
        </is>
      </c>
      <c r="D728" s="10" t="inlineStr">
        <is>
          <t>exclusoes</t>
        </is>
      </c>
      <c r="E728" s="10" t="inlineStr">
        <is>
          <t>Definir, validar e manter: Exclusoes</t>
        </is>
      </c>
      <c r="F728" s="10" t="n"/>
      <c r="G728" s="10" t="b">
        <v>1</v>
      </c>
      <c r="H728" s="10" t="b">
        <v>1</v>
      </c>
      <c r="I728" s="10" t="inlineStr">
        <is>
          <t>DERIVED</t>
        </is>
      </c>
      <c r="J728" s="10" t="inlineStr">
        <is>
          <t>PROPOSED</t>
        </is>
      </c>
      <c r="K728" s="10" t="inlineStr">
        <is>
          <t>DERIVED</t>
        </is>
      </c>
      <c r="L728" s="10" t="inlineStr">
        <is>
          <t>baixa</t>
        </is>
      </c>
      <c r="M728" s="10" t="inlineStr">
        <is>
          <t>["D13-DOC-DRM-001.ICP.EXCLUSOES"]</t>
        </is>
      </c>
    </row>
    <row r="729">
      <c r="A729" s="10" t="inlineStr">
        <is>
          <t>D13-DOC-DRM-001.DEMAND.SINAIS</t>
        </is>
      </c>
      <c r="B729" s="10" t="inlineStr">
        <is>
          <t>D13-DOC-DRM-001</t>
        </is>
      </c>
      <c r="C729" s="10" t="inlineStr">
        <is>
          <t>D13-DOC-DRM-001-T04</t>
        </is>
      </c>
      <c r="D729" s="10" t="inlineStr">
        <is>
          <t>sinais</t>
        </is>
      </c>
      <c r="E729" s="10" t="inlineStr">
        <is>
          <t>Definir, validar e manter: Sinais</t>
        </is>
      </c>
      <c r="F729" s="10" t="n"/>
      <c r="G729" s="10" t="b">
        <v>1</v>
      </c>
      <c r="H729" s="10" t="b">
        <v>1</v>
      </c>
      <c r="I729" s="10" t="inlineStr">
        <is>
          <t>DERIVED</t>
        </is>
      </c>
      <c r="J729" s="10" t="inlineStr">
        <is>
          <t>PROPOSED</t>
        </is>
      </c>
      <c r="K729" s="10" t="inlineStr">
        <is>
          <t>DERIVED</t>
        </is>
      </c>
      <c r="L729" s="10" t="inlineStr">
        <is>
          <t>baixa</t>
        </is>
      </c>
      <c r="M729" s="10" t="inlineStr">
        <is>
          <t>["D13-DOC-DRM-001.DEMAND.SINAIS"]</t>
        </is>
      </c>
    </row>
    <row r="730">
      <c r="A730" s="10" t="inlineStr">
        <is>
          <t>D13-DOC-DRM-001.DEMAND.PROBLEMAS</t>
        </is>
      </c>
      <c r="B730" s="10" t="inlineStr">
        <is>
          <t>D13-DOC-DRM-001</t>
        </is>
      </c>
      <c r="C730" s="10" t="inlineStr">
        <is>
          <t>D13-DOC-DRM-001-T04</t>
        </is>
      </c>
      <c r="D730" s="10" t="inlineStr">
        <is>
          <t>problemas</t>
        </is>
      </c>
      <c r="E730" s="10" t="inlineStr">
        <is>
          <t>Definir, validar e manter: Problemas</t>
        </is>
      </c>
      <c r="F730" s="10" t="n"/>
      <c r="G730" s="10" t="b">
        <v>1</v>
      </c>
      <c r="H730" s="10" t="b">
        <v>1</v>
      </c>
      <c r="I730" s="10" t="inlineStr">
        <is>
          <t>DERIVED</t>
        </is>
      </c>
      <c r="J730" s="10" t="inlineStr">
        <is>
          <t>PROPOSED</t>
        </is>
      </c>
      <c r="K730" s="10" t="inlineStr">
        <is>
          <t>DERIVED</t>
        </is>
      </c>
      <c r="L730" s="10" t="inlineStr">
        <is>
          <t>baixa</t>
        </is>
      </c>
      <c r="M730" s="10" t="inlineStr">
        <is>
          <t>["D13-DOC-DRM-001.DEMAND.PROBLEMAS"]</t>
        </is>
      </c>
    </row>
    <row r="731">
      <c r="A731" s="10" t="inlineStr">
        <is>
          <t>D13-DOC-DRM-001.DEMAND.PROCURA</t>
        </is>
      </c>
      <c r="B731" s="10" t="inlineStr">
        <is>
          <t>D13-DOC-DRM-001</t>
        </is>
      </c>
      <c r="C731" s="10" t="inlineStr">
        <is>
          <t>D13-DOC-DRM-001-T04</t>
        </is>
      </c>
      <c r="D731" s="10" t="inlineStr">
        <is>
          <t>procura</t>
        </is>
      </c>
      <c r="E731" s="10" t="inlineStr">
        <is>
          <t>Definir, validar e manter: Procura</t>
        </is>
      </c>
      <c r="F731" s="10" t="n"/>
      <c r="G731" s="10" t="b">
        <v>1</v>
      </c>
      <c r="H731" s="10" t="b">
        <v>1</v>
      </c>
      <c r="I731" s="10" t="inlineStr">
        <is>
          <t>DERIVED</t>
        </is>
      </c>
      <c r="J731" s="10" t="inlineStr">
        <is>
          <t>PROPOSED</t>
        </is>
      </c>
      <c r="K731" s="10" t="inlineStr">
        <is>
          <t>DERIVED</t>
        </is>
      </c>
      <c r="L731" s="10" t="inlineStr">
        <is>
          <t>baixa</t>
        </is>
      </c>
      <c r="M731" s="10" t="inlineStr">
        <is>
          <t>["D13-DOC-DRM-001.DEMAND.PROCURA"]</t>
        </is>
      </c>
    </row>
    <row r="732">
      <c r="A732" s="10" t="inlineStr">
        <is>
          <t>D13-DOC-DRM-001.ALTERNATIVES.CONCORRENTES</t>
        </is>
      </c>
      <c r="B732" s="10" t="inlineStr">
        <is>
          <t>D13-DOC-DRM-001</t>
        </is>
      </c>
      <c r="C732" s="10" t="inlineStr">
        <is>
          <t>D13-DOC-DRM-001-T05</t>
        </is>
      </c>
      <c r="D732" s="10" t="inlineStr">
        <is>
          <t>concorrentes</t>
        </is>
      </c>
      <c r="E732" s="10" t="inlineStr">
        <is>
          <t>Definir, validar e manter: Concorrentes</t>
        </is>
      </c>
      <c r="F732" s="10" t="n"/>
      <c r="G732" s="10" t="b">
        <v>1</v>
      </c>
      <c r="H732" s="10" t="b">
        <v>1</v>
      </c>
      <c r="I732" s="10" t="inlineStr">
        <is>
          <t>DERIVED</t>
        </is>
      </c>
      <c r="J732" s="10" t="inlineStr">
        <is>
          <t>PROPOSED</t>
        </is>
      </c>
      <c r="K732" s="10" t="inlineStr">
        <is>
          <t>DERIVED</t>
        </is>
      </c>
      <c r="L732" s="10" t="inlineStr">
        <is>
          <t>baixa</t>
        </is>
      </c>
      <c r="M732" s="10" t="inlineStr">
        <is>
          <t>["D13-DOC-DRM-001.ALTERNATIVES.CONCORRENTES"]</t>
        </is>
      </c>
    </row>
    <row r="733">
      <c r="A733" s="10" t="inlineStr">
        <is>
          <t>D13-DOC-DRM-001.ALTERNATIVES.SUBSTITUTOS</t>
        </is>
      </c>
      <c r="B733" s="10" t="inlineStr">
        <is>
          <t>D13-DOC-DRM-001</t>
        </is>
      </c>
      <c r="C733" s="10" t="inlineStr">
        <is>
          <t>D13-DOC-DRM-001-T05</t>
        </is>
      </c>
      <c r="D733" s="10" t="inlineStr">
        <is>
          <t>substitutos</t>
        </is>
      </c>
      <c r="E733" s="10" t="inlineStr">
        <is>
          <t>Definir, validar e manter: Substitutos</t>
        </is>
      </c>
      <c r="F733" s="10" t="n"/>
      <c r="G733" s="10" t="b">
        <v>1</v>
      </c>
      <c r="H733" s="10" t="b">
        <v>1</v>
      </c>
      <c r="I733" s="10" t="inlineStr">
        <is>
          <t>DERIVED</t>
        </is>
      </c>
      <c r="J733" s="10" t="inlineStr">
        <is>
          <t>PROPOSED</t>
        </is>
      </c>
      <c r="K733" s="10" t="inlineStr">
        <is>
          <t>DERIVED</t>
        </is>
      </c>
      <c r="L733" s="10" t="inlineStr">
        <is>
          <t>baixa</t>
        </is>
      </c>
      <c r="M733" s="10" t="inlineStr">
        <is>
          <t>["D13-DOC-DRM-001.ALTERNATIVES.SUBSTITUTOS"]</t>
        </is>
      </c>
    </row>
    <row r="734">
      <c r="A734" s="10" t="inlineStr">
        <is>
          <t>D13-DOC-DRM-001.POSITIONING.CATEGORIA</t>
        </is>
      </c>
      <c r="B734" s="10" t="inlineStr">
        <is>
          <t>D13-DOC-DRM-001</t>
        </is>
      </c>
      <c r="C734" s="10" t="inlineStr">
        <is>
          <t>D13-DOC-DRM-001-T06</t>
        </is>
      </c>
      <c r="D734" s="10" t="inlineStr">
        <is>
          <t>categoria</t>
        </is>
      </c>
      <c r="E734" s="10" t="inlineStr">
        <is>
          <t>Definir, validar e manter: Categoria</t>
        </is>
      </c>
      <c r="F734" s="10" t="n"/>
      <c r="G734" s="10" t="b">
        <v>1</v>
      </c>
      <c r="H734" s="10" t="b">
        <v>1</v>
      </c>
      <c r="I734" s="10" t="inlineStr">
        <is>
          <t>FOUND</t>
        </is>
      </c>
      <c r="J734" s="10" t="inlineStr">
        <is>
          <t>DIRECT</t>
        </is>
      </c>
      <c r="K734" s="10" t="inlineStr">
        <is>
          <t>FOUND</t>
        </is>
      </c>
      <c r="L734" s="10" t="inlineStr">
        <is>
          <t>alta</t>
        </is>
      </c>
      <c r="M734" s="10" t="inlineStr">
        <is>
          <t>["D13-DOC-DRM-001.POSITIONING.CATEGORIA"]</t>
        </is>
      </c>
    </row>
    <row r="735">
      <c r="A735" s="10" t="inlineStr">
        <is>
          <t>D13-DOC-DRM-001.POSITIONING.DIFERENCIACAO</t>
        </is>
      </c>
      <c r="B735" s="10" t="inlineStr">
        <is>
          <t>D13-DOC-DRM-001</t>
        </is>
      </c>
      <c r="C735" s="10" t="inlineStr">
        <is>
          <t>D13-DOC-DRM-001-T06</t>
        </is>
      </c>
      <c r="D735" s="10" t="inlineStr">
        <is>
          <t>diferenciacao</t>
        </is>
      </c>
      <c r="E735" s="10" t="inlineStr">
        <is>
          <t>Definir, validar e manter: Diferenciacao</t>
        </is>
      </c>
      <c r="F735" s="10" t="n"/>
      <c r="G735" s="10" t="b">
        <v>1</v>
      </c>
      <c r="H735" s="10" t="b">
        <v>1</v>
      </c>
      <c r="I735" s="10" t="inlineStr">
        <is>
          <t>DERIVED</t>
        </is>
      </c>
      <c r="J735" s="10" t="inlineStr">
        <is>
          <t>PROPOSED</t>
        </is>
      </c>
      <c r="K735" s="10" t="inlineStr">
        <is>
          <t>DERIVED</t>
        </is>
      </c>
      <c r="L735" s="10" t="inlineStr">
        <is>
          <t>baixa</t>
        </is>
      </c>
      <c r="M735" s="10" t="inlineStr">
        <is>
          <t>["D13-DOC-DRM-001.POSITIONING.DIFERENCIACAO"]</t>
        </is>
      </c>
    </row>
    <row r="736">
      <c r="A736" s="10" t="inlineStr">
        <is>
          <t>D13-DOC-DRM-001.MESSAGING.PROBLEMA</t>
        </is>
      </c>
      <c r="B736" s="10" t="inlineStr">
        <is>
          <t>D13-DOC-DRM-001</t>
        </is>
      </c>
      <c r="C736" s="10" t="inlineStr">
        <is>
          <t>D13-DOC-DRM-001-T07</t>
        </is>
      </c>
      <c r="D736" s="10" t="inlineStr">
        <is>
          <t>problema</t>
        </is>
      </c>
      <c r="E736" s="10" t="inlineStr">
        <is>
          <t>Definir, validar e manter: Problema</t>
        </is>
      </c>
      <c r="F736" s="10" t="n"/>
      <c r="G736" s="10" t="b">
        <v>1</v>
      </c>
      <c r="H736" s="10" t="b">
        <v>1</v>
      </c>
      <c r="I736" s="10" t="inlineStr">
        <is>
          <t>DERIVED</t>
        </is>
      </c>
      <c r="J736" s="10" t="inlineStr">
        <is>
          <t>PROPOSED</t>
        </is>
      </c>
      <c r="K736" s="10" t="inlineStr">
        <is>
          <t>DERIVED</t>
        </is>
      </c>
      <c r="L736" s="10" t="inlineStr">
        <is>
          <t>baixa</t>
        </is>
      </c>
      <c r="M736" s="10" t="inlineStr">
        <is>
          <t>["D13-DOC-DRM-001.MESSAGING.PROBLEMA"]</t>
        </is>
      </c>
    </row>
    <row r="737">
      <c r="A737" s="10" t="inlineStr">
        <is>
          <t>D13-DOC-DRM-001.MESSAGING.PROMESSA</t>
        </is>
      </c>
      <c r="B737" s="10" t="inlineStr">
        <is>
          <t>D13-DOC-DRM-001</t>
        </is>
      </c>
      <c r="C737" s="10" t="inlineStr">
        <is>
          <t>D13-DOC-DRM-001-T07</t>
        </is>
      </c>
      <c r="D737" s="10" t="inlineStr">
        <is>
          <t>promessa</t>
        </is>
      </c>
      <c r="E737" s="10" t="inlineStr">
        <is>
          <t>Definir, validar e manter: Promessa</t>
        </is>
      </c>
      <c r="F737" s="10" t="n"/>
      <c r="G737" s="10" t="b">
        <v>1</v>
      </c>
      <c r="H737" s="10" t="b">
        <v>1</v>
      </c>
      <c r="I737" s="10" t="inlineStr">
        <is>
          <t>FOUND</t>
        </is>
      </c>
      <c r="J737" s="10" t="inlineStr">
        <is>
          <t>DIRECT</t>
        </is>
      </c>
      <c r="K737" s="10" t="inlineStr">
        <is>
          <t>FOUND</t>
        </is>
      </c>
      <c r="L737" s="10" t="inlineStr">
        <is>
          <t>alta</t>
        </is>
      </c>
      <c r="M737" s="10" t="inlineStr">
        <is>
          <t>["D13-DOC-DRM-001.MESSAGING.PROMESSA"]</t>
        </is>
      </c>
    </row>
    <row r="738">
      <c r="A738" s="10" t="inlineStr">
        <is>
          <t>D13-DOC-DRM-001.MESSAGING.PROVA</t>
        </is>
      </c>
      <c r="B738" s="10" t="inlineStr">
        <is>
          <t>D13-DOC-DRM-001</t>
        </is>
      </c>
      <c r="C738" s="10" t="inlineStr">
        <is>
          <t>D13-DOC-DRM-001-T07</t>
        </is>
      </c>
      <c r="D738" s="10" t="inlineStr">
        <is>
          <t>prova</t>
        </is>
      </c>
      <c r="E738" s="10" t="inlineStr">
        <is>
          <t>Definir, validar e manter: Prova</t>
        </is>
      </c>
      <c r="F738" s="10" t="n"/>
      <c r="G738" s="10" t="b">
        <v>1</v>
      </c>
      <c r="H738" s="10" t="b">
        <v>1</v>
      </c>
      <c r="I738" s="10" t="inlineStr">
        <is>
          <t>DERIVED</t>
        </is>
      </c>
      <c r="J738" s="10" t="inlineStr">
        <is>
          <t>PROPOSED</t>
        </is>
      </c>
      <c r="K738" s="10" t="inlineStr">
        <is>
          <t>DERIVED</t>
        </is>
      </c>
      <c r="L738" s="10" t="inlineStr">
        <is>
          <t>baixa</t>
        </is>
      </c>
      <c r="M738" s="10" t="inlineStr">
        <is>
          <t>["D13-DOC-DRM-001.MESSAGING.PROVA"]</t>
        </is>
      </c>
    </row>
    <row r="739">
      <c r="A739" s="10" t="inlineStr">
        <is>
          <t>D13-DOC-DRM-001.CHANNELS.ORGANICO</t>
        </is>
      </c>
      <c r="B739" s="10" t="inlineStr">
        <is>
          <t>D13-DOC-DRM-001</t>
        </is>
      </c>
      <c r="C739" s="10" t="inlineStr">
        <is>
          <t>D13-DOC-DRM-001-T08</t>
        </is>
      </c>
      <c r="D739" s="10" t="inlineStr">
        <is>
          <t>organico</t>
        </is>
      </c>
      <c r="E739" s="10" t="inlineStr">
        <is>
          <t>Definir, validar e manter: Organico</t>
        </is>
      </c>
      <c r="F739" s="10" t="n"/>
      <c r="G739" s="10" t="b">
        <v>1</v>
      </c>
      <c r="H739" s="10" t="b">
        <v>1</v>
      </c>
      <c r="I739" s="10" t="inlineStr">
        <is>
          <t>DERIVED</t>
        </is>
      </c>
      <c r="J739" s="10" t="inlineStr">
        <is>
          <t>PROPOSED</t>
        </is>
      </c>
      <c r="K739" s="10" t="inlineStr">
        <is>
          <t>DERIVED</t>
        </is>
      </c>
      <c r="L739" s="10" t="inlineStr">
        <is>
          <t>baixa</t>
        </is>
      </c>
      <c r="M739" s="10" t="inlineStr">
        <is>
          <t>["D13-DOC-DRM-001.CHANNELS.ORGANICO"]</t>
        </is>
      </c>
    </row>
    <row r="740">
      <c r="A740" s="10" t="inlineStr">
        <is>
          <t>D13-DOC-DRM-001.CHANNELS.PAGO</t>
        </is>
      </c>
      <c r="B740" s="10" t="inlineStr">
        <is>
          <t>D13-DOC-DRM-001</t>
        </is>
      </c>
      <c r="C740" s="10" t="inlineStr">
        <is>
          <t>D13-DOC-DRM-001-T08</t>
        </is>
      </c>
      <c r="D740" s="10" t="inlineStr">
        <is>
          <t>pago</t>
        </is>
      </c>
      <c r="E740" s="10" t="inlineStr">
        <is>
          <t>Definir, validar e manter: Pago</t>
        </is>
      </c>
      <c r="F740" s="10" t="n"/>
      <c r="G740" s="10" t="b">
        <v>1</v>
      </c>
      <c r="H740" s="10" t="b">
        <v>1</v>
      </c>
      <c r="I740" s="10" t="inlineStr">
        <is>
          <t>DERIVED</t>
        </is>
      </c>
      <c r="J740" s="10" t="inlineStr">
        <is>
          <t>PROPOSED</t>
        </is>
      </c>
      <c r="K740" s="10" t="inlineStr">
        <is>
          <t>DERIVED</t>
        </is>
      </c>
      <c r="L740" s="10" t="inlineStr">
        <is>
          <t>baixa</t>
        </is>
      </c>
      <c r="M740" s="10" t="inlineStr">
        <is>
          <t>["D13-DOC-DRM-001.CHANNELS.PAGO"]</t>
        </is>
      </c>
    </row>
    <row r="741">
      <c r="A741" s="10" t="inlineStr">
        <is>
          <t>D13-DOC-DRM-001.CHANNELS.PARCERIA</t>
        </is>
      </c>
      <c r="B741" s="10" t="inlineStr">
        <is>
          <t>D13-DOC-DRM-001</t>
        </is>
      </c>
      <c r="C741" s="10" t="inlineStr">
        <is>
          <t>D13-DOC-DRM-001-T08</t>
        </is>
      </c>
      <c r="D741" s="10" t="inlineStr">
        <is>
          <t>parceria</t>
        </is>
      </c>
      <c r="E741" s="10" t="inlineStr">
        <is>
          <t>Definir, validar e manter: Parceria</t>
        </is>
      </c>
      <c r="F741" s="10" t="n"/>
      <c r="G741" s="10" t="b">
        <v>1</v>
      </c>
      <c r="H741" s="10" t="b">
        <v>1</v>
      </c>
      <c r="I741" s="10" t="inlineStr">
        <is>
          <t>DERIVED</t>
        </is>
      </c>
      <c r="J741" s="10" t="inlineStr">
        <is>
          <t>PROPOSED</t>
        </is>
      </c>
      <c r="K741" s="10" t="inlineStr">
        <is>
          <t>DERIVED</t>
        </is>
      </c>
      <c r="L741" s="10" t="inlineStr">
        <is>
          <t>baixa</t>
        </is>
      </c>
      <c r="M741" s="10" t="inlineStr">
        <is>
          <t>["D13-DOC-DRM-001.CHANNELS.PARCERIA"]</t>
        </is>
      </c>
    </row>
    <row r="742">
      <c r="A742" s="10" t="inlineStr">
        <is>
          <t>D13-DOC-DRM-001.ACQUISITION.ESTRATEGIAS</t>
        </is>
      </c>
      <c r="B742" s="10" t="inlineStr">
        <is>
          <t>D13-DOC-DRM-001</t>
        </is>
      </c>
      <c r="C742" s="10" t="inlineStr">
        <is>
          <t>D13-DOC-DRM-001-T09</t>
        </is>
      </c>
      <c r="D742" s="10" t="inlineStr">
        <is>
          <t>estrategias</t>
        </is>
      </c>
      <c r="E742" s="10" t="inlineStr">
        <is>
          <t>Definir, validar e manter: Estrategias</t>
        </is>
      </c>
      <c r="F742" s="10" t="n"/>
      <c r="G742" s="10" t="b">
        <v>1</v>
      </c>
      <c r="H742" s="10" t="b">
        <v>1</v>
      </c>
      <c r="I742" s="10" t="inlineStr">
        <is>
          <t>DERIVED</t>
        </is>
      </c>
      <c r="J742" s="10" t="inlineStr">
        <is>
          <t>PROPOSED</t>
        </is>
      </c>
      <c r="K742" s="10" t="inlineStr">
        <is>
          <t>DERIVED</t>
        </is>
      </c>
      <c r="L742" s="10" t="inlineStr">
        <is>
          <t>baixa</t>
        </is>
      </c>
      <c r="M742" s="10" t="inlineStr">
        <is>
          <t>["D13-DOC-DRM-001.ACQUISITION.ESTRATEGIAS"]</t>
        </is>
      </c>
    </row>
    <row r="743">
      <c r="A743" s="10" t="inlineStr">
        <is>
          <t>D13-DOC-DRM-001.PRICING_SIGNALS.DISPOSICAO_A_PAGAR</t>
        </is>
      </c>
      <c r="B743" s="10" t="inlineStr">
        <is>
          <t>D13-DOC-DRM-001</t>
        </is>
      </c>
      <c r="C743" s="10" t="inlineStr">
        <is>
          <t>D13-DOC-DRM-001-T10</t>
        </is>
      </c>
      <c r="D743" s="10" t="inlineStr">
        <is>
          <t>disposicao_a_pagar</t>
        </is>
      </c>
      <c r="E743" s="10" t="inlineStr">
        <is>
          <t>Definir, validar e manter: Disposicao A Pagar</t>
        </is>
      </c>
      <c r="F743" s="10" t="n"/>
      <c r="G743" s="10" t="b">
        <v>1</v>
      </c>
      <c r="H743" s="10" t="b">
        <v>1</v>
      </c>
      <c r="I743" s="10" t="inlineStr">
        <is>
          <t>DERIVED</t>
        </is>
      </c>
      <c r="J743" s="10" t="inlineStr">
        <is>
          <t>PROPOSED</t>
        </is>
      </c>
      <c r="K743" s="10" t="inlineStr">
        <is>
          <t>DERIVED</t>
        </is>
      </c>
      <c r="L743" s="10" t="inlineStr">
        <is>
          <t>baixa</t>
        </is>
      </c>
      <c r="M743" s="10" t="inlineStr">
        <is>
          <t>["D13-DOC-DRM-001.PRICING_SIGNALS.DISPOSICAO_A_PAGAR"]</t>
        </is>
      </c>
    </row>
    <row r="744">
      <c r="A744" s="10" t="inlineStr">
        <is>
          <t>D13-DOC-DRM-001.PRICING_SIGNALS.BENCHMARKS</t>
        </is>
      </c>
      <c r="B744" s="10" t="inlineStr">
        <is>
          <t>D13-DOC-DRM-001</t>
        </is>
      </c>
      <c r="C744" s="10" t="inlineStr">
        <is>
          <t>D13-DOC-DRM-001-T10</t>
        </is>
      </c>
      <c r="D744" s="10" t="inlineStr">
        <is>
          <t>benchmarks</t>
        </is>
      </c>
      <c r="E744" s="10" t="inlineStr">
        <is>
          <t>Definir, validar e manter: Benchmarks</t>
        </is>
      </c>
      <c r="F744" s="10" t="n"/>
      <c r="G744" s="10" t="b">
        <v>1</v>
      </c>
      <c r="H744" s="10" t="b">
        <v>1</v>
      </c>
      <c r="I744" s="10" t="inlineStr">
        <is>
          <t>DERIVED</t>
        </is>
      </c>
      <c r="J744" s="10" t="inlineStr">
        <is>
          <t>PROPOSED</t>
        </is>
      </c>
      <c r="K744" s="10" t="inlineStr">
        <is>
          <t>DERIVED</t>
        </is>
      </c>
      <c r="L744" s="10" t="inlineStr">
        <is>
          <t>baixa</t>
        </is>
      </c>
      <c r="M744" s="10" t="inlineStr">
        <is>
          <t>["D13-DOC-DRM-001.PRICING_SIGNALS.BENCHMARKS"]</t>
        </is>
      </c>
    </row>
    <row r="745">
      <c r="A745" s="10" t="inlineStr">
        <is>
          <t>D13-DOC-DRM-001.EVIDENCE.FONTES</t>
        </is>
      </c>
      <c r="B745" s="10" t="inlineStr">
        <is>
          <t>D13-DOC-DRM-001</t>
        </is>
      </c>
      <c r="C745" s="10" t="inlineStr">
        <is>
          <t>D13-DOC-DRM-001-T11</t>
        </is>
      </c>
      <c r="D745" s="10" t="inlineStr">
        <is>
          <t>fontes</t>
        </is>
      </c>
      <c r="E745" s="10" t="inlineStr">
        <is>
          <t>Definir, validar e manter: Fontes</t>
        </is>
      </c>
      <c r="F745" s="10" t="n"/>
      <c r="G745" s="10" t="b">
        <v>1</v>
      </c>
      <c r="H745" s="10" t="b">
        <v>1</v>
      </c>
      <c r="I745" s="10" t="inlineStr">
        <is>
          <t>DERIVED</t>
        </is>
      </c>
      <c r="J745" s="10" t="inlineStr">
        <is>
          <t>PROPOSED</t>
        </is>
      </c>
      <c r="K745" s="10" t="inlineStr">
        <is>
          <t>DERIVED</t>
        </is>
      </c>
      <c r="L745" s="10" t="inlineStr">
        <is>
          <t>baixa</t>
        </is>
      </c>
      <c r="M745" s="10" t="inlineStr">
        <is>
          <t>["D13-DOC-DRM-001.EVIDENCE.FONTES"]</t>
        </is>
      </c>
    </row>
    <row r="746">
      <c r="A746" s="10" t="inlineStr">
        <is>
          <t>D13-DOC-DRM-001.EVIDENCE.ESTUDOS</t>
        </is>
      </c>
      <c r="B746" s="10" t="inlineStr">
        <is>
          <t>D13-DOC-DRM-001</t>
        </is>
      </c>
      <c r="C746" s="10" t="inlineStr">
        <is>
          <t>D13-DOC-DRM-001-T11</t>
        </is>
      </c>
      <c r="D746" s="10" t="inlineStr">
        <is>
          <t>estudos</t>
        </is>
      </c>
      <c r="E746" s="10" t="inlineStr">
        <is>
          <t>Definir, validar e manter: Estudos</t>
        </is>
      </c>
      <c r="F746" s="10" t="n"/>
      <c r="G746" s="10" t="b">
        <v>1</v>
      </c>
      <c r="H746" s="10" t="b">
        <v>1</v>
      </c>
      <c r="I746" s="10" t="inlineStr">
        <is>
          <t>DERIVED</t>
        </is>
      </c>
      <c r="J746" s="10" t="inlineStr">
        <is>
          <t>PROPOSED</t>
        </is>
      </c>
      <c r="K746" s="10" t="inlineStr">
        <is>
          <t>DERIVED</t>
        </is>
      </c>
      <c r="L746" s="10" t="inlineStr">
        <is>
          <t>baixa</t>
        </is>
      </c>
      <c r="M746" s="10" t="inlineStr">
        <is>
          <t>["D13-DOC-DRM-001.EVIDENCE.ESTUDOS"]</t>
        </is>
      </c>
    </row>
    <row r="747">
      <c r="A747" s="10" t="inlineStr">
        <is>
          <t>D13-DOC-DRM-001.RISKS.RISCOS_DE_MERCADO</t>
        </is>
      </c>
      <c r="B747" s="10" t="inlineStr">
        <is>
          <t>D13-DOC-DRM-001</t>
        </is>
      </c>
      <c r="C747" s="10" t="inlineStr">
        <is>
          <t>D13-DOC-DRM-001-T12</t>
        </is>
      </c>
      <c r="D747" s="10" t="inlineStr">
        <is>
          <t>riscos_de_mercado</t>
        </is>
      </c>
      <c r="E747" s="10" t="inlineStr">
        <is>
          <t>Definir, validar e manter: Riscos De Mercado</t>
        </is>
      </c>
      <c r="F747" s="10" t="n"/>
      <c r="G747" s="10" t="b">
        <v>1</v>
      </c>
      <c r="H747" s="10" t="b">
        <v>1</v>
      </c>
      <c r="I747" s="10" t="inlineStr">
        <is>
          <t>DERIVED</t>
        </is>
      </c>
      <c r="J747" s="10" t="inlineStr">
        <is>
          <t>PROPOSED</t>
        </is>
      </c>
      <c r="K747" s="10" t="inlineStr">
        <is>
          <t>DERIVED</t>
        </is>
      </c>
      <c r="L747" s="10" t="inlineStr">
        <is>
          <t>baixa</t>
        </is>
      </c>
      <c r="M747" s="10" t="inlineStr">
        <is>
          <t>["D13-DOC-DRM-001.RISKS.RISCOS_DE_MERCADO"]</t>
        </is>
      </c>
    </row>
    <row r="748">
      <c r="A748" s="10" t="inlineStr">
        <is>
          <t>D13-DOC-GTM-001.OBJECTIVES.OBJETIVO_DE_LANCAMENTO</t>
        </is>
      </c>
      <c r="B748" s="10" t="inlineStr">
        <is>
          <t>D13-DOC-GTM-001</t>
        </is>
      </c>
      <c r="C748" s="10" t="inlineStr">
        <is>
          <t>D13-DOC-GTM-001-T01</t>
        </is>
      </c>
      <c r="D748" s="10" t="inlineStr">
        <is>
          <t>objetivo_de_lancamento</t>
        </is>
      </c>
      <c r="E748" s="10" t="inlineStr">
        <is>
          <t>Definir, validar e manter: Objetivo De Lancamento</t>
        </is>
      </c>
      <c r="F748" s="10" t="n"/>
      <c r="G748" s="10" t="b">
        <v>1</v>
      </c>
      <c r="H748" s="10" t="b">
        <v>1</v>
      </c>
      <c r="I748" s="10" t="inlineStr">
        <is>
          <t>DERIVED</t>
        </is>
      </c>
      <c r="J748" s="10" t="inlineStr">
        <is>
          <t>PROPOSED</t>
        </is>
      </c>
      <c r="K748" s="10" t="inlineStr">
        <is>
          <t>DERIVED</t>
        </is>
      </c>
      <c r="L748" s="10" t="inlineStr">
        <is>
          <t>baixa</t>
        </is>
      </c>
      <c r="M748" s="10" t="inlineStr">
        <is>
          <t>["D13-DOC-GTM-001.OBJECTIVES.OBJETIVO_DE_LANCAMENTO"]</t>
        </is>
      </c>
    </row>
    <row r="749">
      <c r="A749" s="10" t="inlineStr">
        <is>
          <t>D13-DOC-GTM-001.AUDIENCE.ICP</t>
        </is>
      </c>
      <c r="B749" s="10" t="inlineStr">
        <is>
          <t>D13-DOC-GTM-001</t>
        </is>
      </c>
      <c r="C749" s="10" t="inlineStr">
        <is>
          <t>D13-DOC-GTM-001-T02</t>
        </is>
      </c>
      <c r="D749" s="10" t="inlineStr">
        <is>
          <t>icp</t>
        </is>
      </c>
      <c r="E749" s="10" t="inlineStr">
        <is>
          <t>Definir, validar e manter: Icp</t>
        </is>
      </c>
      <c r="F749" s="10" t="n"/>
      <c r="G749" s="10" t="b">
        <v>1</v>
      </c>
      <c r="H749" s="10" t="b">
        <v>1</v>
      </c>
      <c r="I749" s="10" t="inlineStr">
        <is>
          <t>DERIVED</t>
        </is>
      </c>
      <c r="J749" s="10" t="inlineStr">
        <is>
          <t>PROPOSED</t>
        </is>
      </c>
      <c r="K749" s="10" t="inlineStr">
        <is>
          <t>DERIVED</t>
        </is>
      </c>
      <c r="L749" s="10" t="inlineStr">
        <is>
          <t>baixa</t>
        </is>
      </c>
      <c r="M749" s="10" t="inlineStr">
        <is>
          <t>["D13-DOC-GTM-001.AUDIENCE.ICP"]</t>
        </is>
      </c>
    </row>
    <row r="750">
      <c r="A750" s="10" t="inlineStr">
        <is>
          <t>D13-DOC-GTM-001.AUDIENCE.SEGMENTOS</t>
        </is>
      </c>
      <c r="B750" s="10" t="inlineStr">
        <is>
          <t>D13-DOC-GTM-001</t>
        </is>
      </c>
      <c r="C750" s="10" t="inlineStr">
        <is>
          <t>D13-DOC-GTM-001-T02</t>
        </is>
      </c>
      <c r="D750" s="10" t="inlineStr">
        <is>
          <t>segmentos</t>
        </is>
      </c>
      <c r="E750" s="10" t="inlineStr">
        <is>
          <t>Definir, validar e manter: Segmentos</t>
        </is>
      </c>
      <c r="F750" s="10" t="n"/>
      <c r="G750" s="10" t="b">
        <v>1</v>
      </c>
      <c r="H750" s="10" t="b">
        <v>1</v>
      </c>
      <c r="I750" s="10" t="inlineStr">
        <is>
          <t>DERIVED</t>
        </is>
      </c>
      <c r="J750" s="10" t="inlineStr">
        <is>
          <t>PROPOSED</t>
        </is>
      </c>
      <c r="K750" s="10" t="inlineStr">
        <is>
          <t>DERIVED</t>
        </is>
      </c>
      <c r="L750" s="10" t="inlineStr">
        <is>
          <t>baixa</t>
        </is>
      </c>
      <c r="M750" s="10" t="inlineStr">
        <is>
          <t>["D13-DOC-GTM-001.AUDIENCE.SEGMENTOS"]</t>
        </is>
      </c>
    </row>
    <row r="751">
      <c r="A751" s="10" t="inlineStr">
        <is>
          <t>D13-DOC-GTM-001.POSITIONING.POSICIONAMENTO</t>
        </is>
      </c>
      <c r="B751" s="10" t="inlineStr">
        <is>
          <t>D13-DOC-GTM-001</t>
        </is>
      </c>
      <c r="C751" s="10" t="inlineStr">
        <is>
          <t>D13-DOC-GTM-001-T03</t>
        </is>
      </c>
      <c r="D751" s="10" t="inlineStr">
        <is>
          <t>posicionamento</t>
        </is>
      </c>
      <c r="E751" s="10" t="inlineStr">
        <is>
          <t>Definir, validar e manter: Posicionamento</t>
        </is>
      </c>
      <c r="F751" s="10" t="n"/>
      <c r="G751" s="10" t="b">
        <v>1</v>
      </c>
      <c r="H751" s="10" t="b">
        <v>1</v>
      </c>
      <c r="I751" s="10" t="inlineStr">
        <is>
          <t>DERIVED</t>
        </is>
      </c>
      <c r="J751" s="10" t="inlineStr">
        <is>
          <t>PROPOSED</t>
        </is>
      </c>
      <c r="K751" s="10" t="inlineStr">
        <is>
          <t>DERIVED</t>
        </is>
      </c>
      <c r="L751" s="10" t="inlineStr">
        <is>
          <t>baixa</t>
        </is>
      </c>
      <c r="M751" s="10" t="inlineStr">
        <is>
          <t>["D13-DOC-GTM-001.POSITIONING.POSICIONAMENTO"]</t>
        </is>
      </c>
    </row>
    <row r="752">
      <c r="A752" s="10" t="inlineStr">
        <is>
          <t>D13-DOC-GTM-001.POSITIONING.MENSAGEM</t>
        </is>
      </c>
      <c r="B752" s="10" t="inlineStr">
        <is>
          <t>D13-DOC-GTM-001</t>
        </is>
      </c>
      <c r="C752" s="10" t="inlineStr">
        <is>
          <t>D13-DOC-GTM-001-T03</t>
        </is>
      </c>
      <c r="D752" s="10" t="inlineStr">
        <is>
          <t>mensagem</t>
        </is>
      </c>
      <c r="E752" s="10" t="inlineStr">
        <is>
          <t>Definir, validar e manter: Mensagem</t>
        </is>
      </c>
      <c r="F752" s="10" t="n"/>
      <c r="G752" s="10" t="b">
        <v>1</v>
      </c>
      <c r="H752" s="10" t="b">
        <v>1</v>
      </c>
      <c r="I752" s="10" t="inlineStr">
        <is>
          <t>DERIVED</t>
        </is>
      </c>
      <c r="J752" s="10" t="inlineStr">
        <is>
          <t>PROPOSED</t>
        </is>
      </c>
      <c r="K752" s="10" t="inlineStr">
        <is>
          <t>DERIVED</t>
        </is>
      </c>
      <c r="L752" s="10" t="inlineStr">
        <is>
          <t>baixa</t>
        </is>
      </c>
      <c r="M752" s="10" t="inlineStr">
        <is>
          <t>["D13-DOC-GTM-001.POSITIONING.MENSAGEM"]</t>
        </is>
      </c>
    </row>
    <row r="753">
      <c r="A753" s="10" t="inlineStr">
        <is>
          <t>D13-DOC-GTM-001.OFFER.PRODUTO</t>
        </is>
      </c>
      <c r="B753" s="10" t="inlineStr">
        <is>
          <t>D13-DOC-GTM-001</t>
        </is>
      </c>
      <c r="C753" s="10" t="inlineStr">
        <is>
          <t>D13-DOC-GTM-001-T04</t>
        </is>
      </c>
      <c r="D753" s="10" t="inlineStr">
        <is>
          <t>produto</t>
        </is>
      </c>
      <c r="E753" s="10" t="inlineStr">
        <is>
          <t>Definir, validar e manter: Produto</t>
        </is>
      </c>
      <c r="F753" s="10" t="n"/>
      <c r="G753" s="10" t="b">
        <v>1</v>
      </c>
      <c r="H753" s="10" t="b">
        <v>1</v>
      </c>
      <c r="I753" s="10" t="inlineStr">
        <is>
          <t>DERIVED</t>
        </is>
      </c>
      <c r="J753" s="10" t="inlineStr">
        <is>
          <t>PROPOSED</t>
        </is>
      </c>
      <c r="K753" s="10" t="inlineStr">
        <is>
          <t>DERIVED</t>
        </is>
      </c>
      <c r="L753" s="10" t="inlineStr">
        <is>
          <t>baixa</t>
        </is>
      </c>
      <c r="M753" s="10" t="inlineStr">
        <is>
          <t>["D13-DOC-GTM-001.OFFER.PRODUTO"]</t>
        </is>
      </c>
    </row>
    <row r="754">
      <c r="A754" s="10" t="inlineStr">
        <is>
          <t>D13-DOC-GTM-001.OFFER.PLANO</t>
        </is>
      </c>
      <c r="B754" s="10" t="inlineStr">
        <is>
          <t>D13-DOC-GTM-001</t>
        </is>
      </c>
      <c r="C754" s="10" t="inlineStr">
        <is>
          <t>D13-DOC-GTM-001-T04</t>
        </is>
      </c>
      <c r="D754" s="10" t="inlineStr">
        <is>
          <t>plano</t>
        </is>
      </c>
      <c r="E754" s="10" t="inlineStr">
        <is>
          <t>Definir, validar e manter: Plano</t>
        </is>
      </c>
      <c r="F754" s="10" t="n"/>
      <c r="G754" s="10" t="b">
        <v>1</v>
      </c>
      <c r="H754" s="10" t="b">
        <v>1</v>
      </c>
      <c r="I754" s="10" t="inlineStr">
        <is>
          <t>DERIVED</t>
        </is>
      </c>
      <c r="J754" s="10" t="inlineStr">
        <is>
          <t>PROPOSED</t>
        </is>
      </c>
      <c r="K754" s="10" t="inlineStr">
        <is>
          <t>DERIVED</t>
        </is>
      </c>
      <c r="L754" s="10" t="inlineStr">
        <is>
          <t>baixa</t>
        </is>
      </c>
      <c r="M754" s="10" t="inlineStr">
        <is>
          <t>["D13-DOC-GTM-001.OFFER.PLANO"]</t>
        </is>
      </c>
    </row>
    <row r="755">
      <c r="A755" s="10" t="inlineStr">
        <is>
          <t>D13-DOC-GTM-001.OFFER.PRECO</t>
        </is>
      </c>
      <c r="B755" s="10" t="inlineStr">
        <is>
          <t>D13-DOC-GTM-001</t>
        </is>
      </c>
      <c r="C755" s="10" t="inlineStr">
        <is>
          <t>D13-DOC-GTM-001-T04</t>
        </is>
      </c>
      <c r="D755" s="10" t="inlineStr">
        <is>
          <t>preco</t>
        </is>
      </c>
      <c r="E755" s="10" t="inlineStr">
        <is>
          <t>Definir, validar e manter: Preco</t>
        </is>
      </c>
      <c r="F755" s="10" t="n"/>
      <c r="G755" s="10" t="b">
        <v>1</v>
      </c>
      <c r="H755" s="10" t="b">
        <v>1</v>
      </c>
      <c r="I755" s="10" t="inlineStr">
        <is>
          <t>DERIVED</t>
        </is>
      </c>
      <c r="J755" s="10" t="inlineStr">
        <is>
          <t>PROPOSED</t>
        </is>
      </c>
      <c r="K755" s="10" t="inlineStr">
        <is>
          <t>DERIVED</t>
        </is>
      </c>
      <c r="L755" s="10" t="inlineStr">
        <is>
          <t>baixa</t>
        </is>
      </c>
      <c r="M755" s="10" t="inlineStr">
        <is>
          <t>["D13-DOC-GTM-001.OFFER.PRECO"]</t>
        </is>
      </c>
    </row>
    <row r="756">
      <c r="A756" s="10" t="inlineStr">
        <is>
          <t>D13-DOC-GTM-001.CHANNELS.CANAL</t>
        </is>
      </c>
      <c r="B756" s="10" t="inlineStr">
        <is>
          <t>D13-DOC-GTM-001</t>
        </is>
      </c>
      <c r="C756" s="10" t="inlineStr">
        <is>
          <t>D13-DOC-GTM-001-T05</t>
        </is>
      </c>
      <c r="D756" s="10" t="inlineStr">
        <is>
          <t>canal</t>
        </is>
      </c>
      <c r="E756" s="10" t="inlineStr">
        <is>
          <t>Definir, validar e manter: Canal</t>
        </is>
      </c>
      <c r="F756" s="10" t="n"/>
      <c r="G756" s="10" t="b">
        <v>1</v>
      </c>
      <c r="H756" s="10" t="b">
        <v>1</v>
      </c>
      <c r="I756" s="10" t="inlineStr">
        <is>
          <t>DERIVED</t>
        </is>
      </c>
      <c r="J756" s="10" t="inlineStr">
        <is>
          <t>PROPOSED</t>
        </is>
      </c>
      <c r="K756" s="10" t="inlineStr">
        <is>
          <t>DERIVED</t>
        </is>
      </c>
      <c r="L756" s="10" t="inlineStr">
        <is>
          <t>baixa</t>
        </is>
      </c>
      <c r="M756" s="10" t="inlineStr">
        <is>
          <t>["D13-DOC-GTM-001.CHANNELS.CANAL"]</t>
        </is>
      </c>
    </row>
    <row r="757">
      <c r="A757" s="10" t="inlineStr">
        <is>
          <t>D13-DOC-GTM-001.CHANNELS.FUNCAO</t>
        </is>
      </c>
      <c r="B757" s="10" t="inlineStr">
        <is>
          <t>D13-DOC-GTM-001</t>
        </is>
      </c>
      <c r="C757" s="10" t="inlineStr">
        <is>
          <t>D13-DOC-GTM-001-T05</t>
        </is>
      </c>
      <c r="D757" s="10" t="inlineStr">
        <is>
          <t>funcao</t>
        </is>
      </c>
      <c r="E757" s="10" t="inlineStr">
        <is>
          <t>Definir, validar e manter: Funcao</t>
        </is>
      </c>
      <c r="F757" s="10" t="n"/>
      <c r="G757" s="10" t="b">
        <v>1</v>
      </c>
      <c r="H757" s="10" t="b">
        <v>1</v>
      </c>
      <c r="I757" s="10" t="inlineStr">
        <is>
          <t>DERIVED</t>
        </is>
      </c>
      <c r="J757" s="10" t="inlineStr">
        <is>
          <t>PROPOSED</t>
        </is>
      </c>
      <c r="K757" s="10" t="inlineStr">
        <is>
          <t>DERIVED</t>
        </is>
      </c>
      <c r="L757" s="10" t="inlineStr">
        <is>
          <t>baixa</t>
        </is>
      </c>
      <c r="M757" s="10" t="inlineStr">
        <is>
          <t>["D13-DOC-GTM-001.CHANNELS.FUNCAO"]</t>
        </is>
      </c>
    </row>
    <row r="758">
      <c r="A758" s="10" t="inlineStr">
        <is>
          <t>D13-DOC-GTM-001.CONTENT.ATIVOS</t>
        </is>
      </c>
      <c r="B758" s="10" t="inlineStr">
        <is>
          <t>D13-DOC-GTM-001</t>
        </is>
      </c>
      <c r="C758" s="10" t="inlineStr">
        <is>
          <t>D13-DOC-GTM-001-T06</t>
        </is>
      </c>
      <c r="D758" s="10" t="inlineStr">
        <is>
          <t>ativos</t>
        </is>
      </c>
      <c r="E758" s="10" t="inlineStr">
        <is>
          <t>Definir, validar e manter: Ativos</t>
        </is>
      </c>
      <c r="F758" s="10" t="n"/>
      <c r="G758" s="10" t="b">
        <v>1</v>
      </c>
      <c r="H758" s="10" t="b">
        <v>1</v>
      </c>
      <c r="I758" s="10" t="inlineStr">
        <is>
          <t>FOUND</t>
        </is>
      </c>
      <c r="J758" s="10" t="inlineStr">
        <is>
          <t>DIRECT</t>
        </is>
      </c>
      <c r="K758" s="10" t="inlineStr">
        <is>
          <t>FOUND</t>
        </is>
      </c>
      <c r="L758" s="10" t="inlineStr">
        <is>
          <t>alta</t>
        </is>
      </c>
      <c r="M758" s="10" t="inlineStr">
        <is>
          <t>["D13-DOC-GTM-001.CONTENT.ATIVOS"]</t>
        </is>
      </c>
    </row>
    <row r="759">
      <c r="A759" s="10" t="inlineStr">
        <is>
          <t>D13-DOC-GTM-001.CONTENT.CAMPANHA</t>
        </is>
      </c>
      <c r="B759" s="10" t="inlineStr">
        <is>
          <t>D13-DOC-GTM-001</t>
        </is>
      </c>
      <c r="C759" s="10" t="inlineStr">
        <is>
          <t>D13-DOC-GTM-001-T06</t>
        </is>
      </c>
      <c r="D759" s="10" t="inlineStr">
        <is>
          <t>campanha</t>
        </is>
      </c>
      <c r="E759" s="10" t="inlineStr">
        <is>
          <t>Definir, validar e manter: Campanha</t>
        </is>
      </c>
      <c r="F759" s="10" t="n"/>
      <c r="G759" s="10" t="b">
        <v>1</v>
      </c>
      <c r="H759" s="10" t="b">
        <v>1</v>
      </c>
      <c r="I759" s="10" t="inlineStr">
        <is>
          <t>DERIVED</t>
        </is>
      </c>
      <c r="J759" s="10" t="inlineStr">
        <is>
          <t>PROPOSED</t>
        </is>
      </c>
      <c r="K759" s="10" t="inlineStr">
        <is>
          <t>DERIVED</t>
        </is>
      </c>
      <c r="L759" s="10" t="inlineStr">
        <is>
          <t>baixa</t>
        </is>
      </c>
      <c r="M759" s="10" t="inlineStr">
        <is>
          <t>["D13-DOC-GTM-001.CONTENT.CAMPANHA"]</t>
        </is>
      </c>
    </row>
    <row r="760">
      <c r="A760" s="10" t="inlineStr">
        <is>
          <t>D13-DOC-GTM-001.FUNNEL.AWARENESS</t>
        </is>
      </c>
      <c r="B760" s="10" t="inlineStr">
        <is>
          <t>D13-DOC-GTM-001</t>
        </is>
      </c>
      <c r="C760" s="10" t="inlineStr">
        <is>
          <t>D13-DOC-GTM-001-T07</t>
        </is>
      </c>
      <c r="D760" s="10" t="inlineStr">
        <is>
          <t>awareness</t>
        </is>
      </c>
      <c r="E760" s="10" t="inlineStr">
        <is>
          <t>Definir, validar e manter: Awareness</t>
        </is>
      </c>
      <c r="F760" s="10" t="n"/>
      <c r="G760" s="10" t="b">
        <v>1</v>
      </c>
      <c r="H760" s="10" t="b">
        <v>1</v>
      </c>
      <c r="I760" s="10" t="inlineStr">
        <is>
          <t>DERIVED</t>
        </is>
      </c>
      <c r="J760" s="10" t="inlineStr">
        <is>
          <t>PROPOSED</t>
        </is>
      </c>
      <c r="K760" s="10" t="inlineStr">
        <is>
          <t>DERIVED</t>
        </is>
      </c>
      <c r="L760" s="10" t="inlineStr">
        <is>
          <t>baixa</t>
        </is>
      </c>
      <c r="M760" s="10" t="inlineStr">
        <is>
          <t>["D13-DOC-GTM-001.FUNNEL.AWARENESS"]</t>
        </is>
      </c>
    </row>
    <row r="761">
      <c r="A761" s="10" t="inlineStr">
        <is>
          <t>D13-DOC-GTM-001.FUNNEL.CONSIDERATION</t>
        </is>
      </c>
      <c r="B761" s="10" t="inlineStr">
        <is>
          <t>D13-DOC-GTM-001</t>
        </is>
      </c>
      <c r="C761" s="10" t="inlineStr">
        <is>
          <t>D13-DOC-GTM-001-T07</t>
        </is>
      </c>
      <c r="D761" s="10" t="inlineStr">
        <is>
          <t>consideration</t>
        </is>
      </c>
      <c r="E761" s="10" t="inlineStr">
        <is>
          <t>Definir, validar e manter: Consideration</t>
        </is>
      </c>
      <c r="F761" s="10" t="n"/>
      <c r="G761" s="10" t="b">
        <v>1</v>
      </c>
      <c r="H761" s="10" t="b">
        <v>1</v>
      </c>
      <c r="I761" s="10" t="inlineStr">
        <is>
          <t>DERIVED</t>
        </is>
      </c>
      <c r="J761" s="10" t="inlineStr">
        <is>
          <t>PROPOSED</t>
        </is>
      </c>
      <c r="K761" s="10" t="inlineStr">
        <is>
          <t>DERIVED</t>
        </is>
      </c>
      <c r="L761" s="10" t="inlineStr">
        <is>
          <t>baixa</t>
        </is>
      </c>
      <c r="M761" s="10" t="inlineStr">
        <is>
          <t>["D13-DOC-GTM-001.FUNNEL.CONSIDERATION"]</t>
        </is>
      </c>
    </row>
    <row r="762">
      <c r="A762" s="10" t="inlineStr">
        <is>
          <t>D13-DOC-GTM-001.FUNNEL.CONVERSION</t>
        </is>
      </c>
      <c r="B762" s="10" t="inlineStr">
        <is>
          <t>D13-DOC-GTM-001</t>
        </is>
      </c>
      <c r="C762" s="10" t="inlineStr">
        <is>
          <t>D13-DOC-GTM-001-T07</t>
        </is>
      </c>
      <c r="D762" s="10" t="inlineStr">
        <is>
          <t>conversion</t>
        </is>
      </c>
      <c r="E762" s="10" t="inlineStr">
        <is>
          <t>Definir, validar e manter: Conversion</t>
        </is>
      </c>
      <c r="F762" s="10" t="n"/>
      <c r="G762" s="10" t="b">
        <v>1</v>
      </c>
      <c r="H762" s="10" t="b">
        <v>1</v>
      </c>
      <c r="I762" s="10" t="inlineStr">
        <is>
          <t>DERIVED</t>
        </is>
      </c>
      <c r="J762" s="10" t="inlineStr">
        <is>
          <t>PROPOSED</t>
        </is>
      </c>
      <c r="K762" s="10" t="inlineStr">
        <is>
          <t>DERIVED</t>
        </is>
      </c>
      <c r="L762" s="10" t="inlineStr">
        <is>
          <t>baixa</t>
        </is>
      </c>
      <c r="M762" s="10" t="inlineStr">
        <is>
          <t>["D13-DOC-GTM-001.FUNNEL.CONVERSION"]</t>
        </is>
      </c>
    </row>
    <row r="763">
      <c r="A763" s="10" t="inlineStr">
        <is>
          <t>D13-DOC-GTM-001.FUNNEL.RETENTION</t>
        </is>
      </c>
      <c r="B763" s="10" t="inlineStr">
        <is>
          <t>D13-DOC-GTM-001</t>
        </is>
      </c>
      <c r="C763" s="10" t="inlineStr">
        <is>
          <t>D13-DOC-GTM-001-T07</t>
        </is>
      </c>
      <c r="D763" s="10" t="inlineStr">
        <is>
          <t>retention</t>
        </is>
      </c>
      <c r="E763" s="10" t="inlineStr">
        <is>
          <t>Definir, validar e manter: Retention</t>
        </is>
      </c>
      <c r="F763" s="10" t="n"/>
      <c r="G763" s="10" t="b">
        <v>1</v>
      </c>
      <c r="H763" s="10" t="b">
        <v>1</v>
      </c>
      <c r="I763" s="10" t="inlineStr">
        <is>
          <t>DERIVED</t>
        </is>
      </c>
      <c r="J763" s="10" t="inlineStr">
        <is>
          <t>PROPOSED</t>
        </is>
      </c>
      <c r="K763" s="10" t="inlineStr">
        <is>
          <t>DERIVED</t>
        </is>
      </c>
      <c r="L763" s="10" t="inlineStr">
        <is>
          <t>baixa</t>
        </is>
      </c>
      <c r="M763" s="10" t="inlineStr">
        <is>
          <t>["D13-DOC-GTM-001.FUNNEL.RETENTION"]</t>
        </is>
      </c>
    </row>
    <row r="764">
      <c r="A764" s="10" t="inlineStr">
        <is>
          <t>D13-DOC-GTM-001.CAMPAIGN.FASE</t>
        </is>
      </c>
      <c r="B764" s="10" t="inlineStr">
        <is>
          <t>D13-DOC-GTM-001</t>
        </is>
      </c>
      <c r="C764" s="10" t="inlineStr">
        <is>
          <t>D13-DOC-GTM-001-T08</t>
        </is>
      </c>
      <c r="D764" s="10" t="inlineStr">
        <is>
          <t>fase</t>
        </is>
      </c>
      <c r="E764" s="10" t="inlineStr">
        <is>
          <t>Definir, validar e manter: Fase</t>
        </is>
      </c>
      <c r="F764" s="10" t="n"/>
      <c r="G764" s="10" t="b">
        <v>1</v>
      </c>
      <c r="H764" s="10" t="b">
        <v>1</v>
      </c>
      <c r="I764" s="10" t="inlineStr">
        <is>
          <t>DERIVED</t>
        </is>
      </c>
      <c r="J764" s="10" t="inlineStr">
        <is>
          <t>PROPOSED</t>
        </is>
      </c>
      <c r="K764" s="10" t="inlineStr">
        <is>
          <t>DERIVED</t>
        </is>
      </c>
      <c r="L764" s="10" t="inlineStr">
        <is>
          <t>baixa</t>
        </is>
      </c>
      <c r="M764" s="10" t="inlineStr">
        <is>
          <t>["D13-DOC-GTM-001.CAMPAIGN.FASE"]</t>
        </is>
      </c>
    </row>
    <row r="765">
      <c r="A765" s="10" t="inlineStr">
        <is>
          <t>D13-DOC-GTM-001.CAMPAIGN.ATIVIDADE</t>
        </is>
      </c>
      <c r="B765" s="10" t="inlineStr">
        <is>
          <t>D13-DOC-GTM-001</t>
        </is>
      </c>
      <c r="C765" s="10" t="inlineStr">
        <is>
          <t>D13-DOC-GTM-001-T08</t>
        </is>
      </c>
      <c r="D765" s="10" t="inlineStr">
        <is>
          <t>atividade</t>
        </is>
      </c>
      <c r="E765" s="10" t="inlineStr">
        <is>
          <t>Definir, validar e manter: Atividade</t>
        </is>
      </c>
      <c r="F765" s="10" t="n"/>
      <c r="G765" s="10" t="b">
        <v>1</v>
      </c>
      <c r="H765" s="10" t="b">
        <v>1</v>
      </c>
      <c r="I765" s="10" t="inlineStr">
        <is>
          <t>DERIVED</t>
        </is>
      </c>
      <c r="J765" s="10" t="inlineStr">
        <is>
          <t>PROPOSED</t>
        </is>
      </c>
      <c r="K765" s="10" t="inlineStr">
        <is>
          <t>DERIVED</t>
        </is>
      </c>
      <c r="L765" s="10" t="inlineStr">
        <is>
          <t>baixa</t>
        </is>
      </c>
      <c r="M765" s="10" t="inlineStr">
        <is>
          <t>["D13-DOC-GTM-001.CAMPAIGN.ATIVIDADE"]</t>
        </is>
      </c>
    </row>
    <row r="766">
      <c r="A766" s="10" t="inlineStr">
        <is>
          <t>D13-DOC-GTM-001.CAMPAIGN.ATIVO</t>
        </is>
      </c>
      <c r="B766" s="10" t="inlineStr">
        <is>
          <t>D13-DOC-GTM-001</t>
        </is>
      </c>
      <c r="C766" s="10" t="inlineStr">
        <is>
          <t>D13-DOC-GTM-001-T08</t>
        </is>
      </c>
      <c r="D766" s="10" t="inlineStr">
        <is>
          <t>ativo</t>
        </is>
      </c>
      <c r="E766" s="10" t="inlineStr">
        <is>
          <t>Definir, validar e manter: Ativo</t>
        </is>
      </c>
      <c r="F766" s="10" t="n"/>
      <c r="G766" s="10" t="b">
        <v>1</v>
      </c>
      <c r="H766" s="10" t="b">
        <v>1</v>
      </c>
      <c r="I766" s="10" t="inlineStr">
        <is>
          <t>DERIVED</t>
        </is>
      </c>
      <c r="J766" s="10" t="inlineStr">
        <is>
          <t>PROPOSED</t>
        </is>
      </c>
      <c r="K766" s="10" t="inlineStr">
        <is>
          <t>DERIVED</t>
        </is>
      </c>
      <c r="L766" s="10" t="inlineStr">
        <is>
          <t>baixa</t>
        </is>
      </c>
      <c r="M766" s="10" t="inlineStr">
        <is>
          <t>["D13-DOC-GTM-001.CAMPAIGN.ATIVO"]</t>
        </is>
      </c>
    </row>
    <row r="767">
      <c r="A767" s="10" t="inlineStr">
        <is>
          <t>D13-DOC-GTM-001.LAUNCH.PRE_LAUNCH</t>
        </is>
      </c>
      <c r="B767" s="10" t="inlineStr">
        <is>
          <t>D13-DOC-GTM-001</t>
        </is>
      </c>
      <c r="C767" s="10" t="inlineStr">
        <is>
          <t>D13-DOC-GTM-001-T09</t>
        </is>
      </c>
      <c r="D767" s="10" t="inlineStr">
        <is>
          <t>pre_launch</t>
        </is>
      </c>
      <c r="E767" s="10" t="inlineStr">
        <is>
          <t>Definir, validar e manter: Pre Launch</t>
        </is>
      </c>
      <c r="F767" s="10" t="n"/>
      <c r="G767" s="10" t="b">
        <v>1</v>
      </c>
      <c r="H767" s="10" t="b">
        <v>1</v>
      </c>
      <c r="I767" s="10" t="inlineStr">
        <is>
          <t>DERIVED</t>
        </is>
      </c>
      <c r="J767" s="10" t="inlineStr">
        <is>
          <t>PROPOSED</t>
        </is>
      </c>
      <c r="K767" s="10" t="inlineStr">
        <is>
          <t>DERIVED</t>
        </is>
      </c>
      <c r="L767" s="10" t="inlineStr">
        <is>
          <t>baixa</t>
        </is>
      </c>
      <c r="M767" s="10" t="inlineStr">
        <is>
          <t>["D13-DOC-GTM-001.LAUNCH.PRE_LAUNCH"]</t>
        </is>
      </c>
    </row>
    <row r="768">
      <c r="A768" s="10" t="inlineStr">
        <is>
          <t>D13-DOC-GTM-001.LAUNCH.LAUNCH</t>
        </is>
      </c>
      <c r="B768" s="10" t="inlineStr">
        <is>
          <t>D13-DOC-GTM-001</t>
        </is>
      </c>
      <c r="C768" s="10" t="inlineStr">
        <is>
          <t>D13-DOC-GTM-001-T09</t>
        </is>
      </c>
      <c r="D768" s="10" t="inlineStr">
        <is>
          <t>launch</t>
        </is>
      </c>
      <c r="E768" s="10" t="inlineStr">
        <is>
          <t>Definir, validar e manter: Launch</t>
        </is>
      </c>
      <c r="F768" s="10" t="n"/>
      <c r="G768" s="10" t="b">
        <v>1</v>
      </c>
      <c r="H768" s="10" t="b">
        <v>1</v>
      </c>
      <c r="I768" s="10" t="inlineStr">
        <is>
          <t>DERIVED</t>
        </is>
      </c>
      <c r="J768" s="10" t="inlineStr">
        <is>
          <t>PROPOSED</t>
        </is>
      </c>
      <c r="K768" s="10" t="inlineStr">
        <is>
          <t>DERIVED</t>
        </is>
      </c>
      <c r="L768" s="10" t="inlineStr">
        <is>
          <t>baixa</t>
        </is>
      </c>
      <c r="M768" s="10" t="inlineStr">
        <is>
          <t>["D13-DOC-GTM-001.LAUNCH.LAUNCH"]</t>
        </is>
      </c>
    </row>
    <row r="769">
      <c r="A769" s="10" t="inlineStr">
        <is>
          <t>D13-DOC-GTM-001.LAUNCH.POST_LAUNCH</t>
        </is>
      </c>
      <c r="B769" s="10" t="inlineStr">
        <is>
          <t>D13-DOC-GTM-001</t>
        </is>
      </c>
      <c r="C769" s="10" t="inlineStr">
        <is>
          <t>D13-DOC-GTM-001-T09</t>
        </is>
      </c>
      <c r="D769" s="10" t="inlineStr">
        <is>
          <t>post_launch</t>
        </is>
      </c>
      <c r="E769" s="10" t="inlineStr">
        <is>
          <t>Definir, validar e manter: Post Launch</t>
        </is>
      </c>
      <c r="F769" s="10" t="n"/>
      <c r="G769" s="10" t="b">
        <v>1</v>
      </c>
      <c r="H769" s="10" t="b">
        <v>1</v>
      </c>
      <c r="I769" s="10" t="inlineStr">
        <is>
          <t>DERIVED</t>
        </is>
      </c>
      <c r="J769" s="10" t="inlineStr">
        <is>
          <t>PROPOSED</t>
        </is>
      </c>
      <c r="K769" s="10" t="inlineStr">
        <is>
          <t>DERIVED</t>
        </is>
      </c>
      <c r="L769" s="10" t="inlineStr">
        <is>
          <t>baixa</t>
        </is>
      </c>
      <c r="M769" s="10" t="inlineStr">
        <is>
          <t>["D13-DOC-GTM-001.LAUNCH.POST_LAUNCH"]</t>
        </is>
      </c>
    </row>
    <row r="770">
      <c r="A770" s="10" t="inlineStr">
        <is>
          <t>D13-DOC-GTM-001.SALES_HANDOFF.MARKETING_PARA_VENDAS</t>
        </is>
      </c>
      <c r="B770" s="10" t="inlineStr">
        <is>
          <t>D13-DOC-GTM-001</t>
        </is>
      </c>
      <c r="C770" s="10" t="inlineStr">
        <is>
          <t>D13-DOC-GTM-001-T10</t>
        </is>
      </c>
      <c r="D770" s="10" t="inlineStr">
        <is>
          <t>marketing_para_vendas</t>
        </is>
      </c>
      <c r="E770" s="10" t="inlineStr">
        <is>
          <t>Definir, validar e manter: Marketing Para Vendas</t>
        </is>
      </c>
      <c r="F770" s="10" t="n"/>
      <c r="G770" s="10" t="b">
        <v>1</v>
      </c>
      <c r="H770" s="10" t="b">
        <v>1</v>
      </c>
      <c r="I770" s="10" t="inlineStr">
        <is>
          <t>DERIVED</t>
        </is>
      </c>
      <c r="J770" s="10" t="inlineStr">
        <is>
          <t>PROPOSED</t>
        </is>
      </c>
      <c r="K770" s="10" t="inlineStr">
        <is>
          <t>DERIVED</t>
        </is>
      </c>
      <c r="L770" s="10" t="inlineStr">
        <is>
          <t>baixa</t>
        </is>
      </c>
      <c r="M770" s="10" t="inlineStr">
        <is>
          <t>["D13-DOC-GTM-001.SALES_HANDOFF.MARKETING_PARA_VENDAS"]</t>
        </is>
      </c>
    </row>
    <row r="771">
      <c r="A771" s="10" t="inlineStr">
        <is>
          <t>D13-DOC-GTM-001.SUPPORT_READINESS.ATENDIMENTO</t>
        </is>
      </c>
      <c r="B771" s="10" t="inlineStr">
        <is>
          <t>D13-DOC-GTM-001</t>
        </is>
      </c>
      <c r="C771" s="10" t="inlineStr">
        <is>
          <t>D13-DOC-GTM-001-T11</t>
        </is>
      </c>
      <c r="D771" s="10" t="inlineStr">
        <is>
          <t>atendimento</t>
        </is>
      </c>
      <c r="E771" s="10" t="inlineStr">
        <is>
          <t>Definir, validar e manter: Atendimento</t>
        </is>
      </c>
      <c r="F771" s="10" t="n"/>
      <c r="G771" s="10" t="b">
        <v>1</v>
      </c>
      <c r="H771" s="10" t="b">
        <v>1</v>
      </c>
      <c r="I771" s="10" t="inlineStr">
        <is>
          <t>DERIVED</t>
        </is>
      </c>
      <c r="J771" s="10" t="inlineStr">
        <is>
          <t>PROPOSED</t>
        </is>
      </c>
      <c r="K771" s="10" t="inlineStr">
        <is>
          <t>DERIVED</t>
        </is>
      </c>
      <c r="L771" s="10" t="inlineStr">
        <is>
          <t>baixa</t>
        </is>
      </c>
      <c r="M771" s="10" t="inlineStr">
        <is>
          <t>["D13-DOC-GTM-001.SUPPORT_READINESS.ATENDIMENTO"]</t>
        </is>
      </c>
    </row>
    <row r="772">
      <c r="A772" s="10" t="inlineStr">
        <is>
          <t>D13-DOC-GTM-001.SUPPORT_READINESS.FAQ</t>
        </is>
      </c>
      <c r="B772" s="10" t="inlineStr">
        <is>
          <t>D13-DOC-GTM-001</t>
        </is>
      </c>
      <c r="C772" s="10" t="inlineStr">
        <is>
          <t>D13-DOC-GTM-001-T11</t>
        </is>
      </c>
      <c r="D772" s="10" t="inlineStr">
        <is>
          <t>faq</t>
        </is>
      </c>
      <c r="E772" s="10" t="inlineStr">
        <is>
          <t>Definir, validar e manter: Faq</t>
        </is>
      </c>
      <c r="F772" s="10" t="n"/>
      <c r="G772" s="10" t="b">
        <v>1</v>
      </c>
      <c r="H772" s="10" t="b">
        <v>1</v>
      </c>
      <c r="I772" s="10" t="inlineStr">
        <is>
          <t>DERIVED</t>
        </is>
      </c>
      <c r="J772" s="10" t="inlineStr">
        <is>
          <t>PROPOSED</t>
        </is>
      </c>
      <c r="K772" s="10" t="inlineStr">
        <is>
          <t>DERIVED</t>
        </is>
      </c>
      <c r="L772" s="10" t="inlineStr">
        <is>
          <t>baixa</t>
        </is>
      </c>
      <c r="M772" s="10" t="inlineStr">
        <is>
          <t>["D13-DOC-GTM-001.SUPPORT_READINESS.FAQ"]</t>
        </is>
      </c>
    </row>
    <row r="773">
      <c r="A773" s="10" t="inlineStr">
        <is>
          <t>D13-DOC-GTM-001.ANALYTICS.METRICAS</t>
        </is>
      </c>
      <c r="B773" s="10" t="inlineStr">
        <is>
          <t>D13-DOC-GTM-001</t>
        </is>
      </c>
      <c r="C773" s="10" t="inlineStr">
        <is>
          <t>D13-DOC-GTM-001-T12</t>
        </is>
      </c>
      <c r="D773" s="10" t="inlineStr">
        <is>
          <t>metricas</t>
        </is>
      </c>
      <c r="E773" s="10" t="inlineStr">
        <is>
          <t>Definir, validar e manter: Metricas</t>
        </is>
      </c>
      <c r="F773" s="10" t="n"/>
      <c r="G773" s="10" t="b">
        <v>1</v>
      </c>
      <c r="H773" s="10" t="b">
        <v>1</v>
      </c>
      <c r="I773" s="10" t="inlineStr">
        <is>
          <t>DERIVED</t>
        </is>
      </c>
      <c r="J773" s="10" t="inlineStr">
        <is>
          <t>PROPOSED</t>
        </is>
      </c>
      <c r="K773" s="10" t="inlineStr">
        <is>
          <t>DERIVED</t>
        </is>
      </c>
      <c r="L773" s="10" t="inlineStr">
        <is>
          <t>baixa</t>
        </is>
      </c>
      <c r="M773" s="10" t="inlineStr">
        <is>
          <t>["D13-DOC-GTM-001.ANALYTICS.METRICAS"]</t>
        </is>
      </c>
    </row>
    <row r="774">
      <c r="A774" s="10" t="inlineStr">
        <is>
          <t>D13-DOC-GTM-001.ANALYTICS.EVENTOS</t>
        </is>
      </c>
      <c r="B774" s="10" t="inlineStr">
        <is>
          <t>D13-DOC-GTM-001</t>
        </is>
      </c>
      <c r="C774" s="10" t="inlineStr">
        <is>
          <t>D13-DOC-GTM-001-T12</t>
        </is>
      </c>
      <c r="D774" s="10" t="inlineStr">
        <is>
          <t>eventos</t>
        </is>
      </c>
      <c r="E774" s="10" t="inlineStr">
        <is>
          <t>Definir, validar e manter: Eventos</t>
        </is>
      </c>
      <c r="F774" s="10" t="n"/>
      <c r="G774" s="10" t="b">
        <v>1</v>
      </c>
      <c r="H774" s="10" t="b">
        <v>1</v>
      </c>
      <c r="I774" s="10" t="inlineStr">
        <is>
          <t>DERIVED</t>
        </is>
      </c>
      <c r="J774" s="10" t="inlineStr">
        <is>
          <t>PROPOSED</t>
        </is>
      </c>
      <c r="K774" s="10" t="inlineStr">
        <is>
          <t>DERIVED</t>
        </is>
      </c>
      <c r="L774" s="10" t="inlineStr">
        <is>
          <t>baixa</t>
        </is>
      </c>
      <c r="M774" s="10" t="inlineStr">
        <is>
          <t>["D13-DOC-GTM-001.ANALYTICS.EVENTOS"]</t>
        </is>
      </c>
    </row>
    <row r="775">
      <c r="A775" s="10" t="inlineStr">
        <is>
          <t>D13-DOC-GTM-001.BUDGET.INVESTIMENTO</t>
        </is>
      </c>
      <c r="B775" s="10" t="inlineStr">
        <is>
          <t>D13-DOC-GTM-001</t>
        </is>
      </c>
      <c r="C775" s="10" t="inlineStr">
        <is>
          <t>D13-DOC-GTM-001-T13</t>
        </is>
      </c>
      <c r="D775" s="10" t="inlineStr">
        <is>
          <t>investimento</t>
        </is>
      </c>
      <c r="E775" s="10" t="inlineStr">
        <is>
          <t>Definir, validar e manter: Investimento</t>
        </is>
      </c>
      <c r="F775" s="10" t="n"/>
      <c r="G775" s="10" t="b">
        <v>1</v>
      </c>
      <c r="H775" s="10" t="b">
        <v>1</v>
      </c>
      <c r="I775" s="10" t="inlineStr">
        <is>
          <t>DERIVED</t>
        </is>
      </c>
      <c r="J775" s="10" t="inlineStr">
        <is>
          <t>PROPOSED</t>
        </is>
      </c>
      <c r="K775" s="10" t="inlineStr">
        <is>
          <t>DERIVED</t>
        </is>
      </c>
      <c r="L775" s="10" t="inlineStr">
        <is>
          <t>baixa</t>
        </is>
      </c>
      <c r="M775" s="10" t="inlineStr">
        <is>
          <t>["D13-DOC-GTM-001.BUDGET.INVESTIMENTO"]</t>
        </is>
      </c>
    </row>
    <row r="776">
      <c r="A776" s="10" t="inlineStr">
        <is>
          <t>D13-DOC-GTM-001.EXPERIMENTS.HIPOTESE</t>
        </is>
      </c>
      <c r="B776" s="10" t="inlineStr">
        <is>
          <t>D13-DOC-GTM-001</t>
        </is>
      </c>
      <c r="C776" s="10" t="inlineStr">
        <is>
          <t>D13-DOC-GTM-001-T14</t>
        </is>
      </c>
      <c r="D776" s="10" t="inlineStr">
        <is>
          <t>hipotese</t>
        </is>
      </c>
      <c r="E776" s="10" t="inlineStr">
        <is>
          <t>Definir, validar e manter: Hipotese</t>
        </is>
      </c>
      <c r="F776" s="10" t="n"/>
      <c r="G776" s="10" t="b">
        <v>1</v>
      </c>
      <c r="H776" s="10" t="b">
        <v>1</v>
      </c>
      <c r="I776" s="10" t="inlineStr">
        <is>
          <t>DERIVED</t>
        </is>
      </c>
      <c r="J776" s="10" t="inlineStr">
        <is>
          <t>PROPOSED</t>
        </is>
      </c>
      <c r="K776" s="10" t="inlineStr">
        <is>
          <t>DERIVED</t>
        </is>
      </c>
      <c r="L776" s="10" t="inlineStr">
        <is>
          <t>baixa</t>
        </is>
      </c>
      <c r="M776" s="10" t="inlineStr">
        <is>
          <t>["D13-DOC-GTM-001.EXPERIMENTS.HIPOTESE"]</t>
        </is>
      </c>
    </row>
    <row r="777">
      <c r="A777" s="10" t="inlineStr">
        <is>
          <t>D13-DOC-GTM-001.EXPERIMENTS.TESTE</t>
        </is>
      </c>
      <c r="B777" s="10" t="inlineStr">
        <is>
          <t>D13-DOC-GTM-001</t>
        </is>
      </c>
      <c r="C777" s="10" t="inlineStr">
        <is>
          <t>D13-DOC-GTM-001-T14</t>
        </is>
      </c>
      <c r="D777" s="10" t="inlineStr">
        <is>
          <t>teste</t>
        </is>
      </c>
      <c r="E777" s="10" t="inlineStr">
        <is>
          <t>Definir, validar e manter: Teste</t>
        </is>
      </c>
      <c r="F777" s="10" t="n"/>
      <c r="G777" s="10" t="b">
        <v>1</v>
      </c>
      <c r="H777" s="10" t="b">
        <v>1</v>
      </c>
      <c r="I777" s="10" t="inlineStr">
        <is>
          <t>DERIVED</t>
        </is>
      </c>
      <c r="J777" s="10" t="inlineStr">
        <is>
          <t>PROPOSED</t>
        </is>
      </c>
      <c r="K777" s="10" t="inlineStr">
        <is>
          <t>DERIVED</t>
        </is>
      </c>
      <c r="L777" s="10" t="inlineStr">
        <is>
          <t>baixa</t>
        </is>
      </c>
      <c r="M777" s="10" t="inlineStr">
        <is>
          <t>["D13-DOC-GTM-001.EXPERIMENTS.TESTE"]</t>
        </is>
      </c>
    </row>
    <row r="778">
      <c r="A778" s="10" t="inlineStr">
        <is>
          <t>D13-DOC-GTM-001.GATES.GO_NO_GO</t>
        </is>
      </c>
      <c r="B778" s="10" t="inlineStr">
        <is>
          <t>D13-DOC-GTM-001</t>
        </is>
      </c>
      <c r="C778" s="10" t="inlineStr">
        <is>
          <t>D13-DOC-GTM-001-T15</t>
        </is>
      </c>
      <c r="D778" s="10" t="inlineStr">
        <is>
          <t>go_no_go</t>
        </is>
      </c>
      <c r="E778" s="10" t="inlineStr">
        <is>
          <t>Definir, validar e manter: Go No Go</t>
        </is>
      </c>
      <c r="F778" s="10" t="n"/>
      <c r="G778" s="10" t="b">
        <v>1</v>
      </c>
      <c r="H778" s="10" t="b">
        <v>1</v>
      </c>
      <c r="I778" s="10" t="inlineStr">
        <is>
          <t>DERIVED</t>
        </is>
      </c>
      <c r="J778" s="10" t="inlineStr">
        <is>
          <t>PROPOSED</t>
        </is>
      </c>
      <c r="K778" s="10" t="inlineStr">
        <is>
          <t>DERIVED</t>
        </is>
      </c>
      <c r="L778" s="10" t="inlineStr">
        <is>
          <t>baixa</t>
        </is>
      </c>
      <c r="M778" s="10" t="inlineStr">
        <is>
          <t>["D13-DOC-GTM-001.GATES.GO_NO_GO"]</t>
        </is>
      </c>
    </row>
    <row r="779">
      <c r="A779" s="10" t="inlineStr">
        <is>
          <t>D13-DOC-GTM-001.GATES.CRITERIO</t>
        </is>
      </c>
      <c r="B779" s="10" t="inlineStr">
        <is>
          <t>D13-DOC-GTM-001</t>
        </is>
      </c>
      <c r="C779" s="10" t="inlineStr">
        <is>
          <t>D13-DOC-GTM-001-T15</t>
        </is>
      </c>
      <c r="D779" s="10" t="inlineStr">
        <is>
          <t>criterio</t>
        </is>
      </c>
      <c r="E779" s="10" t="inlineStr">
        <is>
          <t>Definir, validar e manter: Criterio</t>
        </is>
      </c>
      <c r="F779" s="10" t="n"/>
      <c r="G779" s="10" t="b">
        <v>1</v>
      </c>
      <c r="H779" s="10" t="b">
        <v>1</v>
      </c>
      <c r="I779" s="10" t="inlineStr">
        <is>
          <t>DERIVED</t>
        </is>
      </c>
      <c r="J779" s="10" t="inlineStr">
        <is>
          <t>PROPOSED</t>
        </is>
      </c>
      <c r="K779" s="10" t="inlineStr">
        <is>
          <t>DERIVED</t>
        </is>
      </c>
      <c r="L779" s="10" t="inlineStr">
        <is>
          <t>baixa</t>
        </is>
      </c>
      <c r="M779" s="10" t="inlineStr">
        <is>
          <t>["D13-DOC-GTM-001.GATES.CRITERIO"]</t>
        </is>
      </c>
    </row>
    <row r="780">
      <c r="A780" s="10" t="inlineStr">
        <is>
          <t>D14-DOC-PCV-001.CUSTOMER.ICP</t>
        </is>
      </c>
      <c r="B780" s="10" t="inlineStr">
        <is>
          <t>D14-DOC-PCV-001</t>
        </is>
      </c>
      <c r="C780" s="10" t="inlineStr">
        <is>
          <t>D14-DOC-PCV-001-T01</t>
        </is>
      </c>
      <c r="D780" s="10" t="inlineStr">
        <is>
          <t>icp</t>
        </is>
      </c>
      <c r="E780" s="10" t="inlineStr">
        <is>
          <t>Definir, validar e manter: Icp</t>
        </is>
      </c>
      <c r="F780" s="10" t="n"/>
      <c r="G780" s="10" t="b">
        <v>1</v>
      </c>
      <c r="H780" s="10" t="b">
        <v>1</v>
      </c>
      <c r="I780" s="10" t="inlineStr">
        <is>
          <t>DERIVED</t>
        </is>
      </c>
      <c r="J780" s="10" t="inlineStr">
        <is>
          <t>PROPOSED</t>
        </is>
      </c>
      <c r="K780" s="10" t="inlineStr">
        <is>
          <t>DERIVED</t>
        </is>
      </c>
      <c r="L780" s="10" t="inlineStr">
        <is>
          <t>baixa</t>
        </is>
      </c>
      <c r="M780" s="10" t="inlineStr">
        <is>
          <t>["D14-DOC-PCV-001.CUSTOMER.ICP"]</t>
        </is>
      </c>
    </row>
    <row r="781">
      <c r="A781" s="10" t="inlineStr">
        <is>
          <t>D14-DOC-PCV-001.CUSTOMER.SEGMENTOS</t>
        </is>
      </c>
      <c r="B781" s="10" t="inlineStr">
        <is>
          <t>D14-DOC-PCV-001</t>
        </is>
      </c>
      <c r="C781" s="10" t="inlineStr">
        <is>
          <t>D14-DOC-PCV-001-T01</t>
        </is>
      </c>
      <c r="D781" s="10" t="inlineStr">
        <is>
          <t>segmentos</t>
        </is>
      </c>
      <c r="E781" s="10" t="inlineStr">
        <is>
          <t>Definir, validar e manter: Segmentos</t>
        </is>
      </c>
      <c r="F781" s="10" t="n"/>
      <c r="G781" s="10" t="b">
        <v>1</v>
      </c>
      <c r="H781" s="10" t="b">
        <v>1</v>
      </c>
      <c r="I781" s="10" t="inlineStr">
        <is>
          <t>DERIVED</t>
        </is>
      </c>
      <c r="J781" s="10" t="inlineStr">
        <is>
          <t>PROPOSED</t>
        </is>
      </c>
      <c r="K781" s="10" t="inlineStr">
        <is>
          <t>DERIVED</t>
        </is>
      </c>
      <c r="L781" s="10" t="inlineStr">
        <is>
          <t>baixa</t>
        </is>
      </c>
      <c r="M781" s="10" t="inlineStr">
        <is>
          <t>["D14-DOC-PCV-001.CUSTOMER.SEGMENTOS"]</t>
        </is>
      </c>
    </row>
    <row r="782">
      <c r="A782" s="10" t="inlineStr">
        <is>
          <t>D14-DOC-PCV-001.OFFERS.PRODUTO</t>
        </is>
      </c>
      <c r="B782" s="10" t="inlineStr">
        <is>
          <t>D14-DOC-PCV-001</t>
        </is>
      </c>
      <c r="C782" s="10" t="inlineStr">
        <is>
          <t>D14-DOC-PCV-001-T02</t>
        </is>
      </c>
      <c r="D782" s="10" t="inlineStr">
        <is>
          <t>produto</t>
        </is>
      </c>
      <c r="E782" s="10" t="inlineStr">
        <is>
          <t>Definir, validar e manter: Produto</t>
        </is>
      </c>
      <c r="F782" s="10" t="n"/>
      <c r="G782" s="10" t="b">
        <v>1</v>
      </c>
      <c r="H782" s="10" t="b">
        <v>1</v>
      </c>
      <c r="I782" s="10" t="inlineStr">
        <is>
          <t>DERIVED</t>
        </is>
      </c>
      <c r="J782" s="10" t="inlineStr">
        <is>
          <t>PROPOSED</t>
        </is>
      </c>
      <c r="K782" s="10" t="inlineStr">
        <is>
          <t>DERIVED</t>
        </is>
      </c>
      <c r="L782" s="10" t="inlineStr">
        <is>
          <t>baixa</t>
        </is>
      </c>
      <c r="M782" s="10" t="inlineStr">
        <is>
          <t>["D14-DOC-PCV-001.OFFERS.PRODUTO"]</t>
        </is>
      </c>
    </row>
    <row r="783">
      <c r="A783" s="10" t="inlineStr">
        <is>
          <t>D14-DOC-PCV-001.OFFERS.PACOTE</t>
        </is>
      </c>
      <c r="B783" s="10" t="inlineStr">
        <is>
          <t>D14-DOC-PCV-001</t>
        </is>
      </c>
      <c r="C783" s="10" t="inlineStr">
        <is>
          <t>D14-DOC-PCV-001-T02</t>
        </is>
      </c>
      <c r="D783" s="10" t="inlineStr">
        <is>
          <t>pacote</t>
        </is>
      </c>
      <c r="E783" s="10" t="inlineStr">
        <is>
          <t>Definir, validar e manter: Pacote</t>
        </is>
      </c>
      <c r="F783" s="10" t="n"/>
      <c r="G783" s="10" t="b">
        <v>1</v>
      </c>
      <c r="H783" s="10" t="b">
        <v>1</v>
      </c>
      <c r="I783" s="10" t="inlineStr">
        <is>
          <t>FOUND</t>
        </is>
      </c>
      <c r="J783" s="10" t="inlineStr">
        <is>
          <t>DIRECT</t>
        </is>
      </c>
      <c r="K783" s="10" t="inlineStr">
        <is>
          <t>FOUND</t>
        </is>
      </c>
      <c r="L783" s="10" t="inlineStr">
        <is>
          <t>alta</t>
        </is>
      </c>
      <c r="M783" s="10" t="inlineStr">
        <is>
          <t>["D14-DOC-PCV-001.OFFERS.PACOTE"]</t>
        </is>
      </c>
    </row>
    <row r="784">
      <c r="A784" s="10" t="inlineStr">
        <is>
          <t>D14-DOC-PCV-001.PRICING.PRECO</t>
        </is>
      </c>
      <c r="B784" s="10" t="inlineStr">
        <is>
          <t>D14-DOC-PCV-001</t>
        </is>
      </c>
      <c r="C784" s="10" t="inlineStr">
        <is>
          <t>D14-DOC-PCV-001-T03</t>
        </is>
      </c>
      <c r="D784" s="10" t="inlineStr">
        <is>
          <t>preco</t>
        </is>
      </c>
      <c r="E784" s="10" t="inlineStr">
        <is>
          <t>Definir, validar e manter: Preco</t>
        </is>
      </c>
      <c r="F784" s="10" t="n"/>
      <c r="G784" s="10" t="b">
        <v>1</v>
      </c>
      <c r="H784" s="10" t="b">
        <v>1</v>
      </c>
      <c r="I784" s="10" t="inlineStr">
        <is>
          <t>FOUND</t>
        </is>
      </c>
      <c r="J784" s="10" t="inlineStr">
        <is>
          <t>DIRECT</t>
        </is>
      </c>
      <c r="K784" s="10" t="inlineStr">
        <is>
          <t>FOUND</t>
        </is>
      </c>
      <c r="L784" s="10" t="inlineStr">
        <is>
          <t>alta</t>
        </is>
      </c>
      <c r="M784" s="10" t="inlineStr">
        <is>
          <t>["D14-DOC-PCV-001.PRICING.PRECO"]</t>
        </is>
      </c>
    </row>
    <row r="785">
      <c r="A785" s="10" t="inlineStr">
        <is>
          <t>D14-DOC-PCV-001.PRICING.DESCONTO</t>
        </is>
      </c>
      <c r="B785" s="10" t="inlineStr">
        <is>
          <t>D14-DOC-PCV-001</t>
        </is>
      </c>
      <c r="C785" s="10" t="inlineStr">
        <is>
          <t>D14-DOC-PCV-001-T03</t>
        </is>
      </c>
      <c r="D785" s="10" t="inlineStr">
        <is>
          <t>desconto</t>
        </is>
      </c>
      <c r="E785" s="10" t="inlineStr">
        <is>
          <t>Definir, validar e manter: Desconto</t>
        </is>
      </c>
      <c r="F785" s="10" t="n"/>
      <c r="G785" s="10" t="b">
        <v>1</v>
      </c>
      <c r="H785" s="10" t="b">
        <v>1</v>
      </c>
      <c r="I785" s="10" t="inlineStr">
        <is>
          <t>DERIVED</t>
        </is>
      </c>
      <c r="J785" s="10" t="inlineStr">
        <is>
          <t>PROPOSED</t>
        </is>
      </c>
      <c r="K785" s="10" t="inlineStr">
        <is>
          <t>DERIVED</t>
        </is>
      </c>
      <c r="L785" s="10" t="inlineStr">
        <is>
          <t>baixa</t>
        </is>
      </c>
      <c r="M785" s="10" t="inlineStr">
        <is>
          <t>["D14-DOC-PCV-001.PRICING.DESCONTO"]</t>
        </is>
      </c>
    </row>
    <row r="786">
      <c r="A786" s="10" t="inlineStr">
        <is>
          <t>D14-DOC-PCV-001.QUALIFICATION.CRITERIOS</t>
        </is>
      </c>
      <c r="B786" s="10" t="inlineStr">
        <is>
          <t>D14-DOC-PCV-001</t>
        </is>
      </c>
      <c r="C786" s="10" t="inlineStr">
        <is>
          <t>D14-DOC-PCV-001-T04</t>
        </is>
      </c>
      <c r="D786" s="10" t="inlineStr">
        <is>
          <t>criterios</t>
        </is>
      </c>
      <c r="E786" s="10" t="inlineStr">
        <is>
          <t>Definir, validar e manter: Criterios</t>
        </is>
      </c>
      <c r="F786" s="10" t="n"/>
      <c r="G786" s="10" t="b">
        <v>1</v>
      </c>
      <c r="H786" s="10" t="b">
        <v>1</v>
      </c>
      <c r="I786" s="10" t="inlineStr">
        <is>
          <t>DERIVED</t>
        </is>
      </c>
      <c r="J786" s="10" t="inlineStr">
        <is>
          <t>PROPOSED</t>
        </is>
      </c>
      <c r="K786" s="10" t="inlineStr">
        <is>
          <t>DERIVED</t>
        </is>
      </c>
      <c r="L786" s="10" t="inlineStr">
        <is>
          <t>baixa</t>
        </is>
      </c>
      <c r="M786" s="10" t="inlineStr">
        <is>
          <t>["D14-DOC-PCV-001.QUALIFICATION.CRITERIOS"]</t>
        </is>
      </c>
    </row>
    <row r="787">
      <c r="A787" s="10" t="inlineStr">
        <is>
          <t>D14-DOC-PCV-001.QUALIFICATION.SCORING</t>
        </is>
      </c>
      <c r="B787" s="10" t="inlineStr">
        <is>
          <t>D14-DOC-PCV-001</t>
        </is>
      </c>
      <c r="C787" s="10" t="inlineStr">
        <is>
          <t>D14-DOC-PCV-001-T04</t>
        </is>
      </c>
      <c r="D787" s="10" t="inlineStr">
        <is>
          <t>scoring</t>
        </is>
      </c>
      <c r="E787" s="10" t="inlineStr">
        <is>
          <t>Definir, validar e manter: Scoring</t>
        </is>
      </c>
      <c r="F787" s="10" t="n"/>
      <c r="G787" s="10" t="b">
        <v>1</v>
      </c>
      <c r="H787" s="10" t="b">
        <v>1</v>
      </c>
      <c r="I787" s="10" t="inlineStr">
        <is>
          <t>DERIVED</t>
        </is>
      </c>
      <c r="J787" s="10" t="inlineStr">
        <is>
          <t>PROPOSED</t>
        </is>
      </c>
      <c r="K787" s="10" t="inlineStr">
        <is>
          <t>DERIVED</t>
        </is>
      </c>
      <c r="L787" s="10" t="inlineStr">
        <is>
          <t>baixa</t>
        </is>
      </c>
      <c r="M787" s="10" t="inlineStr">
        <is>
          <t>["D14-DOC-PCV-001.QUALIFICATION.SCORING"]</t>
        </is>
      </c>
    </row>
    <row r="788">
      <c r="A788" s="10" t="inlineStr">
        <is>
          <t>D14-DOC-PCV-001.FUNNEL.LEAD</t>
        </is>
      </c>
      <c r="B788" s="10" t="inlineStr">
        <is>
          <t>D14-DOC-PCV-001</t>
        </is>
      </c>
      <c r="C788" s="10" t="inlineStr">
        <is>
          <t>D14-DOC-PCV-001-T05</t>
        </is>
      </c>
      <c r="D788" s="10" t="inlineStr">
        <is>
          <t>lead</t>
        </is>
      </c>
      <c r="E788" s="10" t="inlineStr">
        <is>
          <t>Definir, validar e manter: Lead</t>
        </is>
      </c>
      <c r="F788" s="10" t="n"/>
      <c r="G788" s="10" t="b">
        <v>1</v>
      </c>
      <c r="H788" s="10" t="b">
        <v>1</v>
      </c>
      <c r="I788" s="10" t="inlineStr">
        <is>
          <t>DERIVED</t>
        </is>
      </c>
      <c r="J788" s="10" t="inlineStr">
        <is>
          <t>PROPOSED</t>
        </is>
      </c>
      <c r="K788" s="10" t="inlineStr">
        <is>
          <t>DERIVED</t>
        </is>
      </c>
      <c r="L788" s="10" t="inlineStr">
        <is>
          <t>baixa</t>
        </is>
      </c>
      <c r="M788" s="10" t="inlineStr">
        <is>
          <t>["D14-DOC-PCV-001.FUNNEL.LEAD"]</t>
        </is>
      </c>
    </row>
    <row r="789">
      <c r="A789" s="10" t="inlineStr">
        <is>
          <t>D14-DOC-PCV-001.FUNNEL.MQL</t>
        </is>
      </c>
      <c r="B789" s="10" t="inlineStr">
        <is>
          <t>D14-DOC-PCV-001</t>
        </is>
      </c>
      <c r="C789" s="10" t="inlineStr">
        <is>
          <t>D14-DOC-PCV-001-T05</t>
        </is>
      </c>
      <c r="D789" s="10" t="inlineStr">
        <is>
          <t>mql</t>
        </is>
      </c>
      <c r="E789" s="10" t="inlineStr">
        <is>
          <t>Definir, validar e manter: Mql</t>
        </is>
      </c>
      <c r="F789" s="10" t="n"/>
      <c r="G789" s="10" t="b">
        <v>1</v>
      </c>
      <c r="H789" s="10" t="b">
        <v>1</v>
      </c>
      <c r="I789" s="10" t="inlineStr">
        <is>
          <t>DERIVED</t>
        </is>
      </c>
      <c r="J789" s="10" t="inlineStr">
        <is>
          <t>PROPOSED</t>
        </is>
      </c>
      <c r="K789" s="10" t="inlineStr">
        <is>
          <t>DERIVED</t>
        </is>
      </c>
      <c r="L789" s="10" t="inlineStr">
        <is>
          <t>baixa</t>
        </is>
      </c>
      <c r="M789" s="10" t="inlineStr">
        <is>
          <t>["D14-DOC-PCV-001.FUNNEL.MQL"]</t>
        </is>
      </c>
    </row>
    <row r="790">
      <c r="A790" s="10" t="inlineStr">
        <is>
          <t>D14-DOC-PCV-001.FUNNEL.SQL</t>
        </is>
      </c>
      <c r="B790" s="10" t="inlineStr">
        <is>
          <t>D14-DOC-PCV-001</t>
        </is>
      </c>
      <c r="C790" s="10" t="inlineStr">
        <is>
          <t>D14-DOC-PCV-001-T05</t>
        </is>
      </c>
      <c r="D790" s="10" t="inlineStr">
        <is>
          <t>sql</t>
        </is>
      </c>
      <c r="E790" s="10" t="inlineStr">
        <is>
          <t>Definir, validar e manter: Sql</t>
        </is>
      </c>
      <c r="F790" s="10" t="n"/>
      <c r="G790" s="10" t="b">
        <v>1</v>
      </c>
      <c r="H790" s="10" t="b">
        <v>1</v>
      </c>
      <c r="I790" s="10" t="inlineStr">
        <is>
          <t>DERIVED</t>
        </is>
      </c>
      <c r="J790" s="10" t="inlineStr">
        <is>
          <t>PROPOSED</t>
        </is>
      </c>
      <c r="K790" s="10" t="inlineStr">
        <is>
          <t>DERIVED</t>
        </is>
      </c>
      <c r="L790" s="10" t="inlineStr">
        <is>
          <t>baixa</t>
        </is>
      </c>
      <c r="M790" s="10" t="inlineStr">
        <is>
          <t>["D14-DOC-PCV-001.FUNNEL.SQL"]</t>
        </is>
      </c>
    </row>
    <row r="791">
      <c r="A791" s="10" t="inlineStr">
        <is>
          <t>D14-DOC-PCV-001.FUNNEL.PROPOSTA</t>
        </is>
      </c>
      <c r="B791" s="10" t="inlineStr">
        <is>
          <t>D14-DOC-PCV-001</t>
        </is>
      </c>
      <c r="C791" s="10" t="inlineStr">
        <is>
          <t>D14-DOC-PCV-001-T05</t>
        </is>
      </c>
      <c r="D791" s="10" t="inlineStr">
        <is>
          <t>proposta</t>
        </is>
      </c>
      <c r="E791" s="10" t="inlineStr">
        <is>
          <t>Definir, validar e manter: Proposta</t>
        </is>
      </c>
      <c r="F791" s="10" t="n"/>
      <c r="G791" s="10" t="b">
        <v>1</v>
      </c>
      <c r="H791" s="10" t="b">
        <v>1</v>
      </c>
      <c r="I791" s="10" t="inlineStr">
        <is>
          <t>DERIVED</t>
        </is>
      </c>
      <c r="J791" s="10" t="inlineStr">
        <is>
          <t>PROPOSED</t>
        </is>
      </c>
      <c r="K791" s="10" t="inlineStr">
        <is>
          <t>DERIVED</t>
        </is>
      </c>
      <c r="L791" s="10" t="inlineStr">
        <is>
          <t>baixa</t>
        </is>
      </c>
      <c r="M791" s="10" t="inlineStr">
        <is>
          <t>["D14-DOC-PCV-001.FUNNEL.PROPOSTA"]</t>
        </is>
      </c>
    </row>
    <row r="792">
      <c r="A792" s="10" t="inlineStr">
        <is>
          <t>D14-DOC-PCV-001.FUNNEL.GANHO</t>
        </is>
      </c>
      <c r="B792" s="10" t="inlineStr">
        <is>
          <t>D14-DOC-PCV-001</t>
        </is>
      </c>
      <c r="C792" s="10" t="inlineStr">
        <is>
          <t>D14-DOC-PCV-001-T05</t>
        </is>
      </c>
      <c r="D792" s="10" t="inlineStr">
        <is>
          <t>ganho</t>
        </is>
      </c>
      <c r="E792" s="10" t="inlineStr">
        <is>
          <t>Definir, validar e manter: Ganho</t>
        </is>
      </c>
      <c r="F792" s="10" t="n"/>
      <c r="G792" s="10" t="b">
        <v>1</v>
      </c>
      <c r="H792" s="10" t="b">
        <v>1</v>
      </c>
      <c r="I792" s="10" t="inlineStr">
        <is>
          <t>DERIVED</t>
        </is>
      </c>
      <c r="J792" s="10" t="inlineStr">
        <is>
          <t>PROPOSED</t>
        </is>
      </c>
      <c r="K792" s="10" t="inlineStr">
        <is>
          <t>DERIVED</t>
        </is>
      </c>
      <c r="L792" s="10" t="inlineStr">
        <is>
          <t>baixa</t>
        </is>
      </c>
      <c r="M792" s="10" t="inlineStr">
        <is>
          <t>["D14-DOC-PCV-001.FUNNEL.GANHO"]</t>
        </is>
      </c>
    </row>
    <row r="793">
      <c r="A793" s="10" t="inlineStr">
        <is>
          <t>D14-DOC-PCV-001.PROCESS.ETAPAS</t>
        </is>
      </c>
      <c r="B793" s="10" t="inlineStr">
        <is>
          <t>D14-DOC-PCV-001</t>
        </is>
      </c>
      <c r="C793" s="10" t="inlineStr">
        <is>
          <t>D14-DOC-PCV-001-T06</t>
        </is>
      </c>
      <c r="D793" s="10" t="inlineStr">
        <is>
          <t>etapas</t>
        </is>
      </c>
      <c r="E793" s="10" t="inlineStr">
        <is>
          <t>Definir, validar e manter: Etapas</t>
        </is>
      </c>
      <c r="F793" s="10" t="n"/>
      <c r="G793" s="10" t="b">
        <v>1</v>
      </c>
      <c r="H793" s="10" t="b">
        <v>1</v>
      </c>
      <c r="I793" s="10" t="inlineStr">
        <is>
          <t>FOUND</t>
        </is>
      </c>
      <c r="J793" s="10" t="inlineStr">
        <is>
          <t>DIRECT</t>
        </is>
      </c>
      <c r="K793" s="10" t="inlineStr">
        <is>
          <t>FOUND</t>
        </is>
      </c>
      <c r="L793" s="10" t="inlineStr">
        <is>
          <t>alta</t>
        </is>
      </c>
      <c r="M793" s="10" t="inlineStr">
        <is>
          <t>["D14-DOC-PCV-001.PROCESS.ETAPAS"]</t>
        </is>
      </c>
    </row>
    <row r="794">
      <c r="A794" s="10" t="inlineStr">
        <is>
          <t>D14-DOC-PCV-001.PROCESS.OWNER</t>
        </is>
      </c>
      <c r="B794" s="10" t="inlineStr">
        <is>
          <t>D14-DOC-PCV-001</t>
        </is>
      </c>
      <c r="C794" s="10" t="inlineStr">
        <is>
          <t>D14-DOC-PCV-001-T06</t>
        </is>
      </c>
      <c r="D794" s="10" t="inlineStr">
        <is>
          <t>owner</t>
        </is>
      </c>
      <c r="E794" s="10" t="inlineStr">
        <is>
          <t>Definir, validar e manter: Owner</t>
        </is>
      </c>
      <c r="F794" s="10" t="n"/>
      <c r="G794" s="10" t="b">
        <v>1</v>
      </c>
      <c r="H794" s="10" t="b">
        <v>1</v>
      </c>
      <c r="I794" s="10" t="inlineStr">
        <is>
          <t>DERIVED</t>
        </is>
      </c>
      <c r="J794" s="10" t="inlineStr">
        <is>
          <t>PROPOSED</t>
        </is>
      </c>
      <c r="K794" s="10" t="inlineStr">
        <is>
          <t>DERIVED</t>
        </is>
      </c>
      <c r="L794" s="10" t="inlineStr">
        <is>
          <t>baixa</t>
        </is>
      </c>
      <c r="M794" s="10" t="inlineStr">
        <is>
          <t>["D14-DOC-PCV-001.PROCESS.OWNER"]</t>
        </is>
      </c>
    </row>
    <row r="795">
      <c r="A795" s="10" t="inlineStr">
        <is>
          <t>D14-DOC-PCV-001.SCRIPTS.ABERTURA</t>
        </is>
      </c>
      <c r="B795" s="10" t="inlineStr">
        <is>
          <t>D14-DOC-PCV-001</t>
        </is>
      </c>
      <c r="C795" s="10" t="inlineStr">
        <is>
          <t>D14-DOC-PCV-001-T07</t>
        </is>
      </c>
      <c r="D795" s="10" t="inlineStr">
        <is>
          <t>abertura</t>
        </is>
      </c>
      <c r="E795" s="10" t="inlineStr">
        <is>
          <t>Definir, validar e manter: Abertura</t>
        </is>
      </c>
      <c r="F795" s="10" t="n"/>
      <c r="G795" s="10" t="b">
        <v>1</v>
      </c>
      <c r="H795" s="10" t="b">
        <v>1</v>
      </c>
      <c r="I795" s="10" t="inlineStr">
        <is>
          <t>DERIVED</t>
        </is>
      </c>
      <c r="J795" s="10" t="inlineStr">
        <is>
          <t>PROPOSED</t>
        </is>
      </c>
      <c r="K795" s="10" t="inlineStr">
        <is>
          <t>DERIVED</t>
        </is>
      </c>
      <c r="L795" s="10" t="inlineStr">
        <is>
          <t>baixa</t>
        </is>
      </c>
      <c r="M795" s="10" t="inlineStr">
        <is>
          <t>["D14-DOC-PCV-001.SCRIPTS.ABERTURA"]</t>
        </is>
      </c>
    </row>
    <row r="796">
      <c r="A796" s="10" t="inlineStr">
        <is>
          <t>D14-DOC-PCV-001.SCRIPTS.DESCOBERTA</t>
        </is>
      </c>
      <c r="B796" s="10" t="inlineStr">
        <is>
          <t>D14-DOC-PCV-001</t>
        </is>
      </c>
      <c r="C796" s="10" t="inlineStr">
        <is>
          <t>D14-DOC-PCV-001-T07</t>
        </is>
      </c>
      <c r="D796" s="10" t="inlineStr">
        <is>
          <t>descoberta</t>
        </is>
      </c>
      <c r="E796" s="10" t="inlineStr">
        <is>
          <t>Definir, validar e manter: Descoberta</t>
        </is>
      </c>
      <c r="F796" s="10" t="n"/>
      <c r="G796" s="10" t="b">
        <v>1</v>
      </c>
      <c r="H796" s="10" t="b">
        <v>1</v>
      </c>
      <c r="I796" s="10" t="inlineStr">
        <is>
          <t>DERIVED</t>
        </is>
      </c>
      <c r="J796" s="10" t="inlineStr">
        <is>
          <t>PROPOSED</t>
        </is>
      </c>
      <c r="K796" s="10" t="inlineStr">
        <is>
          <t>DERIVED</t>
        </is>
      </c>
      <c r="L796" s="10" t="inlineStr">
        <is>
          <t>baixa</t>
        </is>
      </c>
      <c r="M796" s="10" t="inlineStr">
        <is>
          <t>["D14-DOC-PCV-001.SCRIPTS.DESCOBERTA"]</t>
        </is>
      </c>
    </row>
    <row r="797">
      <c r="A797" s="10" t="inlineStr">
        <is>
          <t>D14-DOC-PCV-001.SCRIPTS.FECHAMENTO</t>
        </is>
      </c>
      <c r="B797" s="10" t="inlineStr">
        <is>
          <t>D14-DOC-PCV-001</t>
        </is>
      </c>
      <c r="C797" s="10" t="inlineStr">
        <is>
          <t>D14-DOC-PCV-001-T07</t>
        </is>
      </c>
      <c r="D797" s="10" t="inlineStr">
        <is>
          <t>fechamento</t>
        </is>
      </c>
      <c r="E797" s="10" t="inlineStr">
        <is>
          <t>Definir, validar e manter: Fechamento</t>
        </is>
      </c>
      <c r="F797" s="10" t="n"/>
      <c r="G797" s="10" t="b">
        <v>1</v>
      </c>
      <c r="H797" s="10" t="b">
        <v>1</v>
      </c>
      <c r="I797" s="10" t="inlineStr">
        <is>
          <t>DERIVED</t>
        </is>
      </c>
      <c r="J797" s="10" t="inlineStr">
        <is>
          <t>PROPOSED</t>
        </is>
      </c>
      <c r="K797" s="10" t="inlineStr">
        <is>
          <t>DERIVED</t>
        </is>
      </c>
      <c r="L797" s="10" t="inlineStr">
        <is>
          <t>baixa</t>
        </is>
      </c>
      <c r="M797" s="10" t="inlineStr">
        <is>
          <t>["D14-DOC-PCV-001.SCRIPTS.FECHAMENTO"]</t>
        </is>
      </c>
    </row>
    <row r="798">
      <c r="A798" s="10" t="inlineStr">
        <is>
          <t>D14-DOC-PCV-001.DISCOVERY.PERGUNTAS</t>
        </is>
      </c>
      <c r="B798" s="10" t="inlineStr">
        <is>
          <t>D14-DOC-PCV-001</t>
        </is>
      </c>
      <c r="C798" s="10" t="inlineStr">
        <is>
          <t>D14-DOC-PCV-001-T08</t>
        </is>
      </c>
      <c r="D798" s="10" t="inlineStr">
        <is>
          <t>perguntas</t>
        </is>
      </c>
      <c r="E798" s="10" t="inlineStr">
        <is>
          <t>Definir, validar e manter: Perguntas</t>
        </is>
      </c>
      <c r="F798" s="10" t="n"/>
      <c r="G798" s="10" t="b">
        <v>1</v>
      </c>
      <c r="H798" s="10" t="b">
        <v>1</v>
      </c>
      <c r="I798" s="10" t="inlineStr">
        <is>
          <t>DERIVED</t>
        </is>
      </c>
      <c r="J798" s="10" t="inlineStr">
        <is>
          <t>PROPOSED</t>
        </is>
      </c>
      <c r="K798" s="10" t="inlineStr">
        <is>
          <t>DERIVED</t>
        </is>
      </c>
      <c r="L798" s="10" t="inlineStr">
        <is>
          <t>baixa</t>
        </is>
      </c>
      <c r="M798" s="10" t="inlineStr">
        <is>
          <t>["D14-DOC-PCV-001.DISCOVERY.PERGUNTAS"]</t>
        </is>
      </c>
    </row>
    <row r="799">
      <c r="A799" s="10" t="inlineStr">
        <is>
          <t>D14-DOC-PCV-001.DISCOVERY.NECESSIDADES</t>
        </is>
      </c>
      <c r="B799" s="10" t="inlineStr">
        <is>
          <t>D14-DOC-PCV-001</t>
        </is>
      </c>
      <c r="C799" s="10" t="inlineStr">
        <is>
          <t>D14-DOC-PCV-001-T08</t>
        </is>
      </c>
      <c r="D799" s="10" t="inlineStr">
        <is>
          <t>necessidades</t>
        </is>
      </c>
      <c r="E799" s="10" t="inlineStr">
        <is>
          <t>Definir, validar e manter: Necessidades</t>
        </is>
      </c>
      <c r="F799" s="10" t="n"/>
      <c r="G799" s="10" t="b">
        <v>1</v>
      </c>
      <c r="H799" s="10" t="b">
        <v>1</v>
      </c>
      <c r="I799" s="10" t="inlineStr">
        <is>
          <t>DERIVED</t>
        </is>
      </c>
      <c r="J799" s="10" t="inlineStr">
        <is>
          <t>PROPOSED</t>
        </is>
      </c>
      <c r="K799" s="10" t="inlineStr">
        <is>
          <t>DERIVED</t>
        </is>
      </c>
      <c r="L799" s="10" t="inlineStr">
        <is>
          <t>baixa</t>
        </is>
      </c>
      <c r="M799" s="10" t="inlineStr">
        <is>
          <t>["D14-DOC-PCV-001.DISCOVERY.NECESSIDADES"]</t>
        </is>
      </c>
    </row>
    <row r="800">
      <c r="A800" s="10" t="inlineStr">
        <is>
          <t>D14-DOC-PCV-001.OBJECTIONS.OBJECAO</t>
        </is>
      </c>
      <c r="B800" s="10" t="inlineStr">
        <is>
          <t>D14-DOC-PCV-001</t>
        </is>
      </c>
      <c r="C800" s="10" t="inlineStr">
        <is>
          <t>D14-DOC-PCV-001-T09</t>
        </is>
      </c>
      <c r="D800" s="10" t="inlineStr">
        <is>
          <t>objecao</t>
        </is>
      </c>
      <c r="E800" s="10" t="inlineStr">
        <is>
          <t>Definir, validar e manter: Objecao</t>
        </is>
      </c>
      <c r="F800" s="10" t="n"/>
      <c r="G800" s="10" t="b">
        <v>1</v>
      </c>
      <c r="H800" s="10" t="b">
        <v>1</v>
      </c>
      <c r="I800" s="10" t="inlineStr">
        <is>
          <t>DERIVED</t>
        </is>
      </c>
      <c r="J800" s="10" t="inlineStr">
        <is>
          <t>PROPOSED</t>
        </is>
      </c>
      <c r="K800" s="10" t="inlineStr">
        <is>
          <t>DERIVED</t>
        </is>
      </c>
      <c r="L800" s="10" t="inlineStr">
        <is>
          <t>baixa</t>
        </is>
      </c>
      <c r="M800" s="10" t="inlineStr">
        <is>
          <t>["D14-DOC-PCV-001.OBJECTIONS.OBJECAO"]</t>
        </is>
      </c>
    </row>
    <row r="801">
      <c r="A801" s="10" t="inlineStr">
        <is>
          <t>D14-DOC-PCV-001.OBJECTIONS.RESPOSTA</t>
        </is>
      </c>
      <c r="B801" s="10" t="inlineStr">
        <is>
          <t>D14-DOC-PCV-001</t>
        </is>
      </c>
      <c r="C801" s="10" t="inlineStr">
        <is>
          <t>D14-DOC-PCV-001-T09</t>
        </is>
      </c>
      <c r="D801" s="10" t="inlineStr">
        <is>
          <t>resposta</t>
        </is>
      </c>
      <c r="E801" s="10" t="inlineStr">
        <is>
          <t>Definir, validar e manter: Resposta</t>
        </is>
      </c>
      <c r="F801" s="10" t="n"/>
      <c r="G801" s="10" t="b">
        <v>1</v>
      </c>
      <c r="H801" s="10" t="b">
        <v>1</v>
      </c>
      <c r="I801" s="10" t="inlineStr">
        <is>
          <t>DERIVED</t>
        </is>
      </c>
      <c r="J801" s="10" t="inlineStr">
        <is>
          <t>PROPOSED</t>
        </is>
      </c>
      <c r="K801" s="10" t="inlineStr">
        <is>
          <t>DERIVED</t>
        </is>
      </c>
      <c r="L801" s="10" t="inlineStr">
        <is>
          <t>baixa</t>
        </is>
      </c>
      <c r="M801" s="10" t="inlineStr">
        <is>
          <t>["D14-DOC-PCV-001.OBJECTIONS.RESPOSTA"]</t>
        </is>
      </c>
    </row>
    <row r="802">
      <c r="A802" s="10" t="inlineStr">
        <is>
          <t>D14-DOC-PCV-001.PROPOSALS.TEMPLATE</t>
        </is>
      </c>
      <c r="B802" s="10" t="inlineStr">
        <is>
          <t>D14-DOC-PCV-001</t>
        </is>
      </c>
      <c r="C802" s="10" t="inlineStr">
        <is>
          <t>D14-DOC-PCV-001-T10</t>
        </is>
      </c>
      <c r="D802" s="10" t="inlineStr">
        <is>
          <t>template</t>
        </is>
      </c>
      <c r="E802" s="10" t="inlineStr">
        <is>
          <t>Definir, validar e manter: Template</t>
        </is>
      </c>
      <c r="F802" s="10" t="n"/>
      <c r="G802" s="10" t="b">
        <v>1</v>
      </c>
      <c r="H802" s="10" t="b">
        <v>1</v>
      </c>
      <c r="I802" s="10" t="inlineStr">
        <is>
          <t>DERIVED</t>
        </is>
      </c>
      <c r="J802" s="10" t="inlineStr">
        <is>
          <t>PROPOSED</t>
        </is>
      </c>
      <c r="K802" s="10" t="inlineStr">
        <is>
          <t>DERIVED</t>
        </is>
      </c>
      <c r="L802" s="10" t="inlineStr">
        <is>
          <t>baixa</t>
        </is>
      </c>
      <c r="M802" s="10" t="inlineStr">
        <is>
          <t>["D14-DOC-PCV-001.PROPOSALS.TEMPLATE"]</t>
        </is>
      </c>
    </row>
    <row r="803">
      <c r="A803" s="10" t="inlineStr">
        <is>
          <t>D14-DOC-PCV-001.PROPOSALS.REQUISITOS</t>
        </is>
      </c>
      <c r="B803" s="10" t="inlineStr">
        <is>
          <t>D14-DOC-PCV-001</t>
        </is>
      </c>
      <c r="C803" s="10" t="inlineStr">
        <is>
          <t>D14-DOC-PCV-001-T10</t>
        </is>
      </c>
      <c r="D803" s="10" t="inlineStr">
        <is>
          <t>requisitos</t>
        </is>
      </c>
      <c r="E803" s="10" t="inlineStr">
        <is>
          <t>Definir, validar e manter: Requisitos</t>
        </is>
      </c>
      <c r="F803" s="10" t="n"/>
      <c r="G803" s="10" t="b">
        <v>1</v>
      </c>
      <c r="H803" s="10" t="b">
        <v>1</v>
      </c>
      <c r="I803" s="10" t="inlineStr">
        <is>
          <t>DERIVED</t>
        </is>
      </c>
      <c r="J803" s="10" t="inlineStr">
        <is>
          <t>PROPOSED</t>
        </is>
      </c>
      <c r="K803" s="10" t="inlineStr">
        <is>
          <t>DERIVED</t>
        </is>
      </c>
      <c r="L803" s="10" t="inlineStr">
        <is>
          <t>baixa</t>
        </is>
      </c>
      <c r="M803" s="10" t="inlineStr">
        <is>
          <t>["D14-DOC-PCV-001.PROPOSALS.REQUISITOS"]</t>
        </is>
      </c>
    </row>
    <row r="804">
      <c r="A804" s="10" t="inlineStr">
        <is>
          <t>D14-DOC-PCV-001.CRM.SISTEMA</t>
        </is>
      </c>
      <c r="B804" s="10" t="inlineStr">
        <is>
          <t>D14-DOC-PCV-001</t>
        </is>
      </c>
      <c r="C804" s="10" t="inlineStr">
        <is>
          <t>D14-DOC-PCV-001-T11</t>
        </is>
      </c>
      <c r="D804" s="10" t="inlineStr">
        <is>
          <t>sistema</t>
        </is>
      </c>
      <c r="E804" s="10" t="inlineStr">
        <is>
          <t>Definir, validar e manter: Sistema</t>
        </is>
      </c>
      <c r="F804" s="10" t="n"/>
      <c r="G804" s="10" t="b">
        <v>1</v>
      </c>
      <c r="H804" s="10" t="b">
        <v>1</v>
      </c>
      <c r="I804" s="10" t="inlineStr">
        <is>
          <t>DERIVED</t>
        </is>
      </c>
      <c r="J804" s="10" t="inlineStr">
        <is>
          <t>PROPOSED</t>
        </is>
      </c>
      <c r="K804" s="10" t="inlineStr">
        <is>
          <t>DERIVED</t>
        </is>
      </c>
      <c r="L804" s="10" t="inlineStr">
        <is>
          <t>baixa</t>
        </is>
      </c>
      <c r="M804" s="10" t="inlineStr">
        <is>
          <t>["D14-DOC-PCV-001.CRM.SISTEMA"]</t>
        </is>
      </c>
    </row>
    <row r="805">
      <c r="A805" s="10" t="inlineStr">
        <is>
          <t>D14-DOC-PCV-001.CRM.CAMPOS</t>
        </is>
      </c>
      <c r="B805" s="10" t="inlineStr">
        <is>
          <t>D14-DOC-PCV-001</t>
        </is>
      </c>
      <c r="C805" s="10" t="inlineStr">
        <is>
          <t>D14-DOC-PCV-001-T11</t>
        </is>
      </c>
      <c r="D805" s="10" t="inlineStr">
        <is>
          <t>campos</t>
        </is>
      </c>
      <c r="E805" s="10" t="inlineStr">
        <is>
          <t>Definir, validar e manter: Campos</t>
        </is>
      </c>
      <c r="F805" s="10" t="n"/>
      <c r="G805" s="10" t="b">
        <v>1</v>
      </c>
      <c r="H805" s="10" t="b">
        <v>1</v>
      </c>
      <c r="I805" s="10" t="inlineStr">
        <is>
          <t>DERIVED</t>
        </is>
      </c>
      <c r="J805" s="10" t="inlineStr">
        <is>
          <t>PROPOSED</t>
        </is>
      </c>
      <c r="K805" s="10" t="inlineStr">
        <is>
          <t>DERIVED</t>
        </is>
      </c>
      <c r="L805" s="10" t="inlineStr">
        <is>
          <t>baixa</t>
        </is>
      </c>
      <c r="M805" s="10" t="inlineStr">
        <is>
          <t>["D14-DOC-PCV-001.CRM.CAMPOS"]</t>
        </is>
      </c>
    </row>
    <row r="806">
      <c r="A806" s="10" t="inlineStr">
        <is>
          <t>D14-DOC-PCV-001.CRM.ETAPAS</t>
        </is>
      </c>
      <c r="B806" s="10" t="inlineStr">
        <is>
          <t>D14-DOC-PCV-001</t>
        </is>
      </c>
      <c r="C806" s="10" t="inlineStr">
        <is>
          <t>D14-DOC-PCV-001-T11</t>
        </is>
      </c>
      <c r="D806" s="10" t="inlineStr">
        <is>
          <t>etapas</t>
        </is>
      </c>
      <c r="E806" s="10" t="inlineStr">
        <is>
          <t>Definir, validar e manter: Etapas</t>
        </is>
      </c>
      <c r="F806" s="10" t="n"/>
      <c r="G806" s="10" t="b">
        <v>1</v>
      </c>
      <c r="H806" s="10" t="b">
        <v>1</v>
      </c>
      <c r="I806" s="10" t="inlineStr">
        <is>
          <t>DERIVED</t>
        </is>
      </c>
      <c r="J806" s="10" t="inlineStr">
        <is>
          <t>PROPOSED</t>
        </is>
      </c>
      <c r="K806" s="10" t="inlineStr">
        <is>
          <t>DERIVED</t>
        </is>
      </c>
      <c r="L806" s="10" t="inlineStr">
        <is>
          <t>baixa</t>
        </is>
      </c>
      <c r="M806" s="10" t="inlineStr">
        <is>
          <t>["D14-DOC-PCV-001.CRM.ETAPAS"]</t>
        </is>
      </c>
    </row>
    <row r="807">
      <c r="A807" s="10" t="inlineStr">
        <is>
          <t>D14-DOC-PCV-001.PIPELINE.VALOR</t>
        </is>
      </c>
      <c r="B807" s="10" t="inlineStr">
        <is>
          <t>D14-DOC-PCV-001</t>
        </is>
      </c>
      <c r="C807" s="10" t="inlineStr">
        <is>
          <t>D14-DOC-PCV-001-T12</t>
        </is>
      </c>
      <c r="D807" s="10" t="inlineStr">
        <is>
          <t>valor</t>
        </is>
      </c>
      <c r="E807" s="10" t="inlineStr">
        <is>
          <t>Definir, validar e manter: Valor</t>
        </is>
      </c>
      <c r="F807" s="10" t="n"/>
      <c r="G807" s="10" t="b">
        <v>1</v>
      </c>
      <c r="H807" s="10" t="b">
        <v>1</v>
      </c>
      <c r="I807" s="10" t="inlineStr">
        <is>
          <t>DERIVED</t>
        </is>
      </c>
      <c r="J807" s="10" t="inlineStr">
        <is>
          <t>PROPOSED</t>
        </is>
      </c>
      <c r="K807" s="10" t="inlineStr">
        <is>
          <t>DERIVED</t>
        </is>
      </c>
      <c r="L807" s="10" t="inlineStr">
        <is>
          <t>baixa</t>
        </is>
      </c>
      <c r="M807" s="10" t="inlineStr">
        <is>
          <t>["D14-DOC-PCV-001.PIPELINE.VALOR"]</t>
        </is>
      </c>
    </row>
    <row r="808">
      <c r="A808" s="10" t="inlineStr">
        <is>
          <t>D14-DOC-PCV-001.PIPELINE.PROBABILIDADE</t>
        </is>
      </c>
      <c r="B808" s="10" t="inlineStr">
        <is>
          <t>D14-DOC-PCV-001</t>
        </is>
      </c>
      <c r="C808" s="10" t="inlineStr">
        <is>
          <t>D14-DOC-PCV-001-T12</t>
        </is>
      </c>
      <c r="D808" s="10" t="inlineStr">
        <is>
          <t>probabilidade</t>
        </is>
      </c>
      <c r="E808" s="10" t="inlineStr">
        <is>
          <t>Definir, validar e manter: Probabilidade</t>
        </is>
      </c>
      <c r="F808" s="10" t="n"/>
      <c r="G808" s="10" t="b">
        <v>1</v>
      </c>
      <c r="H808" s="10" t="b">
        <v>1</v>
      </c>
      <c r="I808" s="10" t="inlineStr">
        <is>
          <t>DERIVED</t>
        </is>
      </c>
      <c r="J808" s="10" t="inlineStr">
        <is>
          <t>PROPOSED</t>
        </is>
      </c>
      <c r="K808" s="10" t="inlineStr">
        <is>
          <t>DERIVED</t>
        </is>
      </c>
      <c r="L808" s="10" t="inlineStr">
        <is>
          <t>baixa</t>
        </is>
      </c>
      <c r="M808" s="10" t="inlineStr">
        <is>
          <t>["D14-DOC-PCV-001.PIPELINE.PROBABILIDADE"]</t>
        </is>
      </c>
    </row>
    <row r="809">
      <c r="A809" s="10" t="inlineStr">
        <is>
          <t>D14-DOC-PCV-001.FORECAST.PERIODO</t>
        </is>
      </c>
      <c r="B809" s="10" t="inlineStr">
        <is>
          <t>D14-DOC-PCV-001</t>
        </is>
      </c>
      <c r="C809" s="10" t="inlineStr">
        <is>
          <t>D14-DOC-PCV-001-T13</t>
        </is>
      </c>
      <c r="D809" s="10" t="inlineStr">
        <is>
          <t>periodo</t>
        </is>
      </c>
      <c r="E809" s="10" t="inlineStr">
        <is>
          <t>Definir, validar e manter: Periodo</t>
        </is>
      </c>
      <c r="F809" s="10" t="n"/>
      <c r="G809" s="10" t="b">
        <v>1</v>
      </c>
      <c r="H809" s="10" t="b">
        <v>1</v>
      </c>
      <c r="I809" s="10" t="inlineStr">
        <is>
          <t>DERIVED</t>
        </is>
      </c>
      <c r="J809" s="10" t="inlineStr">
        <is>
          <t>PROPOSED</t>
        </is>
      </c>
      <c r="K809" s="10" t="inlineStr">
        <is>
          <t>DERIVED</t>
        </is>
      </c>
      <c r="L809" s="10" t="inlineStr">
        <is>
          <t>baixa</t>
        </is>
      </c>
      <c r="M809" s="10" t="inlineStr">
        <is>
          <t>["D14-DOC-PCV-001.FORECAST.PERIODO"]</t>
        </is>
      </c>
    </row>
    <row r="810">
      <c r="A810" s="10" t="inlineStr">
        <is>
          <t>D14-DOC-PCV-001.FORECAST.RECEITA</t>
        </is>
      </c>
      <c r="B810" s="10" t="inlineStr">
        <is>
          <t>D14-DOC-PCV-001</t>
        </is>
      </c>
      <c r="C810" s="10" t="inlineStr">
        <is>
          <t>D14-DOC-PCV-001-T13</t>
        </is>
      </c>
      <c r="D810" s="10" t="inlineStr">
        <is>
          <t>receita</t>
        </is>
      </c>
      <c r="E810" s="10" t="inlineStr">
        <is>
          <t>Definir, validar e manter: Receita</t>
        </is>
      </c>
      <c r="F810" s="10" t="n"/>
      <c r="G810" s="10" t="b">
        <v>1</v>
      </c>
      <c r="H810" s="10" t="b">
        <v>1</v>
      </c>
      <c r="I810" s="10" t="inlineStr">
        <is>
          <t>DERIVED</t>
        </is>
      </c>
      <c r="J810" s="10" t="inlineStr">
        <is>
          <t>PROPOSED</t>
        </is>
      </c>
      <c r="K810" s="10" t="inlineStr">
        <is>
          <t>DERIVED</t>
        </is>
      </c>
      <c r="L810" s="10" t="inlineStr">
        <is>
          <t>baixa</t>
        </is>
      </c>
      <c r="M810" s="10" t="inlineStr">
        <is>
          <t>["D14-DOC-PCV-001.FORECAST.RECEITA"]</t>
        </is>
      </c>
    </row>
    <row r="811">
      <c r="A811" s="10" t="inlineStr">
        <is>
          <t>D14-DOC-PCV-001.TARGETS.QUOTA</t>
        </is>
      </c>
      <c r="B811" s="10" t="inlineStr">
        <is>
          <t>D14-DOC-PCV-001</t>
        </is>
      </c>
      <c r="C811" s="10" t="inlineStr">
        <is>
          <t>D14-DOC-PCV-001-T14</t>
        </is>
      </c>
      <c r="D811" s="10" t="inlineStr">
        <is>
          <t>quota</t>
        </is>
      </c>
      <c r="E811" s="10" t="inlineStr">
        <is>
          <t>Definir, validar e manter: Quota</t>
        </is>
      </c>
      <c r="F811" s="10" t="n"/>
      <c r="G811" s="10" t="b">
        <v>1</v>
      </c>
      <c r="H811" s="10" t="b">
        <v>1</v>
      </c>
      <c r="I811" s="10" t="inlineStr">
        <is>
          <t>FOUND</t>
        </is>
      </c>
      <c r="J811" s="10" t="inlineStr">
        <is>
          <t>DIRECT</t>
        </is>
      </c>
      <c r="K811" s="10" t="inlineStr">
        <is>
          <t>FOUND</t>
        </is>
      </c>
      <c r="L811" s="10" t="inlineStr">
        <is>
          <t>alta</t>
        </is>
      </c>
      <c r="M811" s="10" t="inlineStr">
        <is>
          <t>["D14-DOC-PCV-001.TARGETS.QUOTA"]</t>
        </is>
      </c>
    </row>
    <row r="812">
      <c r="A812" s="10" t="inlineStr">
        <is>
          <t>D14-DOC-PCV-001.TARGETS.CONVERSAO</t>
        </is>
      </c>
      <c r="B812" s="10" t="inlineStr">
        <is>
          <t>D14-DOC-PCV-001</t>
        </is>
      </c>
      <c r="C812" s="10" t="inlineStr">
        <is>
          <t>D14-DOC-PCV-001-T14</t>
        </is>
      </c>
      <c r="D812" s="10" t="inlineStr">
        <is>
          <t>conversao</t>
        </is>
      </c>
      <c r="E812" s="10" t="inlineStr">
        <is>
          <t>Definir, validar e manter: Conversao</t>
        </is>
      </c>
      <c r="F812" s="10" t="n"/>
      <c r="G812" s="10" t="b">
        <v>1</v>
      </c>
      <c r="H812" s="10" t="b">
        <v>1</v>
      </c>
      <c r="I812" s="10" t="inlineStr">
        <is>
          <t>DERIVED</t>
        </is>
      </c>
      <c r="J812" s="10" t="inlineStr">
        <is>
          <t>PROPOSED</t>
        </is>
      </c>
      <c r="K812" s="10" t="inlineStr">
        <is>
          <t>DERIVED</t>
        </is>
      </c>
      <c r="L812" s="10" t="inlineStr">
        <is>
          <t>baixa</t>
        </is>
      </c>
      <c r="M812" s="10" t="inlineStr">
        <is>
          <t>["D14-DOC-PCV-001.TARGETS.CONVERSAO"]</t>
        </is>
      </c>
    </row>
    <row r="813">
      <c r="A813" s="10" t="inlineStr">
        <is>
          <t>D14-DOC-PCV-001.HANDOFF.CONTRATO</t>
        </is>
      </c>
      <c r="B813" s="10" t="inlineStr">
        <is>
          <t>D14-DOC-PCV-001</t>
        </is>
      </c>
      <c r="C813" s="10" t="inlineStr">
        <is>
          <t>D14-DOC-PCV-001-T15</t>
        </is>
      </c>
      <c r="D813" s="10" t="inlineStr">
        <is>
          <t>contrato</t>
        </is>
      </c>
      <c r="E813" s="10" t="inlineStr">
        <is>
          <t>Definir, validar e manter: Contrato</t>
        </is>
      </c>
      <c r="F813" s="10" t="n"/>
      <c r="G813" s="10" t="b">
        <v>1</v>
      </c>
      <c r="H813" s="10" t="b">
        <v>1</v>
      </c>
      <c r="I813" s="10" t="inlineStr">
        <is>
          <t>DERIVED</t>
        </is>
      </c>
      <c r="J813" s="10" t="inlineStr">
        <is>
          <t>PROPOSED</t>
        </is>
      </c>
      <c r="K813" s="10" t="inlineStr">
        <is>
          <t>DERIVED</t>
        </is>
      </c>
      <c r="L813" s="10" t="inlineStr">
        <is>
          <t>baixa</t>
        </is>
      </c>
      <c r="M813" s="10" t="inlineStr">
        <is>
          <t>["D14-DOC-PCV-001.HANDOFF.CONTRATO"]</t>
        </is>
      </c>
    </row>
    <row r="814">
      <c r="A814" s="10" t="inlineStr">
        <is>
          <t>D14-DOC-PCV-001.HANDOFF.ONBOARDING</t>
        </is>
      </c>
      <c r="B814" s="10" t="inlineStr">
        <is>
          <t>D14-DOC-PCV-001</t>
        </is>
      </c>
      <c r="C814" s="10" t="inlineStr">
        <is>
          <t>D14-DOC-PCV-001-T15</t>
        </is>
      </c>
      <c r="D814" s="10" t="inlineStr">
        <is>
          <t>onboarding</t>
        </is>
      </c>
      <c r="E814" s="10" t="inlineStr">
        <is>
          <t>Definir, validar e manter: Onboarding</t>
        </is>
      </c>
      <c r="F814" s="10" t="n"/>
      <c r="G814" s="10" t="b">
        <v>1</v>
      </c>
      <c r="H814" s="10" t="b">
        <v>1</v>
      </c>
      <c r="I814" s="10" t="inlineStr">
        <is>
          <t>DERIVED</t>
        </is>
      </c>
      <c r="J814" s="10" t="inlineStr">
        <is>
          <t>PROPOSED</t>
        </is>
      </c>
      <c r="K814" s="10" t="inlineStr">
        <is>
          <t>DERIVED</t>
        </is>
      </c>
      <c r="L814" s="10" t="inlineStr">
        <is>
          <t>baixa</t>
        </is>
      </c>
      <c r="M814" s="10" t="inlineStr">
        <is>
          <t>["D14-DOC-PCV-001.HANDOFF.ONBOARDING"]</t>
        </is>
      </c>
    </row>
    <row r="815">
      <c r="A815" s="10" t="inlineStr">
        <is>
          <t>D14-DOC-PCV-001.HANDOFF.CUSTOMER_SUCCESS</t>
        </is>
      </c>
      <c r="B815" s="10" t="inlineStr">
        <is>
          <t>D14-DOC-PCV-001</t>
        </is>
      </c>
      <c r="C815" s="10" t="inlineStr">
        <is>
          <t>D14-DOC-PCV-001-T15</t>
        </is>
      </c>
      <c r="D815" s="10" t="inlineStr">
        <is>
          <t>customer_success</t>
        </is>
      </c>
      <c r="E815" s="10" t="inlineStr">
        <is>
          <t>Definir, validar e manter: Customer Success</t>
        </is>
      </c>
      <c r="F815" s="10" t="n"/>
      <c r="G815" s="10" t="b">
        <v>1</v>
      </c>
      <c r="H815" s="10" t="b">
        <v>1</v>
      </c>
      <c r="I815" s="10" t="inlineStr">
        <is>
          <t>DERIVED</t>
        </is>
      </c>
      <c r="J815" s="10" t="inlineStr">
        <is>
          <t>PROPOSED</t>
        </is>
      </c>
      <c r="K815" s="10" t="inlineStr">
        <is>
          <t>DERIVED</t>
        </is>
      </c>
      <c r="L815" s="10" t="inlineStr">
        <is>
          <t>baixa</t>
        </is>
      </c>
      <c r="M815" s="10" t="inlineStr">
        <is>
          <t>["D14-DOC-PCV-001.HANDOFF.CUSTOMER_SUCCESS"]</t>
        </is>
      </c>
    </row>
    <row r="816">
      <c r="A816" s="10" t="inlineStr">
        <is>
          <t>D14-DOC-PCV-001.METRICS.WIN_RATE</t>
        </is>
      </c>
      <c r="B816" s="10" t="inlineStr">
        <is>
          <t>D14-DOC-PCV-001</t>
        </is>
      </c>
      <c r="C816" s="10" t="inlineStr">
        <is>
          <t>D14-DOC-PCV-001-T16</t>
        </is>
      </c>
      <c r="D816" s="10" t="inlineStr">
        <is>
          <t>win_rate</t>
        </is>
      </c>
      <c r="E816" s="10" t="inlineStr">
        <is>
          <t>Definir, validar e manter: Win Rate</t>
        </is>
      </c>
      <c r="F816" s="10" t="n"/>
      <c r="G816" s="10" t="b">
        <v>1</v>
      </c>
      <c r="H816" s="10" t="b">
        <v>1</v>
      </c>
      <c r="I816" s="10" t="inlineStr">
        <is>
          <t>DERIVED</t>
        </is>
      </c>
      <c r="J816" s="10" t="inlineStr">
        <is>
          <t>PROPOSED</t>
        </is>
      </c>
      <c r="K816" s="10" t="inlineStr">
        <is>
          <t>DERIVED</t>
        </is>
      </c>
      <c r="L816" s="10" t="inlineStr">
        <is>
          <t>baixa</t>
        </is>
      </c>
      <c r="M816" s="10" t="inlineStr">
        <is>
          <t>["D14-DOC-PCV-001.METRICS.WIN_RATE"]</t>
        </is>
      </c>
    </row>
    <row r="817">
      <c r="A817" s="10" t="inlineStr">
        <is>
          <t>D14-DOC-PCV-001.METRICS.CICLO</t>
        </is>
      </c>
      <c r="B817" s="10" t="inlineStr">
        <is>
          <t>D14-DOC-PCV-001</t>
        </is>
      </c>
      <c r="C817" s="10" t="inlineStr">
        <is>
          <t>D14-DOC-PCV-001-T16</t>
        </is>
      </c>
      <c r="D817" s="10" t="inlineStr">
        <is>
          <t>ciclo</t>
        </is>
      </c>
      <c r="E817" s="10" t="inlineStr">
        <is>
          <t>Definir, validar e manter: Ciclo</t>
        </is>
      </c>
      <c r="F817" s="10" t="n"/>
      <c r="G817" s="10" t="b">
        <v>1</v>
      </c>
      <c r="H817" s="10" t="b">
        <v>1</v>
      </c>
      <c r="I817" s="10" t="inlineStr">
        <is>
          <t>DERIVED</t>
        </is>
      </c>
      <c r="J817" s="10" t="inlineStr">
        <is>
          <t>PROPOSED</t>
        </is>
      </c>
      <c r="K817" s="10" t="inlineStr">
        <is>
          <t>DERIVED</t>
        </is>
      </c>
      <c r="L817" s="10" t="inlineStr">
        <is>
          <t>baixa</t>
        </is>
      </c>
      <c r="M817" s="10" t="inlineStr">
        <is>
          <t>["D14-DOC-PCV-001.METRICS.CICLO"]</t>
        </is>
      </c>
    </row>
    <row r="818">
      <c r="A818" s="10" t="inlineStr">
        <is>
          <t>D14-DOC-PCV-001.METRICS.TICKET</t>
        </is>
      </c>
      <c r="B818" s="10" t="inlineStr">
        <is>
          <t>D14-DOC-PCV-001</t>
        </is>
      </c>
      <c r="C818" s="10" t="inlineStr">
        <is>
          <t>D14-DOC-PCV-001-T16</t>
        </is>
      </c>
      <c r="D818" s="10" t="inlineStr">
        <is>
          <t>ticket</t>
        </is>
      </c>
      <c r="E818" s="10" t="inlineStr">
        <is>
          <t>Definir, validar e manter: Ticket</t>
        </is>
      </c>
      <c r="F818" s="10" t="n"/>
      <c r="G818" s="10" t="b">
        <v>1</v>
      </c>
      <c r="H818" s="10" t="b">
        <v>1</v>
      </c>
      <c r="I818" s="10" t="inlineStr">
        <is>
          <t>DERIVED</t>
        </is>
      </c>
      <c r="J818" s="10" t="inlineStr">
        <is>
          <t>PROPOSED</t>
        </is>
      </c>
      <c r="K818" s="10" t="inlineStr">
        <is>
          <t>DERIVED</t>
        </is>
      </c>
      <c r="L818" s="10" t="inlineStr">
        <is>
          <t>baixa</t>
        </is>
      </c>
      <c r="M818" s="10" t="inlineStr">
        <is>
          <t>["D14-DOC-PCV-001.METRICS.TICKET"]</t>
        </is>
      </c>
    </row>
    <row r="819">
      <c r="A819" s="10" t="inlineStr">
        <is>
          <t>D15-DOC-PASC-001.SERVICE_MODEL.MODELO</t>
        </is>
      </c>
      <c r="B819" s="10" t="inlineStr">
        <is>
          <t>D15-DOC-PASC-001</t>
        </is>
      </c>
      <c r="C819" s="10" t="inlineStr">
        <is>
          <t>D15-DOC-PASC-001-T01</t>
        </is>
      </c>
      <c r="D819" s="10" t="inlineStr">
        <is>
          <t>modelo</t>
        </is>
      </c>
      <c r="E819" s="10" t="inlineStr">
        <is>
          <t>Definir, validar e manter: Modelo</t>
        </is>
      </c>
      <c r="F819" s="10" t="n"/>
      <c r="G819" s="10" t="b">
        <v>1</v>
      </c>
      <c r="H819" s="10" t="b">
        <v>1</v>
      </c>
      <c r="I819" s="10" t="inlineStr">
        <is>
          <t>DERIVED</t>
        </is>
      </c>
      <c r="J819" s="10" t="inlineStr">
        <is>
          <t>PROPOSED</t>
        </is>
      </c>
      <c r="K819" s="10" t="inlineStr">
        <is>
          <t>DERIVED</t>
        </is>
      </c>
      <c r="L819" s="10" t="inlineStr">
        <is>
          <t>baixa</t>
        </is>
      </c>
      <c r="M819" s="10" t="inlineStr">
        <is>
          <t>["D15-DOC-PASC-001.SERVICE_MODEL.MODELO"]</t>
        </is>
      </c>
    </row>
    <row r="820">
      <c r="A820" s="10" t="inlineStr">
        <is>
          <t>D15-DOC-PASC-001.SERVICE_MODEL.SEGMENTOS</t>
        </is>
      </c>
      <c r="B820" s="10" t="inlineStr">
        <is>
          <t>D15-DOC-PASC-001</t>
        </is>
      </c>
      <c r="C820" s="10" t="inlineStr">
        <is>
          <t>D15-DOC-PASC-001-T01</t>
        </is>
      </c>
      <c r="D820" s="10" t="inlineStr">
        <is>
          <t>segmentos</t>
        </is>
      </c>
      <c r="E820" s="10" t="inlineStr">
        <is>
          <t>Definir, validar e manter: Segmentos</t>
        </is>
      </c>
      <c r="F820" s="10" t="n"/>
      <c r="G820" s="10" t="b">
        <v>1</v>
      </c>
      <c r="H820" s="10" t="b">
        <v>1</v>
      </c>
      <c r="I820" s="10" t="inlineStr">
        <is>
          <t>DERIVED</t>
        </is>
      </c>
      <c r="J820" s="10" t="inlineStr">
        <is>
          <t>PROPOSED</t>
        </is>
      </c>
      <c r="K820" s="10" t="inlineStr">
        <is>
          <t>DERIVED</t>
        </is>
      </c>
      <c r="L820" s="10" t="inlineStr">
        <is>
          <t>baixa</t>
        </is>
      </c>
      <c r="M820" s="10" t="inlineStr">
        <is>
          <t>["D15-DOC-PASC-001.SERVICE_MODEL.SEGMENTOS"]</t>
        </is>
      </c>
    </row>
    <row r="821">
      <c r="A821" s="10" t="inlineStr">
        <is>
          <t>D15-DOC-PASC-001.ONBOARDING.ETAPAS</t>
        </is>
      </c>
      <c r="B821" s="10" t="inlineStr">
        <is>
          <t>D15-DOC-PASC-001</t>
        </is>
      </c>
      <c r="C821" s="10" t="inlineStr">
        <is>
          <t>D15-DOC-PASC-001-T02</t>
        </is>
      </c>
      <c r="D821" s="10" t="inlineStr">
        <is>
          <t>etapas</t>
        </is>
      </c>
      <c r="E821" s="10" t="inlineStr">
        <is>
          <t>Definir, validar e manter: Etapas</t>
        </is>
      </c>
      <c r="F821" s="10" t="n"/>
      <c r="G821" s="10" t="b">
        <v>1</v>
      </c>
      <c r="H821" s="10" t="b">
        <v>1</v>
      </c>
      <c r="I821" s="10" t="inlineStr">
        <is>
          <t>DERIVED</t>
        </is>
      </c>
      <c r="J821" s="10" t="inlineStr">
        <is>
          <t>PROPOSED</t>
        </is>
      </c>
      <c r="K821" s="10" t="inlineStr">
        <is>
          <t>DERIVED</t>
        </is>
      </c>
      <c r="L821" s="10" t="inlineStr">
        <is>
          <t>baixa</t>
        </is>
      </c>
      <c r="M821" s="10" t="inlineStr">
        <is>
          <t>["D15-DOC-PASC-001.ONBOARDING.ETAPAS"]</t>
        </is>
      </c>
    </row>
    <row r="822">
      <c r="A822" s="10" t="inlineStr">
        <is>
          <t>D15-DOC-PASC-001.ONBOARDING.OBJETIVO</t>
        </is>
      </c>
      <c r="B822" s="10" t="inlineStr">
        <is>
          <t>D15-DOC-PASC-001</t>
        </is>
      </c>
      <c r="C822" s="10" t="inlineStr">
        <is>
          <t>D15-DOC-PASC-001-T02</t>
        </is>
      </c>
      <c r="D822" s="10" t="inlineStr">
        <is>
          <t>objetivo</t>
        </is>
      </c>
      <c r="E822" s="10" t="inlineStr">
        <is>
          <t>Definir, validar e manter: Objetivo</t>
        </is>
      </c>
      <c r="F822" s="10" t="n"/>
      <c r="G822" s="10" t="b">
        <v>1</v>
      </c>
      <c r="H822" s="10" t="b">
        <v>1</v>
      </c>
      <c r="I822" s="10" t="inlineStr">
        <is>
          <t>DERIVED</t>
        </is>
      </c>
      <c r="J822" s="10" t="inlineStr">
        <is>
          <t>PROPOSED</t>
        </is>
      </c>
      <c r="K822" s="10" t="inlineStr">
        <is>
          <t>DERIVED</t>
        </is>
      </c>
      <c r="L822" s="10" t="inlineStr">
        <is>
          <t>baixa</t>
        </is>
      </c>
      <c r="M822" s="10" t="inlineStr">
        <is>
          <t>["D15-DOC-PASC-001.ONBOARDING.OBJETIVO"]</t>
        </is>
      </c>
    </row>
    <row r="823">
      <c r="A823" s="10" t="inlineStr">
        <is>
          <t>D15-DOC-PASC-001.CHANNELS.EMAIL</t>
        </is>
      </c>
      <c r="B823" s="10" t="inlineStr">
        <is>
          <t>D15-DOC-PASC-001</t>
        </is>
      </c>
      <c r="C823" s="10" t="inlineStr">
        <is>
          <t>D15-DOC-PASC-001-T03</t>
        </is>
      </c>
      <c r="D823" s="10" t="inlineStr">
        <is>
          <t>email</t>
        </is>
      </c>
      <c r="E823" s="10" t="inlineStr">
        <is>
          <t>Definir, validar e manter: Email</t>
        </is>
      </c>
      <c r="F823" s="10" t="n"/>
      <c r="G823" s="10" t="b">
        <v>1</v>
      </c>
      <c r="H823" s="10" t="b">
        <v>1</v>
      </c>
      <c r="I823" s="10" t="inlineStr">
        <is>
          <t>DERIVED</t>
        </is>
      </c>
      <c r="J823" s="10" t="inlineStr">
        <is>
          <t>PROPOSED</t>
        </is>
      </c>
      <c r="K823" s="10" t="inlineStr">
        <is>
          <t>DERIVED</t>
        </is>
      </c>
      <c r="L823" s="10" t="inlineStr">
        <is>
          <t>baixa</t>
        </is>
      </c>
      <c r="M823" s="10" t="inlineStr">
        <is>
          <t>["D15-DOC-PASC-001.CHANNELS.EMAIL"]</t>
        </is>
      </c>
    </row>
    <row r="824">
      <c r="A824" s="10" t="inlineStr">
        <is>
          <t>D15-DOC-PASC-001.CHANNELS.CHAT</t>
        </is>
      </c>
      <c r="B824" s="10" t="inlineStr">
        <is>
          <t>D15-DOC-PASC-001</t>
        </is>
      </c>
      <c r="C824" s="10" t="inlineStr">
        <is>
          <t>D15-DOC-PASC-001-T03</t>
        </is>
      </c>
      <c r="D824" s="10" t="inlineStr">
        <is>
          <t>chat</t>
        </is>
      </c>
      <c r="E824" s="10" t="inlineStr">
        <is>
          <t>Definir, validar e manter: Chat</t>
        </is>
      </c>
      <c r="F824" s="10" t="n"/>
      <c r="G824" s="10" t="b">
        <v>1</v>
      </c>
      <c r="H824" s="10" t="b">
        <v>1</v>
      </c>
      <c r="I824" s="10" t="inlineStr">
        <is>
          <t>DERIVED</t>
        </is>
      </c>
      <c r="J824" s="10" t="inlineStr">
        <is>
          <t>PROPOSED</t>
        </is>
      </c>
      <c r="K824" s="10" t="inlineStr">
        <is>
          <t>DERIVED</t>
        </is>
      </c>
      <c r="L824" s="10" t="inlineStr">
        <is>
          <t>baixa</t>
        </is>
      </c>
      <c r="M824" s="10" t="inlineStr">
        <is>
          <t>["D15-DOC-PASC-001.CHANNELS.CHAT"]</t>
        </is>
      </c>
    </row>
    <row r="825">
      <c r="A825" s="10" t="inlineStr">
        <is>
          <t>D15-DOC-PASC-001.CHANNELS.OUTROS</t>
        </is>
      </c>
      <c r="B825" s="10" t="inlineStr">
        <is>
          <t>D15-DOC-PASC-001</t>
        </is>
      </c>
      <c r="C825" s="10" t="inlineStr">
        <is>
          <t>D15-DOC-PASC-001-T03</t>
        </is>
      </c>
      <c r="D825" s="10" t="inlineStr">
        <is>
          <t>outros</t>
        </is>
      </c>
      <c r="E825" s="10" t="inlineStr">
        <is>
          <t>Definir, validar e manter: Outros</t>
        </is>
      </c>
      <c r="F825" s="10" t="n"/>
      <c r="G825" s="10" t="b">
        <v>1</v>
      </c>
      <c r="H825" s="10" t="b">
        <v>1</v>
      </c>
      <c r="I825" s="10" t="inlineStr">
        <is>
          <t>DERIVED</t>
        </is>
      </c>
      <c r="J825" s="10" t="inlineStr">
        <is>
          <t>PROPOSED</t>
        </is>
      </c>
      <c r="K825" s="10" t="inlineStr">
        <is>
          <t>DERIVED</t>
        </is>
      </c>
      <c r="L825" s="10" t="inlineStr">
        <is>
          <t>baixa</t>
        </is>
      </c>
      <c r="M825" s="10" t="inlineStr">
        <is>
          <t>["D15-DOC-PASC-001.CHANNELS.OUTROS"]</t>
        </is>
      </c>
    </row>
    <row r="826">
      <c r="A826" s="10" t="inlineStr">
        <is>
          <t>D15-DOC-PASC-001.SERVICE_HOURS.HORARIOS</t>
        </is>
      </c>
      <c r="B826" s="10" t="inlineStr">
        <is>
          <t>D15-DOC-PASC-001</t>
        </is>
      </c>
      <c r="C826" s="10" t="inlineStr">
        <is>
          <t>D15-DOC-PASC-001-T04</t>
        </is>
      </c>
      <c r="D826" s="10" t="inlineStr">
        <is>
          <t>horarios</t>
        </is>
      </c>
      <c r="E826" s="10" t="inlineStr">
        <is>
          <t>Definir, validar e manter: Horarios</t>
        </is>
      </c>
      <c r="F826" s="10" t="n"/>
      <c r="G826" s="10" t="b">
        <v>1</v>
      </c>
      <c r="H826" s="10" t="b">
        <v>1</v>
      </c>
      <c r="I826" s="10" t="inlineStr">
        <is>
          <t>DERIVED</t>
        </is>
      </c>
      <c r="J826" s="10" t="inlineStr">
        <is>
          <t>PROPOSED</t>
        </is>
      </c>
      <c r="K826" s="10" t="inlineStr">
        <is>
          <t>DERIVED</t>
        </is>
      </c>
      <c r="L826" s="10" t="inlineStr">
        <is>
          <t>baixa</t>
        </is>
      </c>
      <c r="M826" s="10" t="inlineStr">
        <is>
          <t>["D15-DOC-PASC-001.SERVICE_HOURS.HORARIOS"]</t>
        </is>
      </c>
    </row>
    <row r="827">
      <c r="A827" s="10" t="inlineStr">
        <is>
          <t>D15-DOC-PASC-001.SLA.PRIORIDADE</t>
        </is>
      </c>
      <c r="B827" s="10" t="inlineStr">
        <is>
          <t>D15-DOC-PASC-001</t>
        </is>
      </c>
      <c r="C827" s="10" t="inlineStr">
        <is>
          <t>D15-DOC-PASC-001-T05</t>
        </is>
      </c>
      <c r="D827" s="10" t="inlineStr">
        <is>
          <t>prioridade</t>
        </is>
      </c>
      <c r="E827" s="10" t="inlineStr">
        <is>
          <t>Definir, validar e manter: Prioridade</t>
        </is>
      </c>
      <c r="F827" s="10" t="n"/>
      <c r="G827" s="10" t="b">
        <v>1</v>
      </c>
      <c r="H827" s="10" t="b">
        <v>1</v>
      </c>
      <c r="I827" s="10" t="inlineStr">
        <is>
          <t>EXTERNAL</t>
        </is>
      </c>
      <c r="J827" s="10" t="inlineStr">
        <is>
          <t>EXTERNAL_EVIDENCE</t>
        </is>
      </c>
      <c r="K827" s="10" t="inlineStr">
        <is>
          <t>EXTERNAL</t>
        </is>
      </c>
      <c r="L827" s="10" t="inlineStr">
        <is>
          <t>media</t>
        </is>
      </c>
      <c r="M827" s="10" t="inlineStr">
        <is>
          <t>["D15-DOC-PASC-001.SLA.PRIORIDADE"]</t>
        </is>
      </c>
    </row>
    <row r="828">
      <c r="A828" s="10" t="inlineStr">
        <is>
          <t>D15-DOC-PASC-001.SLA.PRAZO</t>
        </is>
      </c>
      <c r="B828" s="10" t="inlineStr">
        <is>
          <t>D15-DOC-PASC-001</t>
        </is>
      </c>
      <c r="C828" s="10" t="inlineStr">
        <is>
          <t>D15-DOC-PASC-001-T05</t>
        </is>
      </c>
      <c r="D828" s="10" t="inlineStr">
        <is>
          <t>prazo</t>
        </is>
      </c>
      <c r="E828" s="10" t="inlineStr">
        <is>
          <t>Definir, validar e manter: Prazo</t>
        </is>
      </c>
      <c r="F828" s="10" t="n"/>
      <c r="G828" s="10" t="b">
        <v>1</v>
      </c>
      <c r="H828" s="10" t="b">
        <v>1</v>
      </c>
      <c r="I828" s="10" t="inlineStr">
        <is>
          <t>DERIVED</t>
        </is>
      </c>
      <c r="J828" s="10" t="inlineStr">
        <is>
          <t>PROPOSED</t>
        </is>
      </c>
      <c r="K828" s="10" t="inlineStr">
        <is>
          <t>DERIVED</t>
        </is>
      </c>
      <c r="L828" s="10" t="inlineStr">
        <is>
          <t>baixa</t>
        </is>
      </c>
      <c r="M828" s="10" t="inlineStr">
        <is>
          <t>["D15-DOC-PASC-001.SLA.PRAZO"]</t>
        </is>
      </c>
    </row>
    <row r="829">
      <c r="A829" s="10" t="inlineStr">
        <is>
          <t>D15-DOC-PASC-001.KNOWLEDGE_BASE.ARTIGOS</t>
        </is>
      </c>
      <c r="B829" s="10" t="inlineStr">
        <is>
          <t>D15-DOC-PASC-001</t>
        </is>
      </c>
      <c r="C829" s="10" t="inlineStr">
        <is>
          <t>D15-DOC-PASC-001-T06</t>
        </is>
      </c>
      <c r="D829" s="10" t="inlineStr">
        <is>
          <t>artigos</t>
        </is>
      </c>
      <c r="E829" s="10" t="inlineStr">
        <is>
          <t>Definir, validar e manter: Artigos</t>
        </is>
      </c>
      <c r="F829" s="10" t="n"/>
      <c r="G829" s="10" t="b">
        <v>1</v>
      </c>
      <c r="H829" s="10" t="b">
        <v>1</v>
      </c>
      <c r="I829" s="10" t="inlineStr">
        <is>
          <t>DERIVED</t>
        </is>
      </c>
      <c r="J829" s="10" t="inlineStr">
        <is>
          <t>PROPOSED</t>
        </is>
      </c>
      <c r="K829" s="10" t="inlineStr">
        <is>
          <t>DERIVED</t>
        </is>
      </c>
      <c r="L829" s="10" t="inlineStr">
        <is>
          <t>baixa</t>
        </is>
      </c>
      <c r="M829" s="10" t="inlineStr">
        <is>
          <t>["D15-DOC-PASC-001.KNOWLEDGE_BASE.ARTIGOS"]</t>
        </is>
      </c>
    </row>
    <row r="830">
      <c r="A830" s="10" t="inlineStr">
        <is>
          <t>D15-DOC-PASC-001.KNOWLEDGE_BASE.FAQ</t>
        </is>
      </c>
      <c r="B830" s="10" t="inlineStr">
        <is>
          <t>D15-DOC-PASC-001</t>
        </is>
      </c>
      <c r="C830" s="10" t="inlineStr">
        <is>
          <t>D15-DOC-PASC-001-T06</t>
        </is>
      </c>
      <c r="D830" s="10" t="inlineStr">
        <is>
          <t>faq</t>
        </is>
      </c>
      <c r="E830" s="10" t="inlineStr">
        <is>
          <t>Definir, validar e manter: Faq</t>
        </is>
      </c>
      <c r="F830" s="10" t="n"/>
      <c r="G830" s="10" t="b">
        <v>1</v>
      </c>
      <c r="H830" s="10" t="b">
        <v>1</v>
      </c>
      <c r="I830" s="10" t="inlineStr">
        <is>
          <t>DERIVED</t>
        </is>
      </c>
      <c r="J830" s="10" t="inlineStr">
        <is>
          <t>PROPOSED</t>
        </is>
      </c>
      <c r="K830" s="10" t="inlineStr">
        <is>
          <t>DERIVED</t>
        </is>
      </c>
      <c r="L830" s="10" t="inlineStr">
        <is>
          <t>baixa</t>
        </is>
      </c>
      <c r="M830" s="10" t="inlineStr">
        <is>
          <t>["D15-DOC-PASC-001.KNOWLEDGE_BASE.FAQ"]</t>
        </is>
      </c>
    </row>
    <row r="831">
      <c r="A831" s="10" t="inlineStr">
        <is>
          <t>D15-DOC-PASC-001.TICKETING.CLASSIFICACAO</t>
        </is>
      </c>
      <c r="B831" s="10" t="inlineStr">
        <is>
          <t>D15-DOC-PASC-001</t>
        </is>
      </c>
      <c r="C831" s="10" t="inlineStr">
        <is>
          <t>D15-DOC-PASC-001-T07</t>
        </is>
      </c>
      <c r="D831" s="10" t="inlineStr">
        <is>
          <t>classificacao</t>
        </is>
      </c>
      <c r="E831" s="10" t="inlineStr">
        <is>
          <t>Definir, validar e manter: Classificacao</t>
        </is>
      </c>
      <c r="F831" s="10" t="n"/>
      <c r="G831" s="10" t="b">
        <v>1</v>
      </c>
      <c r="H831" s="10" t="b">
        <v>1</v>
      </c>
      <c r="I831" s="10" t="inlineStr">
        <is>
          <t>EXTERNAL</t>
        </is>
      </c>
      <c r="J831" s="10" t="inlineStr">
        <is>
          <t>EXTERNAL_EVIDENCE</t>
        </is>
      </c>
      <c r="K831" s="10" t="inlineStr">
        <is>
          <t>EXTERNAL</t>
        </is>
      </c>
      <c r="L831" s="10" t="inlineStr">
        <is>
          <t>media</t>
        </is>
      </c>
      <c r="M831" s="10" t="inlineStr">
        <is>
          <t>["D15-DOC-PASC-001.TICKETING.CLASSIFICACAO"]</t>
        </is>
      </c>
    </row>
    <row r="832">
      <c r="A832" s="10" t="inlineStr">
        <is>
          <t>D15-DOC-PASC-001.TICKETING.FLUXO</t>
        </is>
      </c>
      <c r="B832" s="10" t="inlineStr">
        <is>
          <t>D15-DOC-PASC-001</t>
        </is>
      </c>
      <c r="C832" s="10" t="inlineStr">
        <is>
          <t>D15-DOC-PASC-001-T07</t>
        </is>
      </c>
      <c r="D832" s="10" t="inlineStr">
        <is>
          <t>fluxo</t>
        </is>
      </c>
      <c r="E832" s="10" t="inlineStr">
        <is>
          <t>Definir, validar e manter: Fluxo</t>
        </is>
      </c>
      <c r="F832" s="10" t="n"/>
      <c r="G832" s="10" t="b">
        <v>1</v>
      </c>
      <c r="H832" s="10" t="b">
        <v>1</v>
      </c>
      <c r="I832" s="10" t="inlineStr">
        <is>
          <t>DERIVED</t>
        </is>
      </c>
      <c r="J832" s="10" t="inlineStr">
        <is>
          <t>PROPOSED</t>
        </is>
      </c>
      <c r="K832" s="10" t="inlineStr">
        <is>
          <t>DERIVED</t>
        </is>
      </c>
      <c r="L832" s="10" t="inlineStr">
        <is>
          <t>baixa</t>
        </is>
      </c>
      <c r="M832" s="10" t="inlineStr">
        <is>
          <t>["D15-DOC-PASC-001.TICKETING.FLUXO"]</t>
        </is>
      </c>
    </row>
    <row r="833">
      <c r="A833" s="10" t="inlineStr">
        <is>
          <t>D15-DOC-PASC-001.ESCALATION.NIVEL</t>
        </is>
      </c>
      <c r="B833" s="10" t="inlineStr">
        <is>
          <t>D15-DOC-PASC-001</t>
        </is>
      </c>
      <c r="C833" s="10" t="inlineStr">
        <is>
          <t>D15-DOC-PASC-001-T08</t>
        </is>
      </c>
      <c r="D833" s="10" t="inlineStr">
        <is>
          <t>nivel</t>
        </is>
      </c>
      <c r="E833" s="10" t="inlineStr">
        <is>
          <t>Definir, validar e manter: Nivel</t>
        </is>
      </c>
      <c r="F833" s="10" t="n"/>
      <c r="G833" s="10" t="b">
        <v>1</v>
      </c>
      <c r="H833" s="10" t="b">
        <v>1</v>
      </c>
      <c r="I833" s="10" t="inlineStr">
        <is>
          <t>DERIVED</t>
        </is>
      </c>
      <c r="J833" s="10" t="inlineStr">
        <is>
          <t>PROPOSED</t>
        </is>
      </c>
      <c r="K833" s="10" t="inlineStr">
        <is>
          <t>DERIVED</t>
        </is>
      </c>
      <c r="L833" s="10" t="inlineStr">
        <is>
          <t>baixa</t>
        </is>
      </c>
      <c r="M833" s="10" t="inlineStr">
        <is>
          <t>["D15-DOC-PASC-001.ESCALATION.NIVEL"]</t>
        </is>
      </c>
    </row>
    <row r="834">
      <c r="A834" s="10" t="inlineStr">
        <is>
          <t>D15-DOC-PASC-001.ESCALATION.RESPONSAVEL</t>
        </is>
      </c>
      <c r="B834" s="10" t="inlineStr">
        <is>
          <t>D15-DOC-PASC-001</t>
        </is>
      </c>
      <c r="C834" s="10" t="inlineStr">
        <is>
          <t>D15-DOC-PASC-001-T08</t>
        </is>
      </c>
      <c r="D834" s="10" t="inlineStr">
        <is>
          <t>responsavel</t>
        </is>
      </c>
      <c r="E834" s="10" t="inlineStr">
        <is>
          <t>Definir, validar e manter: Responsavel</t>
        </is>
      </c>
      <c r="F834" s="10" t="n"/>
      <c r="G834" s="10" t="b">
        <v>1</v>
      </c>
      <c r="H834" s="10" t="b">
        <v>1</v>
      </c>
      <c r="I834" s="10" t="inlineStr">
        <is>
          <t>EXTERNAL</t>
        </is>
      </c>
      <c r="J834" s="10" t="inlineStr">
        <is>
          <t>EXTERNAL_EVIDENCE</t>
        </is>
      </c>
      <c r="K834" s="10" t="inlineStr">
        <is>
          <t>EXTERNAL</t>
        </is>
      </c>
      <c r="L834" s="10" t="inlineStr">
        <is>
          <t>media</t>
        </is>
      </c>
      <c r="M834" s="10" t="inlineStr">
        <is>
          <t>["D15-DOC-PASC-001.ESCALATION.RESPONSAVEL"]</t>
        </is>
      </c>
    </row>
    <row r="835">
      <c r="A835" s="10" t="inlineStr">
        <is>
          <t>D15-DOC-PASC-001.SUCCESS_PLAN.OBJETIVO_DO_CLIENTE</t>
        </is>
      </c>
      <c r="B835" s="10" t="inlineStr">
        <is>
          <t>D15-DOC-PASC-001</t>
        </is>
      </c>
      <c r="C835" s="10" t="inlineStr">
        <is>
          <t>D15-DOC-PASC-001-T09</t>
        </is>
      </c>
      <c r="D835" s="10" t="inlineStr">
        <is>
          <t>objetivo_do_cliente</t>
        </is>
      </c>
      <c r="E835" s="10" t="inlineStr">
        <is>
          <t>Definir, validar e manter: Objetivo Do Cliente</t>
        </is>
      </c>
      <c r="F835" s="10" t="n"/>
      <c r="G835" s="10" t="b">
        <v>1</v>
      </c>
      <c r="H835" s="10" t="b">
        <v>1</v>
      </c>
      <c r="I835" s="10" t="inlineStr">
        <is>
          <t>DERIVED</t>
        </is>
      </c>
      <c r="J835" s="10" t="inlineStr">
        <is>
          <t>PROPOSED</t>
        </is>
      </c>
      <c r="K835" s="10" t="inlineStr">
        <is>
          <t>DERIVED</t>
        </is>
      </c>
      <c r="L835" s="10" t="inlineStr">
        <is>
          <t>baixa</t>
        </is>
      </c>
      <c r="M835" s="10" t="inlineStr">
        <is>
          <t>["D15-DOC-PASC-001.SUCCESS_PLAN.OBJETIVO_DO_CLIENTE"]</t>
        </is>
      </c>
    </row>
    <row r="836">
      <c r="A836" s="10" t="inlineStr">
        <is>
          <t>D15-DOC-PASC-001.SUCCESS_PLAN.MARCO</t>
        </is>
      </c>
      <c r="B836" s="10" t="inlineStr">
        <is>
          <t>D15-DOC-PASC-001</t>
        </is>
      </c>
      <c r="C836" s="10" t="inlineStr">
        <is>
          <t>D15-DOC-PASC-001-T09</t>
        </is>
      </c>
      <c r="D836" s="10" t="inlineStr">
        <is>
          <t>marco</t>
        </is>
      </c>
      <c r="E836" s="10" t="inlineStr">
        <is>
          <t>Definir, validar e manter: Marco</t>
        </is>
      </c>
      <c r="F836" s="10" t="n"/>
      <c r="G836" s="10" t="b">
        <v>1</v>
      </c>
      <c r="H836" s="10" t="b">
        <v>1</v>
      </c>
      <c r="I836" s="10" t="inlineStr">
        <is>
          <t>DERIVED</t>
        </is>
      </c>
      <c r="J836" s="10" t="inlineStr">
        <is>
          <t>PROPOSED</t>
        </is>
      </c>
      <c r="K836" s="10" t="inlineStr">
        <is>
          <t>DERIVED</t>
        </is>
      </c>
      <c r="L836" s="10" t="inlineStr">
        <is>
          <t>baixa</t>
        </is>
      </c>
      <c r="M836" s="10" t="inlineStr">
        <is>
          <t>["D15-DOC-PASC-001.SUCCESS_PLAN.MARCO"]</t>
        </is>
      </c>
    </row>
    <row r="837">
      <c r="A837" s="10" t="inlineStr">
        <is>
          <t>D15-DOC-PASC-001.HEALTH_SCORE.INDICADORES</t>
        </is>
      </c>
      <c r="B837" s="10" t="inlineStr">
        <is>
          <t>D15-DOC-PASC-001</t>
        </is>
      </c>
      <c r="C837" s="10" t="inlineStr">
        <is>
          <t>D15-DOC-PASC-001-T10</t>
        </is>
      </c>
      <c r="D837" s="10" t="inlineStr">
        <is>
          <t>indicadores</t>
        </is>
      </c>
      <c r="E837" s="10" t="inlineStr">
        <is>
          <t>Definir, validar e manter: Indicadores</t>
        </is>
      </c>
      <c r="F837" s="10" t="n"/>
      <c r="G837" s="10" t="b">
        <v>1</v>
      </c>
      <c r="H837" s="10" t="b">
        <v>1</v>
      </c>
      <c r="I837" s="10" t="inlineStr">
        <is>
          <t>DERIVED</t>
        </is>
      </c>
      <c r="J837" s="10" t="inlineStr">
        <is>
          <t>PROPOSED</t>
        </is>
      </c>
      <c r="K837" s="10" t="inlineStr">
        <is>
          <t>DERIVED</t>
        </is>
      </c>
      <c r="L837" s="10" t="inlineStr">
        <is>
          <t>baixa</t>
        </is>
      </c>
      <c r="M837" s="10" t="inlineStr">
        <is>
          <t>["D15-DOC-PASC-001.HEALTH_SCORE.INDICADORES"]</t>
        </is>
      </c>
    </row>
    <row r="838">
      <c r="A838" s="10" t="inlineStr">
        <is>
          <t>D15-DOC-PASC-001.FEEDBACK.COLETA</t>
        </is>
      </c>
      <c r="B838" s="10" t="inlineStr">
        <is>
          <t>D15-DOC-PASC-001</t>
        </is>
      </c>
      <c r="C838" s="10" t="inlineStr">
        <is>
          <t>D15-DOC-PASC-001-T11</t>
        </is>
      </c>
      <c r="D838" s="10" t="inlineStr">
        <is>
          <t>coleta</t>
        </is>
      </c>
      <c r="E838" s="10" t="inlineStr">
        <is>
          <t>Definir, validar e manter: Coleta</t>
        </is>
      </c>
      <c r="F838" s="10" t="n"/>
      <c r="G838" s="10" t="b">
        <v>1</v>
      </c>
      <c r="H838" s="10" t="b">
        <v>1</v>
      </c>
      <c r="I838" s="10" t="inlineStr">
        <is>
          <t>DERIVED</t>
        </is>
      </c>
      <c r="J838" s="10" t="inlineStr">
        <is>
          <t>PROPOSED</t>
        </is>
      </c>
      <c r="K838" s="10" t="inlineStr">
        <is>
          <t>DERIVED</t>
        </is>
      </c>
      <c r="L838" s="10" t="inlineStr">
        <is>
          <t>baixa</t>
        </is>
      </c>
      <c r="M838" s="10" t="inlineStr">
        <is>
          <t>["D15-DOC-PASC-001.FEEDBACK.COLETA"]</t>
        </is>
      </c>
    </row>
    <row r="839">
      <c r="A839" s="10" t="inlineStr">
        <is>
          <t>D15-DOC-PASC-001.FEEDBACK.TRATAMENTO</t>
        </is>
      </c>
      <c r="B839" s="10" t="inlineStr">
        <is>
          <t>D15-DOC-PASC-001</t>
        </is>
      </c>
      <c r="C839" s="10" t="inlineStr">
        <is>
          <t>D15-DOC-PASC-001-T11</t>
        </is>
      </c>
      <c r="D839" s="10" t="inlineStr">
        <is>
          <t>tratamento</t>
        </is>
      </c>
      <c r="E839" s="10" t="inlineStr">
        <is>
          <t>Definir, validar e manter: Tratamento</t>
        </is>
      </c>
      <c r="F839" s="10" t="n"/>
      <c r="G839" s="10" t="b">
        <v>1</v>
      </c>
      <c r="H839" s="10" t="b">
        <v>1</v>
      </c>
      <c r="I839" s="10" t="inlineStr">
        <is>
          <t>DERIVED</t>
        </is>
      </c>
      <c r="J839" s="10" t="inlineStr">
        <is>
          <t>PROPOSED</t>
        </is>
      </c>
      <c r="K839" s="10" t="inlineStr">
        <is>
          <t>DERIVED</t>
        </is>
      </c>
      <c r="L839" s="10" t="inlineStr">
        <is>
          <t>baixa</t>
        </is>
      </c>
      <c r="M839" s="10" t="inlineStr">
        <is>
          <t>["D15-DOC-PASC-001.FEEDBACK.TRATAMENTO"]</t>
        </is>
      </c>
    </row>
    <row r="840">
      <c r="A840" s="10" t="inlineStr">
        <is>
          <t>D15-DOC-PASC-001.SATISFACTION.CSAT</t>
        </is>
      </c>
      <c r="B840" s="10" t="inlineStr">
        <is>
          <t>D15-DOC-PASC-001</t>
        </is>
      </c>
      <c r="C840" s="10" t="inlineStr">
        <is>
          <t>D15-DOC-PASC-001-T12</t>
        </is>
      </c>
      <c r="D840" s="10" t="inlineStr">
        <is>
          <t>csat</t>
        </is>
      </c>
      <c r="E840" s="10" t="inlineStr">
        <is>
          <t>Definir, validar e manter: Csat</t>
        </is>
      </c>
      <c r="F840" s="10" t="n"/>
      <c r="G840" s="10" t="b">
        <v>1</v>
      </c>
      <c r="H840" s="10" t="b">
        <v>1</v>
      </c>
      <c r="I840" s="10" t="inlineStr">
        <is>
          <t>DERIVED</t>
        </is>
      </c>
      <c r="J840" s="10" t="inlineStr">
        <is>
          <t>PROPOSED</t>
        </is>
      </c>
      <c r="K840" s="10" t="inlineStr">
        <is>
          <t>DERIVED</t>
        </is>
      </c>
      <c r="L840" s="10" t="inlineStr">
        <is>
          <t>baixa</t>
        </is>
      </c>
      <c r="M840" s="10" t="inlineStr">
        <is>
          <t>["D15-DOC-PASC-001.SATISFACTION.CSAT"]</t>
        </is>
      </c>
    </row>
    <row r="841">
      <c r="A841" s="10" t="inlineStr">
        <is>
          <t>D15-DOC-PASC-001.SATISFACTION.NPS</t>
        </is>
      </c>
      <c r="B841" s="10" t="inlineStr">
        <is>
          <t>D15-DOC-PASC-001</t>
        </is>
      </c>
      <c r="C841" s="10" t="inlineStr">
        <is>
          <t>D15-DOC-PASC-001-T12</t>
        </is>
      </c>
      <c r="D841" s="10" t="inlineStr">
        <is>
          <t>nps</t>
        </is>
      </c>
      <c r="E841" s="10" t="inlineStr">
        <is>
          <t>Definir, validar e manter: Nps</t>
        </is>
      </c>
      <c r="F841" s="10" t="n"/>
      <c r="G841" s="10" t="b">
        <v>1</v>
      </c>
      <c r="H841" s="10" t="b">
        <v>1</v>
      </c>
      <c r="I841" s="10" t="inlineStr">
        <is>
          <t>DERIVED</t>
        </is>
      </c>
      <c r="J841" s="10" t="inlineStr">
        <is>
          <t>PROPOSED</t>
        </is>
      </c>
      <c r="K841" s="10" t="inlineStr">
        <is>
          <t>DERIVED</t>
        </is>
      </c>
      <c r="L841" s="10" t="inlineStr">
        <is>
          <t>baixa</t>
        </is>
      </c>
      <c r="M841" s="10" t="inlineStr">
        <is>
          <t>["D15-DOC-PASC-001.SATISFACTION.NPS"]</t>
        </is>
      </c>
    </row>
    <row r="842">
      <c r="A842" s="10" t="inlineStr">
        <is>
          <t>D15-DOC-PASC-001.RETENTION.RENOVACAO</t>
        </is>
      </c>
      <c r="B842" s="10" t="inlineStr">
        <is>
          <t>D15-DOC-PASC-001</t>
        </is>
      </c>
      <c r="C842" s="10" t="inlineStr">
        <is>
          <t>D15-DOC-PASC-001-T13</t>
        </is>
      </c>
      <c r="D842" s="10" t="inlineStr">
        <is>
          <t>renovacao</t>
        </is>
      </c>
      <c r="E842" s="10" t="inlineStr">
        <is>
          <t>Definir, validar e manter: Renovacao</t>
        </is>
      </c>
      <c r="F842" s="10" t="n"/>
      <c r="G842" s="10" t="b">
        <v>1</v>
      </c>
      <c r="H842" s="10" t="b">
        <v>1</v>
      </c>
      <c r="I842" s="10" t="inlineStr">
        <is>
          <t>DERIVED</t>
        </is>
      </c>
      <c r="J842" s="10" t="inlineStr">
        <is>
          <t>PROPOSED</t>
        </is>
      </c>
      <c r="K842" s="10" t="inlineStr">
        <is>
          <t>DERIVED</t>
        </is>
      </c>
      <c r="L842" s="10" t="inlineStr">
        <is>
          <t>baixa</t>
        </is>
      </c>
      <c r="M842" s="10" t="inlineStr">
        <is>
          <t>["D15-DOC-PASC-001.RETENTION.RENOVACAO"]</t>
        </is>
      </c>
    </row>
    <row r="843">
      <c r="A843" s="10" t="inlineStr">
        <is>
          <t>D15-DOC-PASC-001.RETENTION.EXPANSAO</t>
        </is>
      </c>
      <c r="B843" s="10" t="inlineStr">
        <is>
          <t>D15-DOC-PASC-001</t>
        </is>
      </c>
      <c r="C843" s="10" t="inlineStr">
        <is>
          <t>D15-DOC-PASC-001-T13</t>
        </is>
      </c>
      <c r="D843" s="10" t="inlineStr">
        <is>
          <t>expansao</t>
        </is>
      </c>
      <c r="E843" s="10" t="inlineStr">
        <is>
          <t>Definir, validar e manter: Expansao</t>
        </is>
      </c>
      <c r="F843" s="10" t="n"/>
      <c r="G843" s="10" t="b">
        <v>1</v>
      </c>
      <c r="H843" s="10" t="b">
        <v>1</v>
      </c>
      <c r="I843" s="10" t="inlineStr">
        <is>
          <t>DERIVED</t>
        </is>
      </c>
      <c r="J843" s="10" t="inlineStr">
        <is>
          <t>PROPOSED</t>
        </is>
      </c>
      <c r="K843" s="10" t="inlineStr">
        <is>
          <t>DERIVED</t>
        </is>
      </c>
      <c r="L843" s="10" t="inlineStr">
        <is>
          <t>baixa</t>
        </is>
      </c>
      <c r="M843" s="10" t="inlineStr">
        <is>
          <t>["D15-DOC-PASC-001.RETENTION.EXPANSAO"]</t>
        </is>
      </c>
    </row>
    <row r="844">
      <c r="A844" s="10" t="inlineStr">
        <is>
          <t>D15-DOC-PASC-001.CHURN.SINAIS</t>
        </is>
      </c>
      <c r="B844" s="10" t="inlineStr">
        <is>
          <t>D15-DOC-PASC-001</t>
        </is>
      </c>
      <c r="C844" s="10" t="inlineStr">
        <is>
          <t>D15-DOC-PASC-001-T14</t>
        </is>
      </c>
      <c r="D844" s="10" t="inlineStr">
        <is>
          <t>sinais</t>
        </is>
      </c>
      <c r="E844" s="10" t="inlineStr">
        <is>
          <t>Definir, validar e manter: Sinais</t>
        </is>
      </c>
      <c r="F844" s="10" t="n"/>
      <c r="G844" s="10" t="b">
        <v>1</v>
      </c>
      <c r="H844" s="10" t="b">
        <v>1</v>
      </c>
      <c r="I844" s="10" t="inlineStr">
        <is>
          <t>DERIVED</t>
        </is>
      </c>
      <c r="J844" s="10" t="inlineStr">
        <is>
          <t>PROPOSED</t>
        </is>
      </c>
      <c r="K844" s="10" t="inlineStr">
        <is>
          <t>DERIVED</t>
        </is>
      </c>
      <c r="L844" s="10" t="inlineStr">
        <is>
          <t>baixa</t>
        </is>
      </c>
      <c r="M844" s="10" t="inlineStr">
        <is>
          <t>["D15-DOC-PASC-001.CHURN.SINAIS"]</t>
        </is>
      </c>
    </row>
    <row r="845">
      <c r="A845" s="10" t="inlineStr">
        <is>
          <t>D15-DOC-PASC-001.CHURN.RESPOSTA</t>
        </is>
      </c>
      <c r="B845" s="10" t="inlineStr">
        <is>
          <t>D15-DOC-PASC-001</t>
        </is>
      </c>
      <c r="C845" s="10" t="inlineStr">
        <is>
          <t>D15-DOC-PASC-001-T14</t>
        </is>
      </c>
      <c r="D845" s="10" t="inlineStr">
        <is>
          <t>resposta</t>
        </is>
      </c>
      <c r="E845" s="10" t="inlineStr">
        <is>
          <t>Definir, validar e manter: Resposta</t>
        </is>
      </c>
      <c r="F845" s="10" t="n"/>
      <c r="G845" s="10" t="b">
        <v>1</v>
      </c>
      <c r="H845" s="10" t="b">
        <v>1</v>
      </c>
      <c r="I845" s="10" t="inlineStr">
        <is>
          <t>DERIVED</t>
        </is>
      </c>
      <c r="J845" s="10" t="inlineStr">
        <is>
          <t>PROPOSED</t>
        </is>
      </c>
      <c r="K845" s="10" t="inlineStr">
        <is>
          <t>DERIVED</t>
        </is>
      </c>
      <c r="L845" s="10" t="inlineStr">
        <is>
          <t>baixa</t>
        </is>
      </c>
      <c r="M845" s="10" t="inlineStr">
        <is>
          <t>["D15-DOC-PASC-001.CHURN.RESPOSTA"]</t>
        </is>
      </c>
    </row>
    <row r="846">
      <c r="A846" s="10" t="inlineStr">
        <is>
          <t>D15-DOC-PASC-001.INCIDENT_COMMUNICATION.MENSAGEM</t>
        </is>
      </c>
      <c r="B846" s="10" t="inlineStr">
        <is>
          <t>D15-DOC-PASC-001</t>
        </is>
      </c>
      <c r="C846" s="10" t="inlineStr">
        <is>
          <t>D15-DOC-PASC-001-T15</t>
        </is>
      </c>
      <c r="D846" s="10" t="inlineStr">
        <is>
          <t>mensagem</t>
        </is>
      </c>
      <c r="E846" s="10" t="inlineStr">
        <is>
          <t>Definir, validar e manter: Mensagem</t>
        </is>
      </c>
      <c r="F846" s="10" t="n"/>
      <c r="G846" s="10" t="b">
        <v>1</v>
      </c>
      <c r="H846" s="10" t="b">
        <v>1</v>
      </c>
      <c r="I846" s="10" t="inlineStr">
        <is>
          <t>DERIVED</t>
        </is>
      </c>
      <c r="J846" s="10" t="inlineStr">
        <is>
          <t>PROPOSED</t>
        </is>
      </c>
      <c r="K846" s="10" t="inlineStr">
        <is>
          <t>DERIVED</t>
        </is>
      </c>
      <c r="L846" s="10" t="inlineStr">
        <is>
          <t>baixa</t>
        </is>
      </c>
      <c r="M846" s="10" t="inlineStr">
        <is>
          <t>["D15-DOC-PASC-001.INCIDENT_COMMUNICATION.MENSAGEM"]</t>
        </is>
      </c>
    </row>
    <row r="847">
      <c r="A847" s="10" t="inlineStr">
        <is>
          <t>D15-DOC-PASC-001.INCIDENT_COMMUNICATION.CANAL</t>
        </is>
      </c>
      <c r="B847" s="10" t="inlineStr">
        <is>
          <t>D15-DOC-PASC-001</t>
        </is>
      </c>
      <c r="C847" s="10" t="inlineStr">
        <is>
          <t>D15-DOC-PASC-001-T15</t>
        </is>
      </c>
      <c r="D847" s="10" t="inlineStr">
        <is>
          <t>canal</t>
        </is>
      </c>
      <c r="E847" s="10" t="inlineStr">
        <is>
          <t>Definir, validar e manter: Canal</t>
        </is>
      </c>
      <c r="F847" s="10" t="n"/>
      <c r="G847" s="10" t="b">
        <v>1</v>
      </c>
      <c r="H847" s="10" t="b">
        <v>1</v>
      </c>
      <c r="I847" s="10" t="inlineStr">
        <is>
          <t>DERIVED</t>
        </is>
      </c>
      <c r="J847" s="10" t="inlineStr">
        <is>
          <t>PROPOSED</t>
        </is>
      </c>
      <c r="K847" s="10" t="inlineStr">
        <is>
          <t>DERIVED</t>
        </is>
      </c>
      <c r="L847" s="10" t="inlineStr">
        <is>
          <t>baixa</t>
        </is>
      </c>
      <c r="M847" s="10" t="inlineStr">
        <is>
          <t>["D15-DOC-PASC-001.INCIDENT_COMMUNICATION.CANAL"]</t>
        </is>
      </c>
    </row>
    <row r="848">
      <c r="A848" s="10" t="inlineStr">
        <is>
          <t>D15-DOC-PASC-001.METRICS.TEMPO_RESPOSTA</t>
        </is>
      </c>
      <c r="B848" s="10" t="inlineStr">
        <is>
          <t>D15-DOC-PASC-001</t>
        </is>
      </c>
      <c r="C848" s="10" t="inlineStr">
        <is>
          <t>D15-DOC-PASC-001-T16</t>
        </is>
      </c>
      <c r="D848" s="10" t="inlineStr">
        <is>
          <t>tempo_resposta</t>
        </is>
      </c>
      <c r="E848" s="10" t="inlineStr">
        <is>
          <t>Definir, validar e manter: Tempo Resposta</t>
        </is>
      </c>
      <c r="F848" s="10" t="n"/>
      <c r="G848" s="10" t="b">
        <v>1</v>
      </c>
      <c r="H848" s="10" t="b">
        <v>1</v>
      </c>
      <c r="I848" s="10" t="inlineStr">
        <is>
          <t>EXTERNAL</t>
        </is>
      </c>
      <c r="J848" s="10" t="inlineStr">
        <is>
          <t>EXTERNAL_EVIDENCE</t>
        </is>
      </c>
      <c r="K848" s="10" t="inlineStr">
        <is>
          <t>EXTERNAL</t>
        </is>
      </c>
      <c r="L848" s="10" t="inlineStr">
        <is>
          <t>media</t>
        </is>
      </c>
      <c r="M848" s="10" t="inlineStr">
        <is>
          <t>["D15-DOC-PASC-001.METRICS.TEMPO_RESPOSTA"]</t>
        </is>
      </c>
    </row>
    <row r="849">
      <c r="A849" s="10" t="inlineStr">
        <is>
          <t>D15-DOC-PASC-001.METRICS.RESOLUCAO</t>
        </is>
      </c>
      <c r="B849" s="10" t="inlineStr">
        <is>
          <t>D15-DOC-PASC-001</t>
        </is>
      </c>
      <c r="C849" s="10" t="inlineStr">
        <is>
          <t>D15-DOC-PASC-001-T16</t>
        </is>
      </c>
      <c r="D849" s="10" t="inlineStr">
        <is>
          <t>resolucao</t>
        </is>
      </c>
      <c r="E849" s="10" t="inlineStr">
        <is>
          <t>Definir, validar e manter: Resolucao</t>
        </is>
      </c>
      <c r="F849" s="10" t="n"/>
      <c r="G849" s="10" t="b">
        <v>1</v>
      </c>
      <c r="H849" s="10" t="b">
        <v>1</v>
      </c>
      <c r="I849" s="10" t="inlineStr">
        <is>
          <t>DERIVED</t>
        </is>
      </c>
      <c r="J849" s="10" t="inlineStr">
        <is>
          <t>PROPOSED</t>
        </is>
      </c>
      <c r="K849" s="10" t="inlineStr">
        <is>
          <t>DERIVED</t>
        </is>
      </c>
      <c r="L849" s="10" t="inlineStr">
        <is>
          <t>baixa</t>
        </is>
      </c>
      <c r="M849" s="10" t="inlineStr">
        <is>
          <t>["D15-DOC-PASC-001.METRICS.RESOLUCAO"]</t>
        </is>
      </c>
    </row>
    <row r="850">
      <c r="A850" s="10" t="inlineStr">
        <is>
          <t>D15-DOC-PASC-001.METRICS.CHURN</t>
        </is>
      </c>
      <c r="B850" s="10" t="inlineStr">
        <is>
          <t>D15-DOC-PASC-001</t>
        </is>
      </c>
      <c r="C850" s="10" t="inlineStr">
        <is>
          <t>D15-DOC-PASC-001-T16</t>
        </is>
      </c>
      <c r="D850" s="10" t="inlineStr">
        <is>
          <t>churn</t>
        </is>
      </c>
      <c r="E850" s="10" t="inlineStr">
        <is>
          <t>Definir, validar e manter: Churn</t>
        </is>
      </c>
      <c r="F850" s="10" t="n"/>
      <c r="G850" s="10" t="b">
        <v>1</v>
      </c>
      <c r="H850" s="10" t="b">
        <v>1</v>
      </c>
      <c r="I850" s="10" t="inlineStr">
        <is>
          <t>EXTERNAL</t>
        </is>
      </c>
      <c r="J850" s="10" t="inlineStr">
        <is>
          <t>EXTERNAL_EVIDENCE</t>
        </is>
      </c>
      <c r="K850" s="10" t="inlineStr">
        <is>
          <t>EXTERNAL</t>
        </is>
      </c>
      <c r="L850" s="10" t="inlineStr">
        <is>
          <t>media</t>
        </is>
      </c>
      <c r="M850" s="10" t="inlineStr">
        <is>
          <t>["D15-DOC-PASC-001.METRICS.CHURN"]</t>
        </is>
      </c>
    </row>
    <row r="851">
      <c r="A851" s="10" t="inlineStr">
        <is>
          <t>D16-DOC-PEM-001.OBJECTIVES.OBJETIVOS</t>
        </is>
      </c>
      <c r="B851" s="10" t="inlineStr">
        <is>
          <t>D16-DOC-PEM-001</t>
        </is>
      </c>
      <c r="C851" s="10" t="inlineStr">
        <is>
          <t>D16-DOC-PEM-001-T01</t>
        </is>
      </c>
      <c r="D851" s="10" t="inlineStr">
        <is>
          <t>objetivos</t>
        </is>
      </c>
      <c r="E851" s="10" t="inlineStr">
        <is>
          <t>Definir, validar e manter: Objetivos</t>
        </is>
      </c>
      <c r="F851" s="10" t="n"/>
      <c r="G851" s="10" t="b">
        <v>1</v>
      </c>
      <c r="H851" s="10" t="b">
        <v>1</v>
      </c>
      <c r="I851" s="10" t="inlineStr">
        <is>
          <t>DERIVED</t>
        </is>
      </c>
      <c r="J851" s="10" t="inlineStr">
        <is>
          <t>PROPOSED</t>
        </is>
      </c>
      <c r="K851" s="10" t="inlineStr">
        <is>
          <t>DERIVED</t>
        </is>
      </c>
      <c r="L851" s="10" t="inlineStr">
        <is>
          <t>baixa</t>
        </is>
      </c>
      <c r="M851" s="10" t="inlineStr">
        <is>
          <t>["D16-DOC-PEM-001.OBJECTIVES.OBJETIVOS"]</t>
        </is>
      </c>
    </row>
    <row r="852">
      <c r="A852" s="10" t="inlineStr">
        <is>
          <t>D16-DOC-PEM-001.AUDIENCE.PUBLICOS</t>
        </is>
      </c>
      <c r="B852" s="10" t="inlineStr">
        <is>
          <t>D16-DOC-PEM-001</t>
        </is>
      </c>
      <c r="C852" s="10" t="inlineStr">
        <is>
          <t>D16-DOC-PEM-001-T02</t>
        </is>
      </c>
      <c r="D852" s="10" t="inlineStr">
        <is>
          <t>publicos</t>
        </is>
      </c>
      <c r="E852" s="10" t="inlineStr">
        <is>
          <t>Definir, validar e manter: Publicos</t>
        </is>
      </c>
      <c r="F852" s="10" t="n"/>
      <c r="G852" s="10" t="b">
        <v>1</v>
      </c>
      <c r="H852" s="10" t="b">
        <v>1</v>
      </c>
      <c r="I852" s="10" t="inlineStr">
        <is>
          <t>DERIVED</t>
        </is>
      </c>
      <c r="J852" s="10" t="inlineStr">
        <is>
          <t>PROPOSED</t>
        </is>
      </c>
      <c r="K852" s="10" t="inlineStr">
        <is>
          <t>DERIVED</t>
        </is>
      </c>
      <c r="L852" s="10" t="inlineStr">
        <is>
          <t>baixa</t>
        </is>
      </c>
      <c r="M852" s="10" t="inlineStr">
        <is>
          <t>["D16-DOC-PEM-001.AUDIENCE.PUBLICOS"]</t>
        </is>
      </c>
    </row>
    <row r="853">
      <c r="A853" s="10" t="inlineStr">
        <is>
          <t>D16-DOC-PEM-001.CHANNELS.CANAL</t>
        </is>
      </c>
      <c r="B853" s="10" t="inlineStr">
        <is>
          <t>D16-DOC-PEM-001</t>
        </is>
      </c>
      <c r="C853" s="10" t="inlineStr">
        <is>
          <t>D16-DOC-PEM-001-T03</t>
        </is>
      </c>
      <c r="D853" s="10" t="inlineStr">
        <is>
          <t>canal</t>
        </is>
      </c>
      <c r="E853" s="10" t="inlineStr">
        <is>
          <t>Definir, validar e manter: Canal</t>
        </is>
      </c>
      <c r="F853" s="10" t="n"/>
      <c r="G853" s="10" t="b">
        <v>1</v>
      </c>
      <c r="H853" s="10" t="b">
        <v>1</v>
      </c>
      <c r="I853" s="10" t="inlineStr">
        <is>
          <t>DERIVED</t>
        </is>
      </c>
      <c r="J853" s="10" t="inlineStr">
        <is>
          <t>PROPOSED</t>
        </is>
      </c>
      <c r="K853" s="10" t="inlineStr">
        <is>
          <t>DERIVED</t>
        </is>
      </c>
      <c r="L853" s="10" t="inlineStr">
        <is>
          <t>baixa</t>
        </is>
      </c>
      <c r="M853" s="10" t="inlineStr">
        <is>
          <t>["D16-DOC-PEM-001.CHANNELS.CANAL"]</t>
        </is>
      </c>
    </row>
    <row r="854">
      <c r="A854" s="10" t="inlineStr">
        <is>
          <t>D16-DOC-PEM-001.CHANNELS.FUNCAO</t>
        </is>
      </c>
      <c r="B854" s="10" t="inlineStr">
        <is>
          <t>D16-DOC-PEM-001</t>
        </is>
      </c>
      <c r="C854" s="10" t="inlineStr">
        <is>
          <t>D16-DOC-PEM-001-T03</t>
        </is>
      </c>
      <c r="D854" s="10" t="inlineStr">
        <is>
          <t>funcao</t>
        </is>
      </c>
      <c r="E854" s="10" t="inlineStr">
        <is>
          <t>Definir, validar e manter: Funcao</t>
        </is>
      </c>
      <c r="F854" s="10" t="n"/>
      <c r="G854" s="10" t="b">
        <v>1</v>
      </c>
      <c r="H854" s="10" t="b">
        <v>1</v>
      </c>
      <c r="I854" s="10" t="inlineStr">
        <is>
          <t>DERIVED</t>
        </is>
      </c>
      <c r="J854" s="10" t="inlineStr">
        <is>
          <t>PROPOSED</t>
        </is>
      </c>
      <c r="K854" s="10" t="inlineStr">
        <is>
          <t>DERIVED</t>
        </is>
      </c>
      <c r="L854" s="10" t="inlineStr">
        <is>
          <t>baixa</t>
        </is>
      </c>
      <c r="M854" s="10" t="inlineStr">
        <is>
          <t>["D16-DOC-PEM-001.CHANNELS.FUNCAO"]</t>
        </is>
      </c>
    </row>
    <row r="855">
      <c r="A855" s="10" t="inlineStr">
        <is>
          <t>D16-DOC-PEM-001.CONTENT_PILLARS.PILAR</t>
        </is>
      </c>
      <c r="B855" s="10" t="inlineStr">
        <is>
          <t>D16-DOC-PEM-001</t>
        </is>
      </c>
      <c r="C855" s="10" t="inlineStr">
        <is>
          <t>D16-DOC-PEM-001-T04</t>
        </is>
      </c>
      <c r="D855" s="10" t="inlineStr">
        <is>
          <t>pilar</t>
        </is>
      </c>
      <c r="E855" s="10" t="inlineStr">
        <is>
          <t>Definir, validar e manter: Pilar</t>
        </is>
      </c>
      <c r="F855" s="10" t="n"/>
      <c r="G855" s="10" t="b">
        <v>1</v>
      </c>
      <c r="H855" s="10" t="b">
        <v>1</v>
      </c>
      <c r="I855" s="10" t="inlineStr">
        <is>
          <t>FOUND</t>
        </is>
      </c>
      <c r="J855" s="10" t="inlineStr">
        <is>
          <t>DIRECT</t>
        </is>
      </c>
      <c r="K855" s="10" t="inlineStr">
        <is>
          <t>FOUND</t>
        </is>
      </c>
      <c r="L855" s="10" t="inlineStr">
        <is>
          <t>alta</t>
        </is>
      </c>
      <c r="M855" s="10" t="inlineStr">
        <is>
          <t>["D16-DOC-PEM-001.CONTENT_PILLARS.PILAR"]</t>
        </is>
      </c>
    </row>
    <row r="856">
      <c r="A856" s="10" t="inlineStr">
        <is>
          <t>D16-DOC-PEM-001.CONTENT_PILLARS.TESE</t>
        </is>
      </c>
      <c r="B856" s="10" t="inlineStr">
        <is>
          <t>D16-DOC-PEM-001</t>
        </is>
      </c>
      <c r="C856" s="10" t="inlineStr">
        <is>
          <t>D16-DOC-PEM-001-T04</t>
        </is>
      </c>
      <c r="D856" s="10" t="inlineStr">
        <is>
          <t>tese</t>
        </is>
      </c>
      <c r="E856" s="10" t="inlineStr">
        <is>
          <t>Definir, validar e manter: Tese</t>
        </is>
      </c>
      <c r="F856" s="10" t="n"/>
      <c r="G856" s="10" t="b">
        <v>1</v>
      </c>
      <c r="H856" s="10" t="b">
        <v>1</v>
      </c>
      <c r="I856" s="10" t="inlineStr">
        <is>
          <t>DERIVED</t>
        </is>
      </c>
      <c r="J856" s="10" t="inlineStr">
        <is>
          <t>PROPOSED</t>
        </is>
      </c>
      <c r="K856" s="10" t="inlineStr">
        <is>
          <t>DERIVED</t>
        </is>
      </c>
      <c r="L856" s="10" t="inlineStr">
        <is>
          <t>baixa</t>
        </is>
      </c>
      <c r="M856" s="10" t="inlineStr">
        <is>
          <t>["D16-DOC-PEM-001.CONTENT_PILLARS.TESE"]</t>
        </is>
      </c>
    </row>
    <row r="857">
      <c r="A857" s="10" t="inlineStr">
        <is>
          <t>D16-DOC-PEM-001.FORMATS.ARTIGO</t>
        </is>
      </c>
      <c r="B857" s="10" t="inlineStr">
        <is>
          <t>D16-DOC-PEM-001</t>
        </is>
      </c>
      <c r="C857" s="10" t="inlineStr">
        <is>
          <t>D16-DOC-PEM-001-T05</t>
        </is>
      </c>
      <c r="D857" s="10" t="inlineStr">
        <is>
          <t>artigo</t>
        </is>
      </c>
      <c r="E857" s="10" t="inlineStr">
        <is>
          <t>Definir, validar e manter: Artigo</t>
        </is>
      </c>
      <c r="F857" s="10" t="n"/>
      <c r="G857" s="10" t="b">
        <v>1</v>
      </c>
      <c r="H857" s="10" t="b">
        <v>1</v>
      </c>
      <c r="I857" s="10" t="inlineStr">
        <is>
          <t>DERIVED</t>
        </is>
      </c>
      <c r="J857" s="10" t="inlineStr">
        <is>
          <t>PROPOSED</t>
        </is>
      </c>
      <c r="K857" s="10" t="inlineStr">
        <is>
          <t>DERIVED</t>
        </is>
      </c>
      <c r="L857" s="10" t="inlineStr">
        <is>
          <t>baixa</t>
        </is>
      </c>
      <c r="M857" s="10" t="inlineStr">
        <is>
          <t>["D16-DOC-PEM-001.FORMATS.ARTIGO"]</t>
        </is>
      </c>
    </row>
    <row r="858">
      <c r="A858" s="10" t="inlineStr">
        <is>
          <t>D16-DOC-PEM-001.FORMATS.VIDEO</t>
        </is>
      </c>
      <c r="B858" s="10" t="inlineStr">
        <is>
          <t>D16-DOC-PEM-001</t>
        </is>
      </c>
      <c r="C858" s="10" t="inlineStr">
        <is>
          <t>D16-DOC-PEM-001-T05</t>
        </is>
      </c>
      <c r="D858" s="10" t="inlineStr">
        <is>
          <t>video</t>
        </is>
      </c>
      <c r="E858" s="10" t="inlineStr">
        <is>
          <t>Definir, validar e manter: Video</t>
        </is>
      </c>
      <c r="F858" s="10" t="n"/>
      <c r="G858" s="10" t="b">
        <v>1</v>
      </c>
      <c r="H858" s="10" t="b">
        <v>1</v>
      </c>
      <c r="I858" s="10" t="inlineStr">
        <is>
          <t>DERIVED</t>
        </is>
      </c>
      <c r="J858" s="10" t="inlineStr">
        <is>
          <t>PROPOSED</t>
        </is>
      </c>
      <c r="K858" s="10" t="inlineStr">
        <is>
          <t>DERIVED</t>
        </is>
      </c>
      <c r="L858" s="10" t="inlineStr">
        <is>
          <t>baixa</t>
        </is>
      </c>
      <c r="M858" s="10" t="inlineStr">
        <is>
          <t>["D16-DOC-PEM-001.FORMATS.VIDEO"]</t>
        </is>
      </c>
    </row>
    <row r="859">
      <c r="A859" s="10" t="inlineStr">
        <is>
          <t>D16-DOC-PEM-001.FORMATS.CARROSSEL</t>
        </is>
      </c>
      <c r="B859" s="10" t="inlineStr">
        <is>
          <t>D16-DOC-PEM-001</t>
        </is>
      </c>
      <c r="C859" s="10" t="inlineStr">
        <is>
          <t>D16-DOC-PEM-001-T05</t>
        </is>
      </c>
      <c r="D859" s="10" t="inlineStr">
        <is>
          <t>carrossel</t>
        </is>
      </c>
      <c r="E859" s="10" t="inlineStr">
        <is>
          <t>Definir, validar e manter: Carrossel</t>
        </is>
      </c>
      <c r="F859" s="10" t="n"/>
      <c r="G859" s="10" t="b">
        <v>1</v>
      </c>
      <c r="H859" s="10" t="b">
        <v>1</v>
      </c>
      <c r="I859" s="10" t="inlineStr">
        <is>
          <t>DERIVED</t>
        </is>
      </c>
      <c r="J859" s="10" t="inlineStr">
        <is>
          <t>PROPOSED</t>
        </is>
      </c>
      <c r="K859" s="10" t="inlineStr">
        <is>
          <t>DERIVED</t>
        </is>
      </c>
      <c r="L859" s="10" t="inlineStr">
        <is>
          <t>baixa</t>
        </is>
      </c>
      <c r="M859" s="10" t="inlineStr">
        <is>
          <t>["D16-DOC-PEM-001.FORMATS.CARROSSEL"]</t>
        </is>
      </c>
    </row>
    <row r="860">
      <c r="A860" s="10" t="inlineStr">
        <is>
          <t>D16-DOC-PEM-001.FORMATS.STORY</t>
        </is>
      </c>
      <c r="B860" s="10" t="inlineStr">
        <is>
          <t>D16-DOC-PEM-001</t>
        </is>
      </c>
      <c r="C860" s="10" t="inlineStr">
        <is>
          <t>D16-DOC-PEM-001-T05</t>
        </is>
      </c>
      <c r="D860" s="10" t="inlineStr">
        <is>
          <t>story</t>
        </is>
      </c>
      <c r="E860" s="10" t="inlineStr">
        <is>
          <t>Definir, validar e manter: Story</t>
        </is>
      </c>
      <c r="F860" s="10" t="n"/>
      <c r="G860" s="10" t="b">
        <v>1</v>
      </c>
      <c r="H860" s="10" t="b">
        <v>1</v>
      </c>
      <c r="I860" s="10" t="inlineStr">
        <is>
          <t>DERIVED</t>
        </is>
      </c>
      <c r="J860" s="10" t="inlineStr">
        <is>
          <t>PROPOSED</t>
        </is>
      </c>
      <c r="K860" s="10" t="inlineStr">
        <is>
          <t>DERIVED</t>
        </is>
      </c>
      <c r="L860" s="10" t="inlineStr">
        <is>
          <t>baixa</t>
        </is>
      </c>
      <c r="M860" s="10" t="inlineStr">
        <is>
          <t>["D16-DOC-PEM-001.FORMATS.STORY"]</t>
        </is>
      </c>
    </row>
    <row r="861">
      <c r="A861" s="10" t="inlineStr">
        <is>
          <t>D16-DOC-PEM-001.FORMATS.NEWSLETTER</t>
        </is>
      </c>
      <c r="B861" s="10" t="inlineStr">
        <is>
          <t>D16-DOC-PEM-001</t>
        </is>
      </c>
      <c r="C861" s="10" t="inlineStr">
        <is>
          <t>D16-DOC-PEM-001-T05</t>
        </is>
      </c>
      <c r="D861" s="10" t="inlineStr">
        <is>
          <t>newsletter</t>
        </is>
      </c>
      <c r="E861" s="10" t="inlineStr">
        <is>
          <t>Definir, validar e manter: Newsletter</t>
        </is>
      </c>
      <c r="F861" s="10" t="n"/>
      <c r="G861" s="10" t="b">
        <v>1</v>
      </c>
      <c r="H861" s="10" t="b">
        <v>1</v>
      </c>
      <c r="I861" s="10" t="inlineStr">
        <is>
          <t>DERIVED</t>
        </is>
      </c>
      <c r="J861" s="10" t="inlineStr">
        <is>
          <t>PROPOSED</t>
        </is>
      </c>
      <c r="K861" s="10" t="inlineStr">
        <is>
          <t>DERIVED</t>
        </is>
      </c>
      <c r="L861" s="10" t="inlineStr">
        <is>
          <t>baixa</t>
        </is>
      </c>
      <c r="M861" s="10" t="inlineStr">
        <is>
          <t>["D16-DOC-PEM-001.FORMATS.NEWSLETTER"]</t>
        </is>
      </c>
    </row>
    <row r="862">
      <c r="A862" s="10" t="inlineStr">
        <is>
          <t>D16-DOC-PEM-001.EDITORIAL_CALENDAR.DATA</t>
        </is>
      </c>
      <c r="B862" s="10" t="inlineStr">
        <is>
          <t>D16-DOC-PEM-001</t>
        </is>
      </c>
      <c r="C862" s="10" t="inlineStr">
        <is>
          <t>D16-DOC-PEM-001-T06</t>
        </is>
      </c>
      <c r="D862" s="10" t="inlineStr">
        <is>
          <t>data</t>
        </is>
      </c>
      <c r="E862" s="10" t="inlineStr">
        <is>
          <t>Definir, validar e manter: Data</t>
        </is>
      </c>
      <c r="F862" s="10" t="n"/>
      <c r="G862" s="10" t="b">
        <v>1</v>
      </c>
      <c r="H862" s="10" t="b">
        <v>1</v>
      </c>
      <c r="I862" s="10" t="inlineStr">
        <is>
          <t>DERIVED</t>
        </is>
      </c>
      <c r="J862" s="10" t="inlineStr">
        <is>
          <t>PROPOSED</t>
        </is>
      </c>
      <c r="K862" s="10" t="inlineStr">
        <is>
          <t>DERIVED</t>
        </is>
      </c>
      <c r="L862" s="10" t="inlineStr">
        <is>
          <t>baixa</t>
        </is>
      </c>
      <c r="M862" s="10" t="inlineStr">
        <is>
          <t>["D16-DOC-PEM-001.EDITORIAL_CALENDAR.DATA"]</t>
        </is>
      </c>
    </row>
    <row r="863">
      <c r="A863" s="10" t="inlineStr">
        <is>
          <t>D16-DOC-PEM-001.EDITORIAL_CALENDAR.TEMA</t>
        </is>
      </c>
      <c r="B863" s="10" t="inlineStr">
        <is>
          <t>D16-DOC-PEM-001</t>
        </is>
      </c>
      <c r="C863" s="10" t="inlineStr">
        <is>
          <t>D16-DOC-PEM-001-T06</t>
        </is>
      </c>
      <c r="D863" s="10" t="inlineStr">
        <is>
          <t>tema</t>
        </is>
      </c>
      <c r="E863" s="10" t="inlineStr">
        <is>
          <t>Definir, validar e manter: Tema</t>
        </is>
      </c>
      <c r="F863" s="10" t="n"/>
      <c r="G863" s="10" t="b">
        <v>1</v>
      </c>
      <c r="H863" s="10" t="b">
        <v>1</v>
      </c>
      <c r="I863" s="10" t="inlineStr">
        <is>
          <t>DERIVED</t>
        </is>
      </c>
      <c r="J863" s="10" t="inlineStr">
        <is>
          <t>PROPOSED</t>
        </is>
      </c>
      <c r="K863" s="10" t="inlineStr">
        <is>
          <t>DERIVED</t>
        </is>
      </c>
      <c r="L863" s="10" t="inlineStr">
        <is>
          <t>baixa</t>
        </is>
      </c>
      <c r="M863" s="10" t="inlineStr">
        <is>
          <t>["D16-DOC-PEM-001.EDITORIAL_CALENDAR.TEMA"]</t>
        </is>
      </c>
    </row>
    <row r="864">
      <c r="A864" s="10" t="inlineStr">
        <is>
          <t>D16-DOC-PEM-001.EDITORIAL_CALENDAR.CANAL</t>
        </is>
      </c>
      <c r="B864" s="10" t="inlineStr">
        <is>
          <t>D16-DOC-PEM-001</t>
        </is>
      </c>
      <c r="C864" s="10" t="inlineStr">
        <is>
          <t>D16-DOC-PEM-001-T06</t>
        </is>
      </c>
      <c r="D864" s="10" t="inlineStr">
        <is>
          <t>canal</t>
        </is>
      </c>
      <c r="E864" s="10" t="inlineStr">
        <is>
          <t>Definir, validar e manter: Canal</t>
        </is>
      </c>
      <c r="F864" s="10" t="n"/>
      <c r="G864" s="10" t="b">
        <v>1</v>
      </c>
      <c r="H864" s="10" t="b">
        <v>1</v>
      </c>
      <c r="I864" s="10" t="inlineStr">
        <is>
          <t>DERIVED</t>
        </is>
      </c>
      <c r="J864" s="10" t="inlineStr">
        <is>
          <t>PROPOSED</t>
        </is>
      </c>
      <c r="K864" s="10" t="inlineStr">
        <is>
          <t>DERIVED</t>
        </is>
      </c>
      <c r="L864" s="10" t="inlineStr">
        <is>
          <t>baixa</t>
        </is>
      </c>
      <c r="M864" s="10" t="inlineStr">
        <is>
          <t>["D16-DOC-PEM-001.EDITORIAL_CALENDAR.CANAL"]</t>
        </is>
      </c>
    </row>
    <row r="865">
      <c r="A865" s="10" t="inlineStr">
        <is>
          <t>D16-DOC-PEM-001.PRODUCTION.PESQUISA</t>
        </is>
      </c>
      <c r="B865" s="10" t="inlineStr">
        <is>
          <t>D16-DOC-PEM-001</t>
        </is>
      </c>
      <c r="C865" s="10" t="inlineStr">
        <is>
          <t>D16-DOC-PEM-001-T07</t>
        </is>
      </c>
      <c r="D865" s="10" t="inlineStr">
        <is>
          <t>pesquisa</t>
        </is>
      </c>
      <c r="E865" s="10" t="inlineStr">
        <is>
          <t>Definir, validar e manter: Pesquisa</t>
        </is>
      </c>
      <c r="F865" s="10" t="n"/>
      <c r="G865" s="10" t="b">
        <v>1</v>
      </c>
      <c r="H865" s="10" t="b">
        <v>1</v>
      </c>
      <c r="I865" s="10" t="inlineStr">
        <is>
          <t>FOUND</t>
        </is>
      </c>
      <c r="J865" s="10" t="inlineStr">
        <is>
          <t>DIRECT</t>
        </is>
      </c>
      <c r="K865" s="10" t="inlineStr">
        <is>
          <t>FOUND</t>
        </is>
      </c>
      <c r="L865" s="10" t="inlineStr">
        <is>
          <t>alta</t>
        </is>
      </c>
      <c r="M865" s="10" t="inlineStr">
        <is>
          <t>["D16-DOC-PEM-001.PRODUCTION.PESQUISA"]</t>
        </is>
      </c>
    </row>
    <row r="866">
      <c r="A866" s="10" t="inlineStr">
        <is>
          <t>D16-DOC-PEM-001.PRODUCTION.TEXTO</t>
        </is>
      </c>
      <c r="B866" s="10" t="inlineStr">
        <is>
          <t>D16-DOC-PEM-001</t>
        </is>
      </c>
      <c r="C866" s="10" t="inlineStr">
        <is>
          <t>D16-DOC-PEM-001-T07</t>
        </is>
      </c>
      <c r="D866" s="10" t="inlineStr">
        <is>
          <t>texto</t>
        </is>
      </c>
      <c r="E866" s="10" t="inlineStr">
        <is>
          <t>Definir, validar e manter: Texto</t>
        </is>
      </c>
      <c r="F866" s="10" t="n"/>
      <c r="G866" s="10" t="b">
        <v>1</v>
      </c>
      <c r="H866" s="10" t="b">
        <v>1</v>
      </c>
      <c r="I866" s="10" t="inlineStr">
        <is>
          <t>DERIVED</t>
        </is>
      </c>
      <c r="J866" s="10" t="inlineStr">
        <is>
          <t>PROPOSED</t>
        </is>
      </c>
      <c r="K866" s="10" t="inlineStr">
        <is>
          <t>DERIVED</t>
        </is>
      </c>
      <c r="L866" s="10" t="inlineStr">
        <is>
          <t>baixa</t>
        </is>
      </c>
      <c r="M866" s="10" t="inlineStr">
        <is>
          <t>["D16-DOC-PEM-001.PRODUCTION.TEXTO"]</t>
        </is>
      </c>
    </row>
    <row r="867">
      <c r="A867" s="10" t="inlineStr">
        <is>
          <t>D16-DOC-PEM-001.PRODUCTION.VISUAL</t>
        </is>
      </c>
      <c r="B867" s="10" t="inlineStr">
        <is>
          <t>D16-DOC-PEM-001</t>
        </is>
      </c>
      <c r="C867" s="10" t="inlineStr">
        <is>
          <t>D16-DOC-PEM-001-T07</t>
        </is>
      </c>
      <c r="D867" s="10" t="inlineStr">
        <is>
          <t>visual</t>
        </is>
      </c>
      <c r="E867" s="10" t="inlineStr">
        <is>
          <t>Definir, validar e manter: Visual</t>
        </is>
      </c>
      <c r="F867" s="10" t="n"/>
      <c r="G867" s="10" t="b">
        <v>1</v>
      </c>
      <c r="H867" s="10" t="b">
        <v>1</v>
      </c>
      <c r="I867" s="10" t="inlineStr">
        <is>
          <t>DERIVED</t>
        </is>
      </c>
      <c r="J867" s="10" t="inlineStr">
        <is>
          <t>PROPOSED</t>
        </is>
      </c>
      <c r="K867" s="10" t="inlineStr">
        <is>
          <t>DERIVED</t>
        </is>
      </c>
      <c r="L867" s="10" t="inlineStr">
        <is>
          <t>baixa</t>
        </is>
      </c>
      <c r="M867" s="10" t="inlineStr">
        <is>
          <t>["D16-DOC-PEM-001.PRODUCTION.VISUAL"]</t>
        </is>
      </c>
    </row>
    <row r="868">
      <c r="A868" s="10" t="inlineStr">
        <is>
          <t>D16-DOC-PEM-001.PRODUCTION.REVISAO</t>
        </is>
      </c>
      <c r="B868" s="10" t="inlineStr">
        <is>
          <t>D16-DOC-PEM-001</t>
        </is>
      </c>
      <c r="C868" s="10" t="inlineStr">
        <is>
          <t>D16-DOC-PEM-001-T07</t>
        </is>
      </c>
      <c r="D868" s="10" t="inlineStr">
        <is>
          <t>revisao</t>
        </is>
      </c>
      <c r="E868" s="10" t="inlineStr">
        <is>
          <t>Definir, validar e manter: Revisao</t>
        </is>
      </c>
      <c r="F868" s="10" t="n"/>
      <c r="G868" s="10" t="b">
        <v>1</v>
      </c>
      <c r="H868" s="10" t="b">
        <v>1</v>
      </c>
      <c r="I868" s="10" t="inlineStr">
        <is>
          <t>FOUND</t>
        </is>
      </c>
      <c r="J868" s="10" t="inlineStr">
        <is>
          <t>DIRECT</t>
        </is>
      </c>
      <c r="K868" s="10" t="inlineStr">
        <is>
          <t>FOUND</t>
        </is>
      </c>
      <c r="L868" s="10" t="inlineStr">
        <is>
          <t>alta</t>
        </is>
      </c>
      <c r="M868" s="10" t="inlineStr">
        <is>
          <t>["D16-DOC-PEM-001.PRODUCTION.REVISAO"]</t>
        </is>
      </c>
    </row>
    <row r="869">
      <c r="A869" s="10" t="inlineStr">
        <is>
          <t>D16-DOC-PEM-001.REPURPOSING.FONTE</t>
        </is>
      </c>
      <c r="B869" s="10" t="inlineStr">
        <is>
          <t>D16-DOC-PEM-001</t>
        </is>
      </c>
      <c r="C869" s="10" t="inlineStr">
        <is>
          <t>D16-DOC-PEM-001-T08</t>
        </is>
      </c>
      <c r="D869" s="10" t="inlineStr">
        <is>
          <t>fonte</t>
        </is>
      </c>
      <c r="E869" s="10" t="inlineStr">
        <is>
          <t>Definir, validar e manter: Fonte</t>
        </is>
      </c>
      <c r="F869" s="10" t="n"/>
      <c r="G869" s="10" t="b">
        <v>1</v>
      </c>
      <c r="H869" s="10" t="b">
        <v>1</v>
      </c>
      <c r="I869" s="10" t="inlineStr">
        <is>
          <t>DERIVED</t>
        </is>
      </c>
      <c r="J869" s="10" t="inlineStr">
        <is>
          <t>PROPOSED</t>
        </is>
      </c>
      <c r="K869" s="10" t="inlineStr">
        <is>
          <t>DERIVED</t>
        </is>
      </c>
      <c r="L869" s="10" t="inlineStr">
        <is>
          <t>baixa</t>
        </is>
      </c>
      <c r="M869" s="10" t="inlineStr">
        <is>
          <t>["D16-DOC-PEM-001.REPURPOSING.FONTE"]</t>
        </is>
      </c>
    </row>
    <row r="870">
      <c r="A870" s="10" t="inlineStr">
        <is>
          <t>D16-DOC-PEM-001.REPURPOSING.DERIVADOS</t>
        </is>
      </c>
      <c r="B870" s="10" t="inlineStr">
        <is>
          <t>D16-DOC-PEM-001</t>
        </is>
      </c>
      <c r="C870" s="10" t="inlineStr">
        <is>
          <t>D16-DOC-PEM-001-T08</t>
        </is>
      </c>
      <c r="D870" s="10" t="inlineStr">
        <is>
          <t>derivados</t>
        </is>
      </c>
      <c r="E870" s="10" t="inlineStr">
        <is>
          <t>Definir, validar e manter: Derivados</t>
        </is>
      </c>
      <c r="F870" s="10" t="n"/>
      <c r="G870" s="10" t="b">
        <v>1</v>
      </c>
      <c r="H870" s="10" t="b">
        <v>1</v>
      </c>
      <c r="I870" s="10" t="inlineStr">
        <is>
          <t>DERIVED</t>
        </is>
      </c>
      <c r="J870" s="10" t="inlineStr">
        <is>
          <t>PROPOSED</t>
        </is>
      </c>
      <c r="K870" s="10" t="inlineStr">
        <is>
          <t>DERIVED</t>
        </is>
      </c>
      <c r="L870" s="10" t="inlineStr">
        <is>
          <t>baixa</t>
        </is>
      </c>
      <c r="M870" s="10" t="inlineStr">
        <is>
          <t>["D16-DOC-PEM-001.REPURPOSING.DERIVADOS"]</t>
        </is>
      </c>
    </row>
    <row r="871">
      <c r="A871" s="10" t="inlineStr">
        <is>
          <t>D16-DOC-PEM-001.DISTRIBUTION.ORGANICO</t>
        </is>
      </c>
      <c r="B871" s="10" t="inlineStr">
        <is>
          <t>D16-DOC-PEM-001</t>
        </is>
      </c>
      <c r="C871" s="10" t="inlineStr">
        <is>
          <t>D16-DOC-PEM-001-T09</t>
        </is>
      </c>
      <c r="D871" s="10" t="inlineStr">
        <is>
          <t>organico</t>
        </is>
      </c>
      <c r="E871" s="10" t="inlineStr">
        <is>
          <t>Definir, validar e manter: Organico</t>
        </is>
      </c>
      <c r="F871" s="10" t="n"/>
      <c r="G871" s="10" t="b">
        <v>1</v>
      </c>
      <c r="H871" s="10" t="b">
        <v>1</v>
      </c>
      <c r="I871" s="10" t="inlineStr">
        <is>
          <t>DERIVED</t>
        </is>
      </c>
      <c r="J871" s="10" t="inlineStr">
        <is>
          <t>PROPOSED</t>
        </is>
      </c>
      <c r="K871" s="10" t="inlineStr">
        <is>
          <t>DERIVED</t>
        </is>
      </c>
      <c r="L871" s="10" t="inlineStr">
        <is>
          <t>baixa</t>
        </is>
      </c>
      <c r="M871" s="10" t="inlineStr">
        <is>
          <t>["D16-DOC-PEM-001.DISTRIBUTION.ORGANICO"]</t>
        </is>
      </c>
    </row>
    <row r="872">
      <c r="A872" s="10" t="inlineStr">
        <is>
          <t>D16-DOC-PEM-001.DISTRIBUTION.COMUNIDADE</t>
        </is>
      </c>
      <c r="B872" s="10" t="inlineStr">
        <is>
          <t>D16-DOC-PEM-001</t>
        </is>
      </c>
      <c r="C872" s="10" t="inlineStr">
        <is>
          <t>D16-DOC-PEM-001-T09</t>
        </is>
      </c>
      <c r="D872" s="10" t="inlineStr">
        <is>
          <t>comunidade</t>
        </is>
      </c>
      <c r="E872" s="10" t="inlineStr">
        <is>
          <t>Definir, validar e manter: Comunidade</t>
        </is>
      </c>
      <c r="F872" s="10" t="n"/>
      <c r="G872" s="10" t="b">
        <v>1</v>
      </c>
      <c r="H872" s="10" t="b">
        <v>1</v>
      </c>
      <c r="I872" s="10" t="inlineStr">
        <is>
          <t>DERIVED</t>
        </is>
      </c>
      <c r="J872" s="10" t="inlineStr">
        <is>
          <t>PROPOSED</t>
        </is>
      </c>
      <c r="K872" s="10" t="inlineStr">
        <is>
          <t>DERIVED</t>
        </is>
      </c>
      <c r="L872" s="10" t="inlineStr">
        <is>
          <t>baixa</t>
        </is>
      </c>
      <c r="M872" s="10" t="inlineStr">
        <is>
          <t>["D16-DOC-PEM-001.DISTRIBUTION.COMUNIDADE"]</t>
        </is>
      </c>
    </row>
    <row r="873">
      <c r="A873" s="10" t="inlineStr">
        <is>
          <t>D16-DOC-PEM-001.DISTRIBUTION.PARCERIA</t>
        </is>
      </c>
      <c r="B873" s="10" t="inlineStr">
        <is>
          <t>D16-DOC-PEM-001</t>
        </is>
      </c>
      <c r="C873" s="10" t="inlineStr">
        <is>
          <t>D16-DOC-PEM-001-T09</t>
        </is>
      </c>
      <c r="D873" s="10" t="inlineStr">
        <is>
          <t>parceria</t>
        </is>
      </c>
      <c r="E873" s="10" t="inlineStr">
        <is>
          <t>Definir, validar e manter: Parceria</t>
        </is>
      </c>
      <c r="F873" s="10" t="n"/>
      <c r="G873" s="10" t="b">
        <v>1</v>
      </c>
      <c r="H873" s="10" t="b">
        <v>1</v>
      </c>
      <c r="I873" s="10" t="inlineStr">
        <is>
          <t>DERIVED</t>
        </is>
      </c>
      <c r="J873" s="10" t="inlineStr">
        <is>
          <t>PROPOSED</t>
        </is>
      </c>
      <c r="K873" s="10" t="inlineStr">
        <is>
          <t>DERIVED</t>
        </is>
      </c>
      <c r="L873" s="10" t="inlineStr">
        <is>
          <t>baixa</t>
        </is>
      </c>
      <c r="M873" s="10" t="inlineStr">
        <is>
          <t>["D16-DOC-PEM-001.DISTRIBUTION.PARCERIA"]</t>
        </is>
      </c>
    </row>
    <row r="874">
      <c r="A874" s="10" t="inlineStr">
        <is>
          <t>D16-DOC-PEM-001.CTA.CTA</t>
        </is>
      </c>
      <c r="B874" s="10" t="inlineStr">
        <is>
          <t>D16-DOC-PEM-001</t>
        </is>
      </c>
      <c r="C874" s="10" t="inlineStr">
        <is>
          <t>D16-DOC-PEM-001-T10</t>
        </is>
      </c>
      <c r="D874" s="10" t="inlineStr">
        <is>
          <t>cta</t>
        </is>
      </c>
      <c r="E874" s="10" t="inlineStr">
        <is>
          <t>Definir, validar e manter: CTA</t>
        </is>
      </c>
      <c r="F874" s="10" t="n"/>
      <c r="G874" s="10" t="b">
        <v>1</v>
      </c>
      <c r="H874" s="10" t="b">
        <v>1</v>
      </c>
      <c r="I874" s="10" t="inlineStr">
        <is>
          <t>DERIVED</t>
        </is>
      </c>
      <c r="J874" s="10" t="inlineStr">
        <is>
          <t>PROPOSED</t>
        </is>
      </c>
      <c r="K874" s="10" t="inlineStr">
        <is>
          <t>DERIVED</t>
        </is>
      </c>
      <c r="L874" s="10" t="inlineStr">
        <is>
          <t>baixa</t>
        </is>
      </c>
      <c r="M874" s="10" t="inlineStr">
        <is>
          <t>["D16-DOC-PEM-001.CTA.CTA"]</t>
        </is>
      </c>
    </row>
    <row r="875">
      <c r="A875" s="10" t="inlineStr">
        <is>
          <t>D16-DOC-PEM-001.CTA.DESTINO</t>
        </is>
      </c>
      <c r="B875" s="10" t="inlineStr">
        <is>
          <t>D16-DOC-PEM-001</t>
        </is>
      </c>
      <c r="C875" s="10" t="inlineStr">
        <is>
          <t>D16-DOC-PEM-001-T10</t>
        </is>
      </c>
      <c r="D875" s="10" t="inlineStr">
        <is>
          <t>destino</t>
        </is>
      </c>
      <c r="E875" s="10" t="inlineStr">
        <is>
          <t>Definir, validar e manter: Destino</t>
        </is>
      </c>
      <c r="F875" s="10" t="n"/>
      <c r="G875" s="10" t="b">
        <v>1</v>
      </c>
      <c r="H875" s="10" t="b">
        <v>1</v>
      </c>
      <c r="I875" s="10" t="inlineStr">
        <is>
          <t>DERIVED</t>
        </is>
      </c>
      <c r="J875" s="10" t="inlineStr">
        <is>
          <t>PROPOSED</t>
        </is>
      </c>
      <c r="K875" s="10" t="inlineStr">
        <is>
          <t>DERIVED</t>
        </is>
      </c>
      <c r="L875" s="10" t="inlineStr">
        <is>
          <t>baixa</t>
        </is>
      </c>
      <c r="M875" s="10" t="inlineStr">
        <is>
          <t>["D16-DOC-PEM-001.CTA.DESTINO"]</t>
        </is>
      </c>
    </row>
    <row r="876">
      <c r="A876" s="10" t="inlineStr">
        <is>
          <t>D16-DOC-PEM-001.COMMUNITY.RESPOSTA</t>
        </is>
      </c>
      <c r="B876" s="10" t="inlineStr">
        <is>
          <t>D16-DOC-PEM-001</t>
        </is>
      </c>
      <c r="C876" s="10" t="inlineStr">
        <is>
          <t>D16-DOC-PEM-001-T11</t>
        </is>
      </c>
      <c r="D876" s="10" t="inlineStr">
        <is>
          <t>resposta</t>
        </is>
      </c>
      <c r="E876" s="10" t="inlineStr">
        <is>
          <t>Definir, validar e manter: Resposta</t>
        </is>
      </c>
      <c r="F876" s="10" t="n"/>
      <c r="G876" s="10" t="b">
        <v>1</v>
      </c>
      <c r="H876" s="10" t="b">
        <v>1</v>
      </c>
      <c r="I876" s="10" t="inlineStr">
        <is>
          <t>DERIVED</t>
        </is>
      </c>
      <c r="J876" s="10" t="inlineStr">
        <is>
          <t>PROPOSED</t>
        </is>
      </c>
      <c r="K876" s="10" t="inlineStr">
        <is>
          <t>DERIVED</t>
        </is>
      </c>
      <c r="L876" s="10" t="inlineStr">
        <is>
          <t>baixa</t>
        </is>
      </c>
      <c r="M876" s="10" t="inlineStr">
        <is>
          <t>["D16-DOC-PEM-001.COMMUNITY.RESPOSTA"]</t>
        </is>
      </c>
    </row>
    <row r="877">
      <c r="A877" s="10" t="inlineStr">
        <is>
          <t>D16-DOC-PEM-001.COMMUNITY.MODERACAO</t>
        </is>
      </c>
      <c r="B877" s="10" t="inlineStr">
        <is>
          <t>D16-DOC-PEM-001</t>
        </is>
      </c>
      <c r="C877" s="10" t="inlineStr">
        <is>
          <t>D16-DOC-PEM-001-T11</t>
        </is>
      </c>
      <c r="D877" s="10" t="inlineStr">
        <is>
          <t>moderacao</t>
        </is>
      </c>
      <c r="E877" s="10" t="inlineStr">
        <is>
          <t>Definir, validar e manter: Moderacao</t>
        </is>
      </c>
      <c r="F877" s="10" t="n"/>
      <c r="G877" s="10" t="b">
        <v>1</v>
      </c>
      <c r="H877" s="10" t="b">
        <v>1</v>
      </c>
      <c r="I877" s="10" t="inlineStr">
        <is>
          <t>DERIVED</t>
        </is>
      </c>
      <c r="J877" s="10" t="inlineStr">
        <is>
          <t>PROPOSED</t>
        </is>
      </c>
      <c r="K877" s="10" t="inlineStr">
        <is>
          <t>DERIVED</t>
        </is>
      </c>
      <c r="L877" s="10" t="inlineStr">
        <is>
          <t>baixa</t>
        </is>
      </c>
      <c r="M877" s="10" t="inlineStr">
        <is>
          <t>["D16-DOC-PEM-001.COMMUNITY.MODERACAO"]</t>
        </is>
      </c>
    </row>
    <row r="878">
      <c r="A878" s="10" t="inlineStr">
        <is>
          <t>D16-DOC-PEM-001.MEASUREMENT.ALCANCE</t>
        </is>
      </c>
      <c r="B878" s="10" t="inlineStr">
        <is>
          <t>D16-DOC-PEM-001</t>
        </is>
      </c>
      <c r="C878" s="10" t="inlineStr">
        <is>
          <t>D16-DOC-PEM-001-T12</t>
        </is>
      </c>
      <c r="D878" s="10" t="inlineStr">
        <is>
          <t>alcance</t>
        </is>
      </c>
      <c r="E878" s="10" t="inlineStr">
        <is>
          <t>Definir, validar e manter: Alcance</t>
        </is>
      </c>
      <c r="F878" s="10" t="n"/>
      <c r="G878" s="10" t="b">
        <v>1</v>
      </c>
      <c r="H878" s="10" t="b">
        <v>1</v>
      </c>
      <c r="I878" s="10" t="inlineStr">
        <is>
          <t>DERIVED</t>
        </is>
      </c>
      <c r="J878" s="10" t="inlineStr">
        <is>
          <t>PROPOSED</t>
        </is>
      </c>
      <c r="K878" s="10" t="inlineStr">
        <is>
          <t>DERIVED</t>
        </is>
      </c>
      <c r="L878" s="10" t="inlineStr">
        <is>
          <t>baixa</t>
        </is>
      </c>
      <c r="M878" s="10" t="inlineStr">
        <is>
          <t>["D16-DOC-PEM-001.MEASUREMENT.ALCANCE"]</t>
        </is>
      </c>
    </row>
    <row r="879">
      <c r="A879" s="10" t="inlineStr">
        <is>
          <t>D16-DOC-PEM-001.MEASUREMENT.ENGAJAMENTO</t>
        </is>
      </c>
      <c r="B879" s="10" t="inlineStr">
        <is>
          <t>D16-DOC-PEM-001</t>
        </is>
      </c>
      <c r="C879" s="10" t="inlineStr">
        <is>
          <t>D16-DOC-PEM-001-T12</t>
        </is>
      </c>
      <c r="D879" s="10" t="inlineStr">
        <is>
          <t>engajamento</t>
        </is>
      </c>
      <c r="E879" s="10" t="inlineStr">
        <is>
          <t>Definir, validar e manter: Engajamento</t>
        </is>
      </c>
      <c r="F879" s="10" t="n"/>
      <c r="G879" s="10" t="b">
        <v>1</v>
      </c>
      <c r="H879" s="10" t="b">
        <v>1</v>
      </c>
      <c r="I879" s="10" t="inlineStr">
        <is>
          <t>DERIVED</t>
        </is>
      </c>
      <c r="J879" s="10" t="inlineStr">
        <is>
          <t>PROPOSED</t>
        </is>
      </c>
      <c r="K879" s="10" t="inlineStr">
        <is>
          <t>DERIVED</t>
        </is>
      </c>
      <c r="L879" s="10" t="inlineStr">
        <is>
          <t>baixa</t>
        </is>
      </c>
      <c r="M879" s="10" t="inlineStr">
        <is>
          <t>["D16-DOC-PEM-001.MEASUREMENT.ENGAJAMENTO"]</t>
        </is>
      </c>
    </row>
    <row r="880">
      <c r="A880" s="10" t="inlineStr">
        <is>
          <t>D16-DOC-PEM-001.MEASUREMENT.CLIQUE</t>
        </is>
      </c>
      <c r="B880" s="10" t="inlineStr">
        <is>
          <t>D16-DOC-PEM-001</t>
        </is>
      </c>
      <c r="C880" s="10" t="inlineStr">
        <is>
          <t>D16-DOC-PEM-001-T12</t>
        </is>
      </c>
      <c r="D880" s="10" t="inlineStr">
        <is>
          <t>clique</t>
        </is>
      </c>
      <c r="E880" s="10" t="inlineStr">
        <is>
          <t>Definir, validar e manter: Clique</t>
        </is>
      </c>
      <c r="F880" s="10" t="n"/>
      <c r="G880" s="10" t="b">
        <v>1</v>
      </c>
      <c r="H880" s="10" t="b">
        <v>1</v>
      </c>
      <c r="I880" s="10" t="inlineStr">
        <is>
          <t>DERIVED</t>
        </is>
      </c>
      <c r="J880" s="10" t="inlineStr">
        <is>
          <t>PROPOSED</t>
        </is>
      </c>
      <c r="K880" s="10" t="inlineStr">
        <is>
          <t>DERIVED</t>
        </is>
      </c>
      <c r="L880" s="10" t="inlineStr">
        <is>
          <t>baixa</t>
        </is>
      </c>
      <c r="M880" s="10" t="inlineStr">
        <is>
          <t>["D16-DOC-PEM-001.MEASUREMENT.CLIQUE"]</t>
        </is>
      </c>
    </row>
    <row r="881">
      <c r="A881" s="10" t="inlineStr">
        <is>
          <t>D16-DOC-PEM-001.MEASUREMENT.CONVERSAO</t>
        </is>
      </c>
      <c r="B881" s="10" t="inlineStr">
        <is>
          <t>D16-DOC-PEM-001</t>
        </is>
      </c>
      <c r="C881" s="10" t="inlineStr">
        <is>
          <t>D16-DOC-PEM-001-T12</t>
        </is>
      </c>
      <c r="D881" s="10" t="inlineStr">
        <is>
          <t>conversao</t>
        </is>
      </c>
      <c r="E881" s="10" t="inlineStr">
        <is>
          <t>Definir, validar e manter: Conversao</t>
        </is>
      </c>
      <c r="F881" s="10" t="n"/>
      <c r="G881" s="10" t="b">
        <v>1</v>
      </c>
      <c r="H881" s="10" t="b">
        <v>1</v>
      </c>
      <c r="I881" s="10" t="inlineStr">
        <is>
          <t>DERIVED</t>
        </is>
      </c>
      <c r="J881" s="10" t="inlineStr">
        <is>
          <t>PROPOSED</t>
        </is>
      </c>
      <c r="K881" s="10" t="inlineStr">
        <is>
          <t>DERIVED</t>
        </is>
      </c>
      <c r="L881" s="10" t="inlineStr">
        <is>
          <t>baixa</t>
        </is>
      </c>
      <c r="M881" s="10" t="inlineStr">
        <is>
          <t>["D16-DOC-PEM-001.MEASUREMENT.CONVERSAO"]</t>
        </is>
      </c>
    </row>
    <row r="882">
      <c r="A882" s="10" t="inlineStr">
        <is>
          <t>D16-DOC-PEM-001.GOVERNANCE.OWNER</t>
        </is>
      </c>
      <c r="B882" s="10" t="inlineStr">
        <is>
          <t>D16-DOC-PEM-001</t>
        </is>
      </c>
      <c r="C882" s="10" t="inlineStr">
        <is>
          <t>D16-DOC-PEM-001-T13</t>
        </is>
      </c>
      <c r="D882" s="10" t="inlineStr">
        <is>
          <t>owner</t>
        </is>
      </c>
      <c r="E882" s="10" t="inlineStr">
        <is>
          <t>Definir, validar e manter: Owner</t>
        </is>
      </c>
      <c r="F882" s="10" t="n"/>
      <c r="G882" s="10" t="b">
        <v>1</v>
      </c>
      <c r="H882" s="10" t="b">
        <v>1</v>
      </c>
      <c r="I882" s="10" t="inlineStr">
        <is>
          <t>DERIVED</t>
        </is>
      </c>
      <c r="J882" s="10" t="inlineStr">
        <is>
          <t>PROPOSED</t>
        </is>
      </c>
      <c r="K882" s="10" t="inlineStr">
        <is>
          <t>DERIVED</t>
        </is>
      </c>
      <c r="L882" s="10" t="inlineStr">
        <is>
          <t>baixa</t>
        </is>
      </c>
      <c r="M882" s="10" t="inlineStr">
        <is>
          <t>["D16-DOC-PEM-001.GOVERNANCE.OWNER"]</t>
        </is>
      </c>
    </row>
    <row r="883">
      <c r="A883" s="10" t="inlineStr">
        <is>
          <t>D16-DOC-PEM-001.GOVERNANCE.APROVACAO</t>
        </is>
      </c>
      <c r="B883" s="10" t="inlineStr">
        <is>
          <t>D16-DOC-PEM-001</t>
        </is>
      </c>
      <c r="C883" s="10" t="inlineStr">
        <is>
          <t>D16-DOC-PEM-001-T13</t>
        </is>
      </c>
      <c r="D883" s="10" t="inlineStr">
        <is>
          <t>aprovacao</t>
        </is>
      </c>
      <c r="E883" s="10" t="inlineStr">
        <is>
          <t>Definir, validar e manter: Aprovacao</t>
        </is>
      </c>
      <c r="F883" s="10" t="n"/>
      <c r="G883" s="10" t="b">
        <v>1</v>
      </c>
      <c r="H883" s="10" t="b">
        <v>1</v>
      </c>
      <c r="I883" s="10" t="inlineStr">
        <is>
          <t>DERIVED</t>
        </is>
      </c>
      <c r="J883" s="10" t="inlineStr">
        <is>
          <t>PROPOSED</t>
        </is>
      </c>
      <c r="K883" s="10" t="inlineStr">
        <is>
          <t>DERIVED</t>
        </is>
      </c>
      <c r="L883" s="10" t="inlineStr">
        <is>
          <t>baixa</t>
        </is>
      </c>
      <c r="M883" s="10" t="inlineStr">
        <is>
          <t>["D16-DOC-PEM-001.GOVERNANCE.APROVACAO"]</t>
        </is>
      </c>
    </row>
    <row r="884">
      <c r="A884" s="10" t="inlineStr">
        <is>
          <t>D16-DOC-PEM-001.BRAND_COMPLIANCE.VOZ</t>
        </is>
      </c>
      <c r="B884" s="10" t="inlineStr">
        <is>
          <t>D16-DOC-PEM-001</t>
        </is>
      </c>
      <c r="C884" s="10" t="inlineStr">
        <is>
          <t>D16-DOC-PEM-001-T14</t>
        </is>
      </c>
      <c r="D884" s="10" t="inlineStr">
        <is>
          <t>voz</t>
        </is>
      </c>
      <c r="E884" s="10" t="inlineStr">
        <is>
          <t>Definir, validar e manter: Voz</t>
        </is>
      </c>
      <c r="F884" s="10" t="n"/>
      <c r="G884" s="10" t="b">
        <v>1</v>
      </c>
      <c r="H884" s="10" t="b">
        <v>1</v>
      </c>
      <c r="I884" s="10" t="inlineStr">
        <is>
          <t>DERIVED</t>
        </is>
      </c>
      <c r="J884" s="10" t="inlineStr">
        <is>
          <t>PROPOSED</t>
        </is>
      </c>
      <c r="K884" s="10" t="inlineStr">
        <is>
          <t>DERIVED</t>
        </is>
      </c>
      <c r="L884" s="10" t="inlineStr">
        <is>
          <t>baixa</t>
        </is>
      </c>
      <c r="M884" s="10" t="inlineStr">
        <is>
          <t>["D16-DOC-PEM-001.BRAND_COMPLIANCE.VOZ"]</t>
        </is>
      </c>
    </row>
    <row r="885">
      <c r="A885" s="10" t="inlineStr">
        <is>
          <t>D16-DOC-PEM-001.BRAND_COMPLIANCE.VISUAL</t>
        </is>
      </c>
      <c r="B885" s="10" t="inlineStr">
        <is>
          <t>D16-DOC-PEM-001</t>
        </is>
      </c>
      <c r="C885" s="10" t="inlineStr">
        <is>
          <t>D16-DOC-PEM-001-T14</t>
        </is>
      </c>
      <c r="D885" s="10" t="inlineStr">
        <is>
          <t>visual</t>
        </is>
      </c>
      <c r="E885" s="10" t="inlineStr">
        <is>
          <t>Definir, validar e manter: Visual</t>
        </is>
      </c>
      <c r="F885" s="10" t="n"/>
      <c r="G885" s="10" t="b">
        <v>1</v>
      </c>
      <c r="H885" s="10" t="b">
        <v>1</v>
      </c>
      <c r="I885" s="10" t="inlineStr">
        <is>
          <t>DERIVED</t>
        </is>
      </c>
      <c r="J885" s="10" t="inlineStr">
        <is>
          <t>PROPOSED</t>
        </is>
      </c>
      <c r="K885" s="10" t="inlineStr">
        <is>
          <t>DERIVED</t>
        </is>
      </c>
      <c r="L885" s="10" t="inlineStr">
        <is>
          <t>baixa</t>
        </is>
      </c>
      <c r="M885" s="10" t="inlineStr">
        <is>
          <t>["D16-DOC-PEM-001.BRAND_COMPLIANCE.VISUAL"]</t>
        </is>
      </c>
    </row>
    <row r="886">
      <c r="A886" s="10" t="inlineStr">
        <is>
          <t>D16-DOC-PEM-001.BRAND_COMPLIANCE.CLAIMS</t>
        </is>
      </c>
      <c r="B886" s="10" t="inlineStr">
        <is>
          <t>D16-DOC-PEM-001</t>
        </is>
      </c>
      <c r="C886" s="10" t="inlineStr">
        <is>
          <t>D16-DOC-PEM-001-T14</t>
        </is>
      </c>
      <c r="D886" s="10" t="inlineStr">
        <is>
          <t>claims</t>
        </is>
      </c>
      <c r="E886" s="10" t="inlineStr">
        <is>
          <t>Definir, validar e manter: Claims</t>
        </is>
      </c>
      <c r="F886" s="10" t="n"/>
      <c r="G886" s="10" t="b">
        <v>1</v>
      </c>
      <c r="H886" s="10" t="b">
        <v>1</v>
      </c>
      <c r="I886" s="10" t="inlineStr">
        <is>
          <t>DERIVED</t>
        </is>
      </c>
      <c r="J886" s="10" t="inlineStr">
        <is>
          <t>PROPOSED</t>
        </is>
      </c>
      <c r="K886" s="10" t="inlineStr">
        <is>
          <t>DERIVED</t>
        </is>
      </c>
      <c r="L886" s="10" t="inlineStr">
        <is>
          <t>baixa</t>
        </is>
      </c>
      <c r="M886" s="10" t="inlineStr">
        <is>
          <t>["D16-DOC-PEM-001.BRAND_COMPLIANCE.CLAIMS"]</t>
        </is>
      </c>
    </row>
    <row r="887">
      <c r="A887" s="10" t="inlineStr">
        <is>
          <t>D17-DOC-PEP-001.OBJECTIVE.OBJETIVO_PROFISSIONAL</t>
        </is>
      </c>
      <c r="B887" s="10" t="inlineStr">
        <is>
          <t>D17-DOC-PEP-001</t>
        </is>
      </c>
      <c r="C887" s="10" t="inlineStr">
        <is>
          <t>D17-DOC-PEP-001-T01</t>
        </is>
      </c>
      <c r="D887" s="10" t="inlineStr">
        <is>
          <t>objetivo_profissional</t>
        </is>
      </c>
      <c r="E887" s="10" t="inlineStr">
        <is>
          <t>Definir, validar e manter: Objetivo Profissional</t>
        </is>
      </c>
      <c r="F887" s="10" t="n"/>
      <c r="G887" s="10" t="b">
        <v>1</v>
      </c>
      <c r="H887" s="10" t="b">
        <v>1</v>
      </c>
      <c r="I887" s="10" t="inlineStr">
        <is>
          <t>DERIVED</t>
        </is>
      </c>
      <c r="J887" s="10" t="inlineStr">
        <is>
          <t>PROPOSED</t>
        </is>
      </c>
      <c r="K887" s="10" t="inlineStr">
        <is>
          <t>DERIVED</t>
        </is>
      </c>
      <c r="L887" s="10" t="inlineStr">
        <is>
          <t>baixa</t>
        </is>
      </c>
      <c r="M887" s="10" t="inlineStr">
        <is>
          <t>["D17-DOC-PEP-001.OBJECTIVE.OBJETIVO_PROFISSIONAL"]</t>
        </is>
      </c>
    </row>
    <row r="888">
      <c r="A888" s="10" t="inlineStr">
        <is>
          <t>D17-DOC-PEP-001.OBJECTIVE.HORIZONTE</t>
        </is>
      </c>
      <c r="B888" s="10" t="inlineStr">
        <is>
          <t>D17-DOC-PEP-001</t>
        </is>
      </c>
      <c r="C888" s="10" t="inlineStr">
        <is>
          <t>D17-DOC-PEP-001-T01</t>
        </is>
      </c>
      <c r="D888" s="10" t="inlineStr">
        <is>
          <t>horizonte</t>
        </is>
      </c>
      <c r="E888" s="10" t="inlineStr">
        <is>
          <t>Definir, validar e manter: Horizonte</t>
        </is>
      </c>
      <c r="F888" s="10" t="n"/>
      <c r="G888" s="10" t="b">
        <v>1</v>
      </c>
      <c r="H888" s="10" t="b">
        <v>1</v>
      </c>
      <c r="I888" s="10" t="inlineStr">
        <is>
          <t>DERIVED</t>
        </is>
      </c>
      <c r="J888" s="10" t="inlineStr">
        <is>
          <t>PROPOSED</t>
        </is>
      </c>
      <c r="K888" s="10" t="inlineStr">
        <is>
          <t>DERIVED</t>
        </is>
      </c>
      <c r="L888" s="10" t="inlineStr">
        <is>
          <t>baixa</t>
        </is>
      </c>
      <c r="M888" s="10" t="inlineStr">
        <is>
          <t>["D17-DOC-PEP-001.OBJECTIVE.HORIZONTE"]</t>
        </is>
      </c>
    </row>
    <row r="889">
      <c r="A889" s="10" t="inlineStr">
        <is>
          <t>D17-DOC-PEP-001.POSITIONING.PROPOSTA_PROFISSIONAL</t>
        </is>
      </c>
      <c r="B889" s="10" t="inlineStr">
        <is>
          <t>D17-DOC-PEP-001</t>
        </is>
      </c>
      <c r="C889" s="10" t="inlineStr">
        <is>
          <t>D17-DOC-PEP-001-T02</t>
        </is>
      </c>
      <c r="D889" s="10" t="inlineStr">
        <is>
          <t>proposta_profissional</t>
        </is>
      </c>
      <c r="E889" s="10" t="inlineStr">
        <is>
          <t>Definir, validar e manter: Proposta Profissional</t>
        </is>
      </c>
      <c r="F889" s="10" t="n"/>
      <c r="G889" s="10" t="b">
        <v>1</v>
      </c>
      <c r="H889" s="10" t="b">
        <v>1</v>
      </c>
      <c r="I889" s="10" t="inlineStr">
        <is>
          <t>DERIVED</t>
        </is>
      </c>
      <c r="J889" s="10" t="inlineStr">
        <is>
          <t>PROPOSED</t>
        </is>
      </c>
      <c r="K889" s="10" t="inlineStr">
        <is>
          <t>DERIVED</t>
        </is>
      </c>
      <c r="L889" s="10" t="inlineStr">
        <is>
          <t>baixa</t>
        </is>
      </c>
      <c r="M889" s="10" t="inlineStr">
        <is>
          <t>["D17-DOC-PEP-001.POSITIONING.PROPOSTA_PROFISSIONAL"]</t>
        </is>
      </c>
    </row>
    <row r="890">
      <c r="A890" s="10" t="inlineStr">
        <is>
          <t>D17-DOC-PEP-001.POSITIONING.ESPECIALIDADES</t>
        </is>
      </c>
      <c r="B890" s="10" t="inlineStr">
        <is>
          <t>D17-DOC-PEP-001</t>
        </is>
      </c>
      <c r="C890" s="10" t="inlineStr">
        <is>
          <t>D17-DOC-PEP-001-T02</t>
        </is>
      </c>
      <c r="D890" s="10" t="inlineStr">
        <is>
          <t>especialidades</t>
        </is>
      </c>
      <c r="E890" s="10" t="inlineStr">
        <is>
          <t>Definir, validar e manter: Especialidades</t>
        </is>
      </c>
      <c r="F890" s="10" t="n"/>
      <c r="G890" s="10" t="b">
        <v>1</v>
      </c>
      <c r="H890" s="10" t="b">
        <v>1</v>
      </c>
      <c r="I890" s="10" t="inlineStr">
        <is>
          <t>DERIVED</t>
        </is>
      </c>
      <c r="J890" s="10" t="inlineStr">
        <is>
          <t>PROPOSED</t>
        </is>
      </c>
      <c r="K890" s="10" t="inlineStr">
        <is>
          <t>DERIVED</t>
        </is>
      </c>
      <c r="L890" s="10" t="inlineStr">
        <is>
          <t>baixa</t>
        </is>
      </c>
      <c r="M890" s="10" t="inlineStr">
        <is>
          <t>["D17-DOC-PEP-001.POSITIONING.ESPECIALIDADES"]</t>
        </is>
      </c>
    </row>
    <row r="891">
      <c r="A891" s="10" t="inlineStr">
        <is>
          <t>D17-DOC-PEP-001.TARGET.CARGOS</t>
        </is>
      </c>
      <c r="B891" s="10" t="inlineStr">
        <is>
          <t>D17-DOC-PEP-001</t>
        </is>
      </c>
      <c r="C891" s="10" t="inlineStr">
        <is>
          <t>D17-DOC-PEP-001-T03</t>
        </is>
      </c>
      <c r="D891" s="10" t="inlineStr">
        <is>
          <t>cargos</t>
        </is>
      </c>
      <c r="E891" s="10" t="inlineStr">
        <is>
          <t>Definir, validar e manter: Cargos</t>
        </is>
      </c>
      <c r="F891" s="10" t="n"/>
      <c r="G891" s="10" t="b">
        <v>1</v>
      </c>
      <c r="H891" s="10" t="b">
        <v>1</v>
      </c>
      <c r="I891" s="10" t="inlineStr">
        <is>
          <t>DERIVED</t>
        </is>
      </c>
      <c r="J891" s="10" t="inlineStr">
        <is>
          <t>PROPOSED</t>
        </is>
      </c>
      <c r="K891" s="10" t="inlineStr">
        <is>
          <t>DERIVED</t>
        </is>
      </c>
      <c r="L891" s="10" t="inlineStr">
        <is>
          <t>baixa</t>
        </is>
      </c>
      <c r="M891" s="10" t="inlineStr">
        <is>
          <t>["D17-DOC-PEP-001.TARGET.CARGOS"]</t>
        </is>
      </c>
    </row>
    <row r="892">
      <c r="A892" s="10" t="inlineStr">
        <is>
          <t>D17-DOC-PEP-001.TARGET.EMPRESAS</t>
        </is>
      </c>
      <c r="B892" s="10" t="inlineStr">
        <is>
          <t>D17-DOC-PEP-001</t>
        </is>
      </c>
      <c r="C892" s="10" t="inlineStr">
        <is>
          <t>D17-DOC-PEP-001-T03</t>
        </is>
      </c>
      <c r="D892" s="10" t="inlineStr">
        <is>
          <t>empresas</t>
        </is>
      </c>
      <c r="E892" s="10" t="inlineStr">
        <is>
          <t>Definir, validar e manter: Empresas</t>
        </is>
      </c>
      <c r="F892" s="10" t="n"/>
      <c r="G892" s="10" t="b">
        <v>1</v>
      </c>
      <c r="H892" s="10" t="b">
        <v>1</v>
      </c>
      <c r="I892" s="10" t="inlineStr">
        <is>
          <t>DERIVED</t>
        </is>
      </c>
      <c r="J892" s="10" t="inlineStr">
        <is>
          <t>PROPOSED</t>
        </is>
      </c>
      <c r="K892" s="10" t="inlineStr">
        <is>
          <t>DERIVED</t>
        </is>
      </c>
      <c r="L892" s="10" t="inlineStr">
        <is>
          <t>baixa</t>
        </is>
      </c>
      <c r="M892" s="10" t="inlineStr">
        <is>
          <t>["D17-DOC-PEP-001.TARGET.EMPRESAS"]</t>
        </is>
      </c>
    </row>
    <row r="893">
      <c r="A893" s="10" t="inlineStr">
        <is>
          <t>D17-DOC-PEP-001.TARGET.CLIENTES</t>
        </is>
      </c>
      <c r="B893" s="10" t="inlineStr">
        <is>
          <t>D17-DOC-PEP-001</t>
        </is>
      </c>
      <c r="C893" s="10" t="inlineStr">
        <is>
          <t>D17-DOC-PEP-001-T03</t>
        </is>
      </c>
      <c r="D893" s="10" t="inlineStr">
        <is>
          <t>clientes</t>
        </is>
      </c>
      <c r="E893" s="10" t="inlineStr">
        <is>
          <t>Definir, validar e manter: Clientes</t>
        </is>
      </c>
      <c r="F893" s="10" t="n"/>
      <c r="G893" s="10" t="b">
        <v>1</v>
      </c>
      <c r="H893" s="10" t="b">
        <v>1</v>
      </c>
      <c r="I893" s="10" t="inlineStr">
        <is>
          <t>DERIVED</t>
        </is>
      </c>
      <c r="J893" s="10" t="inlineStr">
        <is>
          <t>PROPOSED</t>
        </is>
      </c>
      <c r="K893" s="10" t="inlineStr">
        <is>
          <t>DERIVED</t>
        </is>
      </c>
      <c r="L893" s="10" t="inlineStr">
        <is>
          <t>baixa</t>
        </is>
      </c>
      <c r="M893" s="10" t="inlineStr">
        <is>
          <t>["D17-DOC-PEP-001.TARGET.CLIENTES"]</t>
        </is>
      </c>
    </row>
    <row r="894">
      <c r="A894" s="10" t="inlineStr">
        <is>
          <t>D17-DOC-PEP-001.TARGET.MERCADOS</t>
        </is>
      </c>
      <c r="B894" s="10" t="inlineStr">
        <is>
          <t>D17-DOC-PEP-001</t>
        </is>
      </c>
      <c r="C894" s="10" t="inlineStr">
        <is>
          <t>D17-DOC-PEP-001-T03</t>
        </is>
      </c>
      <c r="D894" s="10" t="inlineStr">
        <is>
          <t>mercados</t>
        </is>
      </c>
      <c r="E894" s="10" t="inlineStr">
        <is>
          <t>Definir, validar e manter: Mercados</t>
        </is>
      </c>
      <c r="F894" s="10" t="n"/>
      <c r="G894" s="10" t="b">
        <v>1</v>
      </c>
      <c r="H894" s="10" t="b">
        <v>1</v>
      </c>
      <c r="I894" s="10" t="inlineStr">
        <is>
          <t>DERIVED</t>
        </is>
      </c>
      <c r="J894" s="10" t="inlineStr">
        <is>
          <t>PROPOSED</t>
        </is>
      </c>
      <c r="K894" s="10" t="inlineStr">
        <is>
          <t>DERIVED</t>
        </is>
      </c>
      <c r="L894" s="10" t="inlineStr">
        <is>
          <t>baixa</t>
        </is>
      </c>
      <c r="M894" s="10" t="inlineStr">
        <is>
          <t>["D17-DOC-PEP-001.TARGET.MERCADOS"]</t>
        </is>
      </c>
    </row>
    <row r="895">
      <c r="A895" s="10" t="inlineStr">
        <is>
          <t>D17-DOC-PEP-001.COMPETENCIES.COMPETENCIAS</t>
        </is>
      </c>
      <c r="B895" s="10" t="inlineStr">
        <is>
          <t>D17-DOC-PEP-001</t>
        </is>
      </c>
      <c r="C895" s="10" t="inlineStr">
        <is>
          <t>D17-DOC-PEP-001-T04</t>
        </is>
      </c>
      <c r="D895" s="10" t="inlineStr">
        <is>
          <t>competencias</t>
        </is>
      </c>
      <c r="E895" s="10" t="inlineStr">
        <is>
          <t>Definir, validar e manter: Competencias</t>
        </is>
      </c>
      <c r="F895" s="10" t="n"/>
      <c r="G895" s="10" t="b">
        <v>1</v>
      </c>
      <c r="H895" s="10" t="b">
        <v>1</v>
      </c>
      <c r="I895" s="10" t="inlineStr">
        <is>
          <t>DERIVED</t>
        </is>
      </c>
      <c r="J895" s="10" t="inlineStr">
        <is>
          <t>PROPOSED</t>
        </is>
      </c>
      <c r="K895" s="10" t="inlineStr">
        <is>
          <t>DERIVED</t>
        </is>
      </c>
      <c r="L895" s="10" t="inlineStr">
        <is>
          <t>baixa</t>
        </is>
      </c>
      <c r="M895" s="10" t="inlineStr">
        <is>
          <t>["D17-DOC-PEP-001.COMPETENCIES.COMPETENCIAS"]</t>
        </is>
      </c>
    </row>
    <row r="896">
      <c r="A896" s="10" t="inlineStr">
        <is>
          <t>D17-DOC-PEP-001.COMPETENCIES.NIVEL</t>
        </is>
      </c>
      <c r="B896" s="10" t="inlineStr">
        <is>
          <t>D17-DOC-PEP-001</t>
        </is>
      </c>
      <c r="C896" s="10" t="inlineStr">
        <is>
          <t>D17-DOC-PEP-001-T04</t>
        </is>
      </c>
      <c r="D896" s="10" t="inlineStr">
        <is>
          <t>nivel</t>
        </is>
      </c>
      <c r="E896" s="10" t="inlineStr">
        <is>
          <t>Definir, validar e manter: Nivel</t>
        </is>
      </c>
      <c r="F896" s="10" t="n"/>
      <c r="G896" s="10" t="b">
        <v>1</v>
      </c>
      <c r="H896" s="10" t="b">
        <v>1</v>
      </c>
      <c r="I896" s="10" t="inlineStr">
        <is>
          <t>DERIVED</t>
        </is>
      </c>
      <c r="J896" s="10" t="inlineStr">
        <is>
          <t>PROPOSED</t>
        </is>
      </c>
      <c r="K896" s="10" t="inlineStr">
        <is>
          <t>DERIVED</t>
        </is>
      </c>
      <c r="L896" s="10" t="inlineStr">
        <is>
          <t>baixa</t>
        </is>
      </c>
      <c r="M896" s="10" t="inlineStr">
        <is>
          <t>["D17-DOC-PEP-001.COMPETENCIES.NIVEL"]</t>
        </is>
      </c>
    </row>
    <row r="897">
      <c r="A897" s="10" t="inlineStr">
        <is>
          <t>D17-DOC-PEP-001.COMPETENCIES.EVIDENCIA</t>
        </is>
      </c>
      <c r="B897" s="10" t="inlineStr">
        <is>
          <t>D17-DOC-PEP-001</t>
        </is>
      </c>
      <c r="C897" s="10" t="inlineStr">
        <is>
          <t>D17-DOC-PEP-001-T04</t>
        </is>
      </c>
      <c r="D897" s="10" t="inlineStr">
        <is>
          <t>evidencia</t>
        </is>
      </c>
      <c r="E897" s="10" t="inlineStr">
        <is>
          <t>Definir, validar e manter: Evidencia</t>
        </is>
      </c>
      <c r="F897" s="10" t="n"/>
      <c r="G897" s="10" t="b">
        <v>1</v>
      </c>
      <c r="H897" s="10" t="b">
        <v>1</v>
      </c>
      <c r="I897" s="10" t="inlineStr">
        <is>
          <t>DERIVED</t>
        </is>
      </c>
      <c r="J897" s="10" t="inlineStr">
        <is>
          <t>PROPOSED</t>
        </is>
      </c>
      <c r="K897" s="10" t="inlineStr">
        <is>
          <t>DERIVED</t>
        </is>
      </c>
      <c r="L897" s="10" t="inlineStr">
        <is>
          <t>baixa</t>
        </is>
      </c>
      <c r="M897" s="10" t="inlineStr">
        <is>
          <t>["D17-DOC-PEP-001.COMPETENCIES.EVIDENCIA"]</t>
        </is>
      </c>
    </row>
    <row r="898">
      <c r="A898" s="10" t="inlineStr">
        <is>
          <t>D17-DOC-PEP-001.GAPS.LACUNA</t>
        </is>
      </c>
      <c r="B898" s="10" t="inlineStr">
        <is>
          <t>D17-DOC-PEP-001</t>
        </is>
      </c>
      <c r="C898" s="10" t="inlineStr">
        <is>
          <t>D17-DOC-PEP-001-T05</t>
        </is>
      </c>
      <c r="D898" s="10" t="inlineStr">
        <is>
          <t>lacuna</t>
        </is>
      </c>
      <c r="E898" s="10" t="inlineStr">
        <is>
          <t>Definir, validar e manter: Lacuna</t>
        </is>
      </c>
      <c r="F898" s="10" t="n"/>
      <c r="G898" s="10" t="b">
        <v>1</v>
      </c>
      <c r="H898" s="10" t="b">
        <v>1</v>
      </c>
      <c r="I898" s="10" t="inlineStr">
        <is>
          <t>DERIVED</t>
        </is>
      </c>
      <c r="J898" s="10" t="inlineStr">
        <is>
          <t>PROPOSED</t>
        </is>
      </c>
      <c r="K898" s="10" t="inlineStr">
        <is>
          <t>DERIVED</t>
        </is>
      </c>
      <c r="L898" s="10" t="inlineStr">
        <is>
          <t>baixa</t>
        </is>
      </c>
      <c r="M898" s="10" t="inlineStr">
        <is>
          <t>["D17-DOC-PEP-001.GAPS.LACUNA"]</t>
        </is>
      </c>
    </row>
    <row r="899">
      <c r="A899" s="10" t="inlineStr">
        <is>
          <t>D17-DOC-PEP-001.GAPS.PLANO_DE_DESENVOLVIMENTO</t>
        </is>
      </c>
      <c r="B899" s="10" t="inlineStr">
        <is>
          <t>D17-DOC-PEP-001</t>
        </is>
      </c>
      <c r="C899" s="10" t="inlineStr">
        <is>
          <t>D17-DOC-PEP-001-T05</t>
        </is>
      </c>
      <c r="D899" s="10" t="inlineStr">
        <is>
          <t>plano_de_desenvolvimento</t>
        </is>
      </c>
      <c r="E899" s="10" t="inlineStr">
        <is>
          <t>Definir, validar e manter: Plano De Desenvolvimento</t>
        </is>
      </c>
      <c r="F899" s="10" t="n"/>
      <c r="G899" s="10" t="b">
        <v>1</v>
      </c>
      <c r="H899" s="10" t="b">
        <v>1</v>
      </c>
      <c r="I899" s="10" t="inlineStr">
        <is>
          <t>DERIVED</t>
        </is>
      </c>
      <c r="J899" s="10" t="inlineStr">
        <is>
          <t>PROPOSED</t>
        </is>
      </c>
      <c r="K899" s="10" t="inlineStr">
        <is>
          <t>DERIVED</t>
        </is>
      </c>
      <c r="L899" s="10" t="inlineStr">
        <is>
          <t>baixa</t>
        </is>
      </c>
      <c r="M899" s="10" t="inlineStr">
        <is>
          <t>["D17-DOC-PEP-001.GAPS.PLANO_DE_DESENVOLVIMENTO"]</t>
        </is>
      </c>
    </row>
    <row r="900">
      <c r="A900" s="10" t="inlineStr">
        <is>
          <t>D17-DOC-PEP-001.PORTFOLIO_INVENTORY.PROJETO</t>
        </is>
      </c>
      <c r="B900" s="10" t="inlineStr">
        <is>
          <t>D17-DOC-PEP-001</t>
        </is>
      </c>
      <c r="C900" s="10" t="inlineStr">
        <is>
          <t>D17-DOC-PEP-001-T06</t>
        </is>
      </c>
      <c r="D900" s="10" t="inlineStr">
        <is>
          <t>projeto</t>
        </is>
      </c>
      <c r="E900" s="10" t="inlineStr">
        <is>
          <t>Definir, validar e manter: Projeto</t>
        </is>
      </c>
      <c r="F900" s="10" t="n"/>
      <c r="G900" s="10" t="b">
        <v>1</v>
      </c>
      <c r="H900" s="10" t="b">
        <v>1</v>
      </c>
      <c r="I900" s="10" t="inlineStr">
        <is>
          <t>DERIVED</t>
        </is>
      </c>
      <c r="J900" s="10" t="inlineStr">
        <is>
          <t>PROPOSED</t>
        </is>
      </c>
      <c r="K900" s="10" t="inlineStr">
        <is>
          <t>DERIVED</t>
        </is>
      </c>
      <c r="L900" s="10" t="inlineStr">
        <is>
          <t>baixa</t>
        </is>
      </c>
      <c r="M900" s="10" t="inlineStr">
        <is>
          <t>["D17-DOC-PEP-001.PORTFOLIO_INVENTORY.PROJETO"]</t>
        </is>
      </c>
    </row>
    <row r="901">
      <c r="A901" s="10" t="inlineStr">
        <is>
          <t>D17-DOC-PEP-001.PORTFOLIO_INVENTORY.PAPEL</t>
        </is>
      </c>
      <c r="B901" s="10" t="inlineStr">
        <is>
          <t>D17-DOC-PEP-001</t>
        </is>
      </c>
      <c r="C901" s="10" t="inlineStr">
        <is>
          <t>D17-DOC-PEP-001-T06</t>
        </is>
      </c>
      <c r="D901" s="10" t="inlineStr">
        <is>
          <t>papel</t>
        </is>
      </c>
      <c r="E901" s="10" t="inlineStr">
        <is>
          <t>Definir, validar e manter: Papel</t>
        </is>
      </c>
      <c r="F901" s="10" t="n"/>
      <c r="G901" s="10" t="b">
        <v>1</v>
      </c>
      <c r="H901" s="10" t="b">
        <v>1</v>
      </c>
      <c r="I901" s="10" t="inlineStr">
        <is>
          <t>DERIVED</t>
        </is>
      </c>
      <c r="J901" s="10" t="inlineStr">
        <is>
          <t>PROPOSED</t>
        </is>
      </c>
      <c r="K901" s="10" t="inlineStr">
        <is>
          <t>DERIVED</t>
        </is>
      </c>
      <c r="L901" s="10" t="inlineStr">
        <is>
          <t>baixa</t>
        </is>
      </c>
      <c r="M901" s="10" t="inlineStr">
        <is>
          <t>["D17-DOC-PEP-001.PORTFOLIO_INVENTORY.PAPEL"]</t>
        </is>
      </c>
    </row>
    <row r="902">
      <c r="A902" s="10" t="inlineStr">
        <is>
          <t>D17-DOC-PEP-001.PORTFOLIO_INVENTORY.RESULTADO</t>
        </is>
      </c>
      <c r="B902" s="10" t="inlineStr">
        <is>
          <t>D17-DOC-PEP-001</t>
        </is>
      </c>
      <c r="C902" s="10" t="inlineStr">
        <is>
          <t>D17-DOC-PEP-001-T06</t>
        </is>
      </c>
      <c r="D902" s="10" t="inlineStr">
        <is>
          <t>resultado</t>
        </is>
      </c>
      <c r="E902" s="10" t="inlineStr">
        <is>
          <t>Definir, validar e manter: Resultado</t>
        </is>
      </c>
      <c r="F902" s="10" t="n"/>
      <c r="G902" s="10" t="b">
        <v>1</v>
      </c>
      <c r="H902" s="10" t="b">
        <v>1</v>
      </c>
      <c r="I902" s="10" t="inlineStr">
        <is>
          <t>DERIVED</t>
        </is>
      </c>
      <c r="J902" s="10" t="inlineStr">
        <is>
          <t>PROPOSED</t>
        </is>
      </c>
      <c r="K902" s="10" t="inlineStr">
        <is>
          <t>DERIVED</t>
        </is>
      </c>
      <c r="L902" s="10" t="inlineStr">
        <is>
          <t>baixa</t>
        </is>
      </c>
      <c r="M902" s="10" t="inlineStr">
        <is>
          <t>["D17-DOC-PEP-001.PORTFOLIO_INVENTORY.RESULTADO"]</t>
        </is>
      </c>
    </row>
    <row r="903">
      <c r="A903" s="10" t="inlineStr">
        <is>
          <t>D17-DOC-PEP-001.CASE_STUDIES.PROBLEMA</t>
        </is>
      </c>
      <c r="B903" s="10" t="inlineStr">
        <is>
          <t>D17-DOC-PEP-001</t>
        </is>
      </c>
      <c r="C903" s="10" t="inlineStr">
        <is>
          <t>D17-DOC-PEP-001-T07</t>
        </is>
      </c>
      <c r="D903" s="10" t="inlineStr">
        <is>
          <t>problema</t>
        </is>
      </c>
      <c r="E903" s="10" t="inlineStr">
        <is>
          <t>Definir, validar e manter: Problema</t>
        </is>
      </c>
      <c r="F903" s="10" t="n"/>
      <c r="G903" s="10" t="b">
        <v>1</v>
      </c>
      <c r="H903" s="10" t="b">
        <v>1</v>
      </c>
      <c r="I903" s="10" t="inlineStr">
        <is>
          <t>DERIVED</t>
        </is>
      </c>
      <c r="J903" s="10" t="inlineStr">
        <is>
          <t>PROPOSED</t>
        </is>
      </c>
      <c r="K903" s="10" t="inlineStr">
        <is>
          <t>DERIVED</t>
        </is>
      </c>
      <c r="L903" s="10" t="inlineStr">
        <is>
          <t>baixa</t>
        </is>
      </c>
      <c r="M903" s="10" t="inlineStr">
        <is>
          <t>["D17-DOC-PEP-001.CASE_STUDIES.PROBLEMA"]</t>
        </is>
      </c>
    </row>
    <row r="904">
      <c r="A904" s="10" t="inlineStr">
        <is>
          <t>D17-DOC-PEP-001.CASE_STUDIES.ACAO</t>
        </is>
      </c>
      <c r="B904" s="10" t="inlineStr">
        <is>
          <t>D17-DOC-PEP-001</t>
        </is>
      </c>
      <c r="C904" s="10" t="inlineStr">
        <is>
          <t>D17-DOC-PEP-001-T07</t>
        </is>
      </c>
      <c r="D904" s="10" t="inlineStr">
        <is>
          <t>acao</t>
        </is>
      </c>
      <c r="E904" s="10" t="inlineStr">
        <is>
          <t>Definir, validar e manter: Acao</t>
        </is>
      </c>
      <c r="F904" s="10" t="n"/>
      <c r="G904" s="10" t="b">
        <v>1</v>
      </c>
      <c r="H904" s="10" t="b">
        <v>1</v>
      </c>
      <c r="I904" s="10" t="inlineStr">
        <is>
          <t>DERIVED</t>
        </is>
      </c>
      <c r="J904" s="10" t="inlineStr">
        <is>
          <t>PROPOSED</t>
        </is>
      </c>
      <c r="K904" s="10" t="inlineStr">
        <is>
          <t>DERIVED</t>
        </is>
      </c>
      <c r="L904" s="10" t="inlineStr">
        <is>
          <t>baixa</t>
        </is>
      </c>
      <c r="M904" s="10" t="inlineStr">
        <is>
          <t>["D17-DOC-PEP-001.CASE_STUDIES.ACAO"]</t>
        </is>
      </c>
    </row>
    <row r="905">
      <c r="A905" s="10" t="inlineStr">
        <is>
          <t>D17-DOC-PEP-001.CASE_STUDIES.RESULTADO</t>
        </is>
      </c>
      <c r="B905" s="10" t="inlineStr">
        <is>
          <t>D17-DOC-PEP-001</t>
        </is>
      </c>
      <c r="C905" s="10" t="inlineStr">
        <is>
          <t>D17-DOC-PEP-001-T07</t>
        </is>
      </c>
      <c r="D905" s="10" t="inlineStr">
        <is>
          <t>resultado</t>
        </is>
      </c>
      <c r="E905" s="10" t="inlineStr">
        <is>
          <t>Definir, validar e manter: Resultado</t>
        </is>
      </c>
      <c r="F905" s="10" t="n"/>
      <c r="G905" s="10" t="b">
        <v>1</v>
      </c>
      <c r="H905" s="10" t="b">
        <v>1</v>
      </c>
      <c r="I905" s="10" t="inlineStr">
        <is>
          <t>DERIVED</t>
        </is>
      </c>
      <c r="J905" s="10" t="inlineStr">
        <is>
          <t>PROPOSED</t>
        </is>
      </c>
      <c r="K905" s="10" t="inlineStr">
        <is>
          <t>DERIVED</t>
        </is>
      </c>
      <c r="L905" s="10" t="inlineStr">
        <is>
          <t>baixa</t>
        </is>
      </c>
      <c r="M905" s="10" t="inlineStr">
        <is>
          <t>["D17-DOC-PEP-001.CASE_STUDIES.RESULTADO"]</t>
        </is>
      </c>
    </row>
    <row r="906">
      <c r="A906" s="10" t="inlineStr">
        <is>
          <t>D17-DOC-PEP-001.CASE_STUDIES.EVIDENCIA</t>
        </is>
      </c>
      <c r="B906" s="10" t="inlineStr">
        <is>
          <t>D17-DOC-PEP-001</t>
        </is>
      </c>
      <c r="C906" s="10" t="inlineStr">
        <is>
          <t>D17-DOC-PEP-001-T07</t>
        </is>
      </c>
      <c r="D906" s="10" t="inlineStr">
        <is>
          <t>evidencia</t>
        </is>
      </c>
      <c r="E906" s="10" t="inlineStr">
        <is>
          <t>Definir, validar e manter: Evidencia</t>
        </is>
      </c>
      <c r="F906" s="10" t="n"/>
      <c r="G906" s="10" t="b">
        <v>1</v>
      </c>
      <c r="H906" s="10" t="b">
        <v>1</v>
      </c>
      <c r="I906" s="10" t="inlineStr">
        <is>
          <t>DERIVED</t>
        </is>
      </c>
      <c r="J906" s="10" t="inlineStr">
        <is>
          <t>PROPOSED</t>
        </is>
      </c>
      <c r="K906" s="10" t="inlineStr">
        <is>
          <t>DERIVED</t>
        </is>
      </c>
      <c r="L906" s="10" t="inlineStr">
        <is>
          <t>baixa</t>
        </is>
      </c>
      <c r="M906" s="10" t="inlineStr">
        <is>
          <t>["D17-DOC-PEP-001.CASE_STUDIES.EVIDENCIA"]</t>
        </is>
      </c>
    </row>
    <row r="907">
      <c r="A907" s="10" t="inlineStr">
        <is>
          <t>D17-DOC-PEP-001.CREDENTIALS.FORMACAO</t>
        </is>
      </c>
      <c r="B907" s="10" t="inlineStr">
        <is>
          <t>D17-DOC-PEP-001</t>
        </is>
      </c>
      <c r="C907" s="10" t="inlineStr">
        <is>
          <t>D17-DOC-PEP-001-T08</t>
        </is>
      </c>
      <c r="D907" s="10" t="inlineStr">
        <is>
          <t>formacao</t>
        </is>
      </c>
      <c r="E907" s="10" t="inlineStr">
        <is>
          <t>Definir, validar e manter: Formacao</t>
        </is>
      </c>
      <c r="F907" s="10" t="n"/>
      <c r="G907" s="10" t="b">
        <v>1</v>
      </c>
      <c r="H907" s="10" t="b">
        <v>1</v>
      </c>
      <c r="I907" s="10" t="inlineStr">
        <is>
          <t>DERIVED</t>
        </is>
      </c>
      <c r="J907" s="10" t="inlineStr">
        <is>
          <t>PROPOSED</t>
        </is>
      </c>
      <c r="K907" s="10" t="inlineStr">
        <is>
          <t>DERIVED</t>
        </is>
      </c>
      <c r="L907" s="10" t="inlineStr">
        <is>
          <t>baixa</t>
        </is>
      </c>
      <c r="M907" s="10" t="inlineStr">
        <is>
          <t>["D17-DOC-PEP-001.CREDENTIALS.FORMACAO"]</t>
        </is>
      </c>
    </row>
    <row r="908">
      <c r="A908" s="10" t="inlineStr">
        <is>
          <t>D17-DOC-PEP-001.CREDENTIALS.CERTIFICACAO</t>
        </is>
      </c>
      <c r="B908" s="10" t="inlineStr">
        <is>
          <t>D17-DOC-PEP-001</t>
        </is>
      </c>
      <c r="C908" s="10" t="inlineStr">
        <is>
          <t>D17-DOC-PEP-001-T08</t>
        </is>
      </c>
      <c r="D908" s="10" t="inlineStr">
        <is>
          <t>certificacao</t>
        </is>
      </c>
      <c r="E908" s="10" t="inlineStr">
        <is>
          <t>Definir, validar e manter: Certificacao</t>
        </is>
      </c>
      <c r="F908" s="10" t="n"/>
      <c r="G908" s="10" t="b">
        <v>1</v>
      </c>
      <c r="H908" s="10" t="b">
        <v>1</v>
      </c>
      <c r="I908" s="10" t="inlineStr">
        <is>
          <t>EXTERNAL</t>
        </is>
      </c>
      <c r="J908" s="10" t="inlineStr">
        <is>
          <t>EXTERNAL_EVIDENCE</t>
        </is>
      </c>
      <c r="K908" s="10" t="inlineStr">
        <is>
          <t>EXTERNAL</t>
        </is>
      </c>
      <c r="L908" s="10" t="inlineStr">
        <is>
          <t>media</t>
        </is>
      </c>
      <c r="M908" s="10" t="inlineStr">
        <is>
          <t>["D17-DOC-PEP-001.CREDENTIALS.CERTIFICACAO"]</t>
        </is>
      </c>
    </row>
    <row r="909">
      <c r="A909" s="10" t="inlineStr">
        <is>
          <t>D17-DOC-PEP-001.ASSETS.CURRICULO</t>
        </is>
      </c>
      <c r="B909" s="10" t="inlineStr">
        <is>
          <t>D17-DOC-PEP-001</t>
        </is>
      </c>
      <c r="C909" s="10" t="inlineStr">
        <is>
          <t>D17-DOC-PEP-001-T09</t>
        </is>
      </c>
      <c r="D909" s="10" t="inlineStr">
        <is>
          <t>curriculo</t>
        </is>
      </c>
      <c r="E909" s="10" t="inlineStr">
        <is>
          <t>Definir, validar e manter: Curriculo</t>
        </is>
      </c>
      <c r="F909" s="10" t="n"/>
      <c r="G909" s="10" t="b">
        <v>1</v>
      </c>
      <c r="H909" s="10" t="b">
        <v>1</v>
      </c>
      <c r="I909" s="10" t="inlineStr">
        <is>
          <t>EXTERNAL</t>
        </is>
      </c>
      <c r="J909" s="10" t="inlineStr">
        <is>
          <t>EXTERNAL_EVIDENCE</t>
        </is>
      </c>
      <c r="K909" s="10" t="inlineStr">
        <is>
          <t>EXTERNAL</t>
        </is>
      </c>
      <c r="L909" s="10" t="inlineStr">
        <is>
          <t>media</t>
        </is>
      </c>
      <c r="M909" s="10" t="inlineStr">
        <is>
          <t>["D17-DOC-PEP-001.ASSETS.CURRICULO"]</t>
        </is>
      </c>
    </row>
    <row r="910">
      <c r="A910" s="10" t="inlineStr">
        <is>
          <t>D17-DOC-PEP-001.ASSETS.LINKEDIN</t>
        </is>
      </c>
      <c r="B910" s="10" t="inlineStr">
        <is>
          <t>D17-DOC-PEP-001</t>
        </is>
      </c>
      <c r="C910" s="10" t="inlineStr">
        <is>
          <t>D17-DOC-PEP-001-T09</t>
        </is>
      </c>
      <c r="D910" s="10" t="inlineStr">
        <is>
          <t>linkedin</t>
        </is>
      </c>
      <c r="E910" s="10" t="inlineStr">
        <is>
          <t>Definir, validar e manter: Linkedin</t>
        </is>
      </c>
      <c r="F910" s="10" t="n"/>
      <c r="G910" s="10" t="b">
        <v>1</v>
      </c>
      <c r="H910" s="10" t="b">
        <v>1</v>
      </c>
      <c r="I910" s="10" t="inlineStr">
        <is>
          <t>EXTERNAL</t>
        </is>
      </c>
      <c r="J910" s="10" t="inlineStr">
        <is>
          <t>EXTERNAL_EVIDENCE</t>
        </is>
      </c>
      <c r="K910" s="10" t="inlineStr">
        <is>
          <t>EXTERNAL</t>
        </is>
      </c>
      <c r="L910" s="10" t="inlineStr">
        <is>
          <t>media</t>
        </is>
      </c>
      <c r="M910" s="10" t="inlineStr">
        <is>
          <t>["D17-DOC-PEP-001.ASSETS.LINKEDIN"]</t>
        </is>
      </c>
    </row>
    <row r="911">
      <c r="A911" s="10" t="inlineStr">
        <is>
          <t>D17-DOC-PEP-001.ASSETS.SITE</t>
        </is>
      </c>
      <c r="B911" s="10" t="inlineStr">
        <is>
          <t>D17-DOC-PEP-001</t>
        </is>
      </c>
      <c r="C911" s="10" t="inlineStr">
        <is>
          <t>D17-DOC-PEP-001-T09</t>
        </is>
      </c>
      <c r="D911" s="10" t="inlineStr">
        <is>
          <t>site</t>
        </is>
      </c>
      <c r="E911" s="10" t="inlineStr">
        <is>
          <t>Definir, validar e manter: Site</t>
        </is>
      </c>
      <c r="F911" s="10" t="n"/>
      <c r="G911" s="10" t="b">
        <v>1</v>
      </c>
      <c r="H911" s="10" t="b">
        <v>1</v>
      </c>
      <c r="I911" s="10" t="inlineStr">
        <is>
          <t>DERIVED</t>
        </is>
      </c>
      <c r="J911" s="10" t="inlineStr">
        <is>
          <t>PROPOSED</t>
        </is>
      </c>
      <c r="K911" s="10" t="inlineStr">
        <is>
          <t>DERIVED</t>
        </is>
      </c>
      <c r="L911" s="10" t="inlineStr">
        <is>
          <t>baixa</t>
        </is>
      </c>
      <c r="M911" s="10" t="inlineStr">
        <is>
          <t>["D17-DOC-PEP-001.ASSETS.SITE"]</t>
        </is>
      </c>
    </row>
    <row r="912">
      <c r="A912" s="10" t="inlineStr">
        <is>
          <t>D17-DOC-PEP-001.ASSETS.PORTFOLIO</t>
        </is>
      </c>
      <c r="B912" s="10" t="inlineStr">
        <is>
          <t>D17-DOC-PEP-001</t>
        </is>
      </c>
      <c r="C912" s="10" t="inlineStr">
        <is>
          <t>D17-DOC-PEP-001-T09</t>
        </is>
      </c>
      <c r="D912" s="10" t="inlineStr">
        <is>
          <t>portfolio</t>
        </is>
      </c>
      <c r="E912" s="10" t="inlineStr">
        <is>
          <t>Definir, validar e manter: Portfolio</t>
        </is>
      </c>
      <c r="F912" s="10" t="n"/>
      <c r="G912" s="10" t="b">
        <v>1</v>
      </c>
      <c r="H912" s="10" t="b">
        <v>1</v>
      </c>
      <c r="I912" s="10" t="inlineStr">
        <is>
          <t>EXTERNAL</t>
        </is>
      </c>
      <c r="J912" s="10" t="inlineStr">
        <is>
          <t>EXTERNAL_EVIDENCE</t>
        </is>
      </c>
      <c r="K912" s="10" t="inlineStr">
        <is>
          <t>EXTERNAL</t>
        </is>
      </c>
      <c r="L912" s="10" t="inlineStr">
        <is>
          <t>media</t>
        </is>
      </c>
      <c r="M912" s="10" t="inlineStr">
        <is>
          <t>["D17-DOC-PEP-001.ASSETS.PORTFOLIO"]</t>
        </is>
      </c>
    </row>
    <row r="913">
      <c r="A913" s="10" t="inlineStr">
        <is>
          <t>D17-DOC-PEP-001.APPLICATIONS.OPORTUNIDADE</t>
        </is>
      </c>
      <c r="B913" s="10" t="inlineStr">
        <is>
          <t>D17-DOC-PEP-001</t>
        </is>
      </c>
      <c r="C913" s="10" t="inlineStr">
        <is>
          <t>D17-DOC-PEP-001-T10</t>
        </is>
      </c>
      <c r="D913" s="10" t="inlineStr">
        <is>
          <t>oportunidade</t>
        </is>
      </c>
      <c r="E913" s="10" t="inlineStr">
        <is>
          <t>Definir, validar e manter: Oportunidade</t>
        </is>
      </c>
      <c r="F913" s="10" t="n"/>
      <c r="G913" s="10" t="b">
        <v>1</v>
      </c>
      <c r="H913" s="10" t="b">
        <v>1</v>
      </c>
      <c r="I913" s="10" t="inlineStr">
        <is>
          <t>DERIVED</t>
        </is>
      </c>
      <c r="J913" s="10" t="inlineStr">
        <is>
          <t>PROPOSED</t>
        </is>
      </c>
      <c r="K913" s="10" t="inlineStr">
        <is>
          <t>DERIVED</t>
        </is>
      </c>
      <c r="L913" s="10" t="inlineStr">
        <is>
          <t>baixa</t>
        </is>
      </c>
      <c r="M913" s="10" t="inlineStr">
        <is>
          <t>["D17-DOC-PEP-001.APPLICATIONS.OPORTUNIDADE"]</t>
        </is>
      </c>
    </row>
    <row r="914">
      <c r="A914" s="10" t="inlineStr">
        <is>
          <t>D17-DOC-PEP-001.APPLICATIONS.STATUS</t>
        </is>
      </c>
      <c r="B914" s="10" t="inlineStr">
        <is>
          <t>D17-DOC-PEP-001</t>
        </is>
      </c>
      <c r="C914" s="10" t="inlineStr">
        <is>
          <t>D17-DOC-PEP-001-T10</t>
        </is>
      </c>
      <c r="D914" s="10" t="inlineStr">
        <is>
          <t>status</t>
        </is>
      </c>
      <c r="E914" s="10" t="inlineStr">
        <is>
          <t>Definir, validar e manter: Status</t>
        </is>
      </c>
      <c r="F914" s="10" t="n"/>
      <c r="G914" s="10" t="b">
        <v>1</v>
      </c>
      <c r="H914" s="10" t="b">
        <v>1</v>
      </c>
      <c r="I914" s="10" t="inlineStr">
        <is>
          <t>DERIVED</t>
        </is>
      </c>
      <c r="J914" s="10" t="inlineStr">
        <is>
          <t>PROPOSED</t>
        </is>
      </c>
      <c r="K914" s="10" t="inlineStr">
        <is>
          <t>DERIVED</t>
        </is>
      </c>
      <c r="L914" s="10" t="inlineStr">
        <is>
          <t>baixa</t>
        </is>
      </c>
      <c r="M914" s="10" t="inlineStr">
        <is>
          <t>["D17-DOC-PEP-001.APPLICATIONS.STATUS"]</t>
        </is>
      </c>
    </row>
    <row r="915">
      <c r="A915" s="10" t="inlineStr">
        <is>
          <t>D17-DOC-PEP-001.OUTREACH.CONTATO</t>
        </is>
      </c>
      <c r="B915" s="10" t="inlineStr">
        <is>
          <t>D17-DOC-PEP-001</t>
        </is>
      </c>
      <c r="C915" s="10" t="inlineStr">
        <is>
          <t>D17-DOC-PEP-001-T11</t>
        </is>
      </c>
      <c r="D915" s="10" t="inlineStr">
        <is>
          <t>contato</t>
        </is>
      </c>
      <c r="E915" s="10" t="inlineStr">
        <is>
          <t>Definir, validar e manter: Contato</t>
        </is>
      </c>
      <c r="F915" s="10" t="n"/>
      <c r="G915" s="10" t="b">
        <v>1</v>
      </c>
      <c r="H915" s="10" t="b">
        <v>1</v>
      </c>
      <c r="I915" s="10" t="inlineStr">
        <is>
          <t>DERIVED</t>
        </is>
      </c>
      <c r="J915" s="10" t="inlineStr">
        <is>
          <t>PROPOSED</t>
        </is>
      </c>
      <c r="K915" s="10" t="inlineStr">
        <is>
          <t>DERIVED</t>
        </is>
      </c>
      <c r="L915" s="10" t="inlineStr">
        <is>
          <t>baixa</t>
        </is>
      </c>
      <c r="M915" s="10" t="inlineStr">
        <is>
          <t>["D17-DOC-PEP-001.OUTREACH.CONTATO"]</t>
        </is>
      </c>
    </row>
    <row r="916">
      <c r="A916" s="10" t="inlineStr">
        <is>
          <t>D17-DOC-PEP-001.OUTREACH.CANAL</t>
        </is>
      </c>
      <c r="B916" s="10" t="inlineStr">
        <is>
          <t>D17-DOC-PEP-001</t>
        </is>
      </c>
      <c r="C916" s="10" t="inlineStr">
        <is>
          <t>D17-DOC-PEP-001-T11</t>
        </is>
      </c>
      <c r="D916" s="10" t="inlineStr">
        <is>
          <t>canal</t>
        </is>
      </c>
      <c r="E916" s="10" t="inlineStr">
        <is>
          <t>Definir, validar e manter: Canal</t>
        </is>
      </c>
      <c r="F916" s="10" t="n"/>
      <c r="G916" s="10" t="b">
        <v>1</v>
      </c>
      <c r="H916" s="10" t="b">
        <v>1</v>
      </c>
      <c r="I916" s="10" t="inlineStr">
        <is>
          <t>DERIVED</t>
        </is>
      </c>
      <c r="J916" s="10" t="inlineStr">
        <is>
          <t>PROPOSED</t>
        </is>
      </c>
      <c r="K916" s="10" t="inlineStr">
        <is>
          <t>DERIVED</t>
        </is>
      </c>
      <c r="L916" s="10" t="inlineStr">
        <is>
          <t>baixa</t>
        </is>
      </c>
      <c r="M916" s="10" t="inlineStr">
        <is>
          <t>["D17-DOC-PEP-001.OUTREACH.CANAL"]</t>
        </is>
      </c>
    </row>
    <row r="917">
      <c r="A917" s="10" t="inlineStr">
        <is>
          <t>D17-DOC-PEP-001.OUTREACH.PROXIMA_ACAO</t>
        </is>
      </c>
      <c r="B917" s="10" t="inlineStr">
        <is>
          <t>D17-DOC-PEP-001</t>
        </is>
      </c>
      <c r="C917" s="10" t="inlineStr">
        <is>
          <t>D17-DOC-PEP-001-T11</t>
        </is>
      </c>
      <c r="D917" s="10" t="inlineStr">
        <is>
          <t>proxima_acao</t>
        </is>
      </c>
      <c r="E917" s="10" t="inlineStr">
        <is>
          <t>Definir, validar e manter: Proxima Acao</t>
        </is>
      </c>
      <c r="F917" s="10" t="n"/>
      <c r="G917" s="10" t="b">
        <v>1</v>
      </c>
      <c r="H917" s="10" t="b">
        <v>1</v>
      </c>
      <c r="I917" s="10" t="inlineStr">
        <is>
          <t>DERIVED</t>
        </is>
      </c>
      <c r="J917" s="10" t="inlineStr">
        <is>
          <t>PROPOSED</t>
        </is>
      </c>
      <c r="K917" s="10" t="inlineStr">
        <is>
          <t>DERIVED</t>
        </is>
      </c>
      <c r="L917" s="10" t="inlineStr">
        <is>
          <t>baixa</t>
        </is>
      </c>
      <c r="M917" s="10" t="inlineStr">
        <is>
          <t>["D17-DOC-PEP-001.OUTREACH.PROXIMA_ACAO"]</t>
        </is>
      </c>
    </row>
    <row r="918">
      <c r="A918" s="10" t="inlineStr">
        <is>
          <t>D17-DOC-PEP-001.INTERVIEWS.EMPRESA</t>
        </is>
      </c>
      <c r="B918" s="10" t="inlineStr">
        <is>
          <t>D17-DOC-PEP-001</t>
        </is>
      </c>
      <c r="C918" s="10" t="inlineStr">
        <is>
          <t>D17-DOC-PEP-001-T12</t>
        </is>
      </c>
      <c r="D918" s="10" t="inlineStr">
        <is>
          <t>empresa</t>
        </is>
      </c>
      <c r="E918" s="10" t="inlineStr">
        <is>
          <t>Definir, validar e manter: Empresa</t>
        </is>
      </c>
      <c r="F918" s="10" t="n"/>
      <c r="G918" s="10" t="b">
        <v>1</v>
      </c>
      <c r="H918" s="10" t="b">
        <v>1</v>
      </c>
      <c r="I918" s="10" t="inlineStr">
        <is>
          <t>DERIVED</t>
        </is>
      </c>
      <c r="J918" s="10" t="inlineStr">
        <is>
          <t>PROPOSED</t>
        </is>
      </c>
      <c r="K918" s="10" t="inlineStr">
        <is>
          <t>DERIVED</t>
        </is>
      </c>
      <c r="L918" s="10" t="inlineStr">
        <is>
          <t>baixa</t>
        </is>
      </c>
      <c r="M918" s="10" t="inlineStr">
        <is>
          <t>["D17-DOC-PEP-001.INTERVIEWS.EMPRESA"]</t>
        </is>
      </c>
    </row>
    <row r="919">
      <c r="A919" s="10" t="inlineStr">
        <is>
          <t>D17-DOC-PEP-001.INTERVIEWS.ETAPA</t>
        </is>
      </c>
      <c r="B919" s="10" t="inlineStr">
        <is>
          <t>D17-DOC-PEP-001</t>
        </is>
      </c>
      <c r="C919" s="10" t="inlineStr">
        <is>
          <t>D17-DOC-PEP-001-T12</t>
        </is>
      </c>
      <c r="D919" s="10" t="inlineStr">
        <is>
          <t>etapa</t>
        </is>
      </c>
      <c r="E919" s="10" t="inlineStr">
        <is>
          <t>Definir, validar e manter: Etapa</t>
        </is>
      </c>
      <c r="F919" s="10" t="n"/>
      <c r="G919" s="10" t="b">
        <v>1</v>
      </c>
      <c r="H919" s="10" t="b">
        <v>1</v>
      </c>
      <c r="I919" s="10" t="inlineStr">
        <is>
          <t>DERIVED</t>
        </is>
      </c>
      <c r="J919" s="10" t="inlineStr">
        <is>
          <t>PROPOSED</t>
        </is>
      </c>
      <c r="K919" s="10" t="inlineStr">
        <is>
          <t>DERIVED</t>
        </is>
      </c>
      <c r="L919" s="10" t="inlineStr">
        <is>
          <t>baixa</t>
        </is>
      </c>
      <c r="M919" s="10" t="inlineStr">
        <is>
          <t>["D17-DOC-PEP-001.INTERVIEWS.ETAPA"]</t>
        </is>
      </c>
    </row>
    <row r="920">
      <c r="A920" s="10" t="inlineStr">
        <is>
          <t>D17-DOC-PEP-001.INTERVIEWS.PREPARACAO</t>
        </is>
      </c>
      <c r="B920" s="10" t="inlineStr">
        <is>
          <t>D17-DOC-PEP-001</t>
        </is>
      </c>
      <c r="C920" s="10" t="inlineStr">
        <is>
          <t>D17-DOC-PEP-001-T12</t>
        </is>
      </c>
      <c r="D920" s="10" t="inlineStr">
        <is>
          <t>preparacao</t>
        </is>
      </c>
      <c r="E920" s="10" t="inlineStr">
        <is>
          <t>Definir, validar e manter: Preparacao</t>
        </is>
      </c>
      <c r="F920" s="10" t="n"/>
      <c r="G920" s="10" t="b">
        <v>1</v>
      </c>
      <c r="H920" s="10" t="b">
        <v>1</v>
      </c>
      <c r="I920" s="10" t="inlineStr">
        <is>
          <t>DERIVED</t>
        </is>
      </c>
      <c r="J920" s="10" t="inlineStr">
        <is>
          <t>PROPOSED</t>
        </is>
      </c>
      <c r="K920" s="10" t="inlineStr">
        <is>
          <t>DERIVED</t>
        </is>
      </c>
      <c r="L920" s="10" t="inlineStr">
        <is>
          <t>baixa</t>
        </is>
      </c>
      <c r="M920" s="10" t="inlineStr">
        <is>
          <t>["D17-DOC-PEP-001.INTERVIEWS.PREPARACAO"]</t>
        </is>
      </c>
    </row>
    <row r="921">
      <c r="A921" s="10" t="inlineStr">
        <is>
          <t>D17-DOC-PEP-001.ROADMAP.MARCOS</t>
        </is>
      </c>
      <c r="B921" s="10" t="inlineStr">
        <is>
          <t>D17-DOC-PEP-001</t>
        </is>
      </c>
      <c r="C921" s="10" t="inlineStr">
        <is>
          <t>D17-DOC-PEP-001-T13</t>
        </is>
      </c>
      <c r="D921" s="10" t="inlineStr">
        <is>
          <t>marcos</t>
        </is>
      </c>
      <c r="E921" s="10" t="inlineStr">
        <is>
          <t>Definir, validar e manter: Marcos</t>
        </is>
      </c>
      <c r="F921" s="10" t="n"/>
      <c r="G921" s="10" t="b">
        <v>1</v>
      </c>
      <c r="H921" s="10" t="b">
        <v>1</v>
      </c>
      <c r="I921" s="10" t="inlineStr">
        <is>
          <t>DERIVED</t>
        </is>
      </c>
      <c r="J921" s="10" t="inlineStr">
        <is>
          <t>PROPOSED</t>
        </is>
      </c>
      <c r="K921" s="10" t="inlineStr">
        <is>
          <t>DERIVED</t>
        </is>
      </c>
      <c r="L921" s="10" t="inlineStr">
        <is>
          <t>baixa</t>
        </is>
      </c>
      <c r="M921" s="10" t="inlineStr">
        <is>
          <t>["D17-DOC-PEP-001.ROADMAP.MARCOS"]</t>
        </is>
      </c>
    </row>
    <row r="922">
      <c r="A922" s="10" t="inlineStr">
        <is>
          <t>D17-DOC-PEP-001.ROADMAP.DATAS</t>
        </is>
      </c>
      <c r="B922" s="10" t="inlineStr">
        <is>
          <t>D17-DOC-PEP-001</t>
        </is>
      </c>
      <c r="C922" s="10" t="inlineStr">
        <is>
          <t>D17-DOC-PEP-001-T13</t>
        </is>
      </c>
      <c r="D922" s="10" t="inlineStr">
        <is>
          <t>datas</t>
        </is>
      </c>
      <c r="E922" s="10" t="inlineStr">
        <is>
          <t>Definir, validar e manter: Datas</t>
        </is>
      </c>
      <c r="F922" s="10" t="n"/>
      <c r="G922" s="10" t="b">
        <v>1</v>
      </c>
      <c r="H922" s="10" t="b">
        <v>1</v>
      </c>
      <c r="I922" s="10" t="inlineStr">
        <is>
          <t>DERIVED</t>
        </is>
      </c>
      <c r="J922" s="10" t="inlineStr">
        <is>
          <t>PROPOSED</t>
        </is>
      </c>
      <c r="K922" s="10" t="inlineStr">
        <is>
          <t>DERIVED</t>
        </is>
      </c>
      <c r="L922" s="10" t="inlineStr">
        <is>
          <t>baixa</t>
        </is>
      </c>
      <c r="M922" s="10" t="inlineStr">
        <is>
          <t>["D17-DOC-PEP-001.ROADMAP.DATAS"]</t>
        </is>
      </c>
    </row>
    <row r="923">
      <c r="A923" s="10" t="inlineStr">
        <is>
          <t>D17-DOC-PEP-001.METRICS.APLICACOES</t>
        </is>
      </c>
      <c r="B923" s="10" t="inlineStr">
        <is>
          <t>D17-DOC-PEP-001</t>
        </is>
      </c>
      <c r="C923" s="10" t="inlineStr">
        <is>
          <t>D17-DOC-PEP-001-T14</t>
        </is>
      </c>
      <c r="D923" s="10" t="inlineStr">
        <is>
          <t>aplicacoes</t>
        </is>
      </c>
      <c r="E923" s="10" t="inlineStr">
        <is>
          <t>Definir, validar e manter: Aplicacoes</t>
        </is>
      </c>
      <c r="F923" s="10" t="n"/>
      <c r="G923" s="10" t="b">
        <v>1</v>
      </c>
      <c r="H923" s="10" t="b">
        <v>1</v>
      </c>
      <c r="I923" s="10" t="inlineStr">
        <is>
          <t>EXTERNAL</t>
        </is>
      </c>
      <c r="J923" s="10" t="inlineStr">
        <is>
          <t>EXTERNAL_EVIDENCE</t>
        </is>
      </c>
      <c r="K923" s="10" t="inlineStr">
        <is>
          <t>EXTERNAL</t>
        </is>
      </c>
      <c r="L923" s="10" t="inlineStr">
        <is>
          <t>media</t>
        </is>
      </c>
      <c r="M923" s="10" t="inlineStr">
        <is>
          <t>["D17-DOC-PEP-001.METRICS.APLICACOES"]</t>
        </is>
      </c>
    </row>
    <row r="924">
      <c r="A924" s="10" t="inlineStr">
        <is>
          <t>D17-DOC-PEP-001.METRICS.ENTREVISTAS</t>
        </is>
      </c>
      <c r="B924" s="10" t="inlineStr">
        <is>
          <t>D17-DOC-PEP-001</t>
        </is>
      </c>
      <c r="C924" s="10" t="inlineStr">
        <is>
          <t>D17-DOC-PEP-001-T14</t>
        </is>
      </c>
      <c r="D924" s="10" t="inlineStr">
        <is>
          <t>entrevistas</t>
        </is>
      </c>
      <c r="E924" s="10" t="inlineStr">
        <is>
          <t>Definir, validar e manter: Entrevistas</t>
        </is>
      </c>
      <c r="F924" s="10" t="n"/>
      <c r="G924" s="10" t="b">
        <v>1</v>
      </c>
      <c r="H924" s="10" t="b">
        <v>1</v>
      </c>
      <c r="I924" s="10" t="inlineStr">
        <is>
          <t>DERIVED</t>
        </is>
      </c>
      <c r="J924" s="10" t="inlineStr">
        <is>
          <t>PROPOSED</t>
        </is>
      </c>
      <c r="K924" s="10" t="inlineStr">
        <is>
          <t>DERIVED</t>
        </is>
      </c>
      <c r="L924" s="10" t="inlineStr">
        <is>
          <t>baixa</t>
        </is>
      </c>
      <c r="M924" s="10" t="inlineStr">
        <is>
          <t>["D17-DOC-PEP-001.METRICS.ENTREVISTAS"]</t>
        </is>
      </c>
    </row>
    <row r="925">
      <c r="A925" s="10" t="inlineStr">
        <is>
          <t>D17-DOC-PEP-001.METRICS.CONVERSAO</t>
        </is>
      </c>
      <c r="B925" s="10" t="inlineStr">
        <is>
          <t>D17-DOC-PEP-001</t>
        </is>
      </c>
      <c r="C925" s="10" t="inlineStr">
        <is>
          <t>D17-DOC-PEP-001-T14</t>
        </is>
      </c>
      <c r="D925" s="10" t="inlineStr">
        <is>
          <t>conversao</t>
        </is>
      </c>
      <c r="E925" s="10" t="inlineStr">
        <is>
          <t>Definir, validar e manter: Conversao</t>
        </is>
      </c>
      <c r="F925" s="10" t="n"/>
      <c r="G925" s="10" t="b">
        <v>1</v>
      </c>
      <c r="H925" s="10" t="b">
        <v>1</v>
      </c>
      <c r="I925" s="10" t="inlineStr">
        <is>
          <t>DERIVED</t>
        </is>
      </c>
      <c r="J925" s="10" t="inlineStr">
        <is>
          <t>PROPOSED</t>
        </is>
      </c>
      <c r="K925" s="10" t="inlineStr">
        <is>
          <t>DERIVED</t>
        </is>
      </c>
      <c r="L925" s="10" t="inlineStr">
        <is>
          <t>baixa</t>
        </is>
      </c>
      <c r="M925" s="10" t="inlineStr">
        <is>
          <t>["D17-DOC-PEP-001.METRICS.CONVERSAO"]</t>
        </is>
      </c>
    </row>
    <row r="926">
      <c r="A926" s="10" t="inlineStr">
        <is>
          <t>D18-DOC-PCE-001.CONTRACT_INVENTORY.CONTRATO</t>
        </is>
      </c>
      <c r="B926" s="10" t="inlineStr">
        <is>
          <t>D18-DOC-PCE-001</t>
        </is>
      </c>
      <c r="C926" s="10" t="inlineStr">
        <is>
          <t>D18-DOC-PCE-001-T01</t>
        </is>
      </c>
      <c r="D926" s="10" t="inlineStr">
        <is>
          <t>contrato</t>
        </is>
      </c>
      <c r="E926" s="10" t="inlineStr">
        <is>
          <t>Definir, validar e manter: Contrato</t>
        </is>
      </c>
      <c r="F926" s="10" t="n"/>
      <c r="G926" s="10" t="b">
        <v>1</v>
      </c>
      <c r="H926" s="10" t="b">
        <v>1</v>
      </c>
      <c r="I926" s="10" t="inlineStr">
        <is>
          <t>DERIVED</t>
        </is>
      </c>
      <c r="J926" s="10" t="inlineStr">
        <is>
          <t>PROPOSED</t>
        </is>
      </c>
      <c r="K926" s="10" t="inlineStr">
        <is>
          <t>DERIVED</t>
        </is>
      </c>
      <c r="L926" s="10" t="inlineStr">
        <is>
          <t>baixa</t>
        </is>
      </c>
      <c r="M926" s="10" t="inlineStr">
        <is>
          <t>["D18-DOC-PCE-001.CONTRACT_INVENTORY.CONTRATO"]</t>
        </is>
      </c>
    </row>
    <row r="927">
      <c r="A927" s="10" t="inlineStr">
        <is>
          <t>D18-DOC-PCE-001.CONTRACT_INVENTORY.TIPO</t>
        </is>
      </c>
      <c r="B927" s="10" t="inlineStr">
        <is>
          <t>D18-DOC-PCE-001</t>
        </is>
      </c>
      <c r="C927" s="10" t="inlineStr">
        <is>
          <t>D18-DOC-PCE-001-T01</t>
        </is>
      </c>
      <c r="D927" s="10" t="inlineStr">
        <is>
          <t>tipo</t>
        </is>
      </c>
      <c r="E927" s="10" t="inlineStr">
        <is>
          <t>Definir, validar e manter: Tipo</t>
        </is>
      </c>
      <c r="F927" s="10" t="n"/>
      <c r="G927" s="10" t="b">
        <v>1</v>
      </c>
      <c r="H927" s="10" t="b">
        <v>1</v>
      </c>
      <c r="I927" s="10" t="inlineStr">
        <is>
          <t>DERIVED</t>
        </is>
      </c>
      <c r="J927" s="10" t="inlineStr">
        <is>
          <t>PROPOSED</t>
        </is>
      </c>
      <c r="K927" s="10" t="inlineStr">
        <is>
          <t>DERIVED</t>
        </is>
      </c>
      <c r="L927" s="10" t="inlineStr">
        <is>
          <t>baixa</t>
        </is>
      </c>
      <c r="M927" s="10" t="inlineStr">
        <is>
          <t>["D18-DOC-PCE-001.CONTRACT_INVENTORY.TIPO"]</t>
        </is>
      </c>
    </row>
    <row r="928">
      <c r="A928" s="10" t="inlineStr">
        <is>
          <t>D18-DOC-PCE-001.CONTRACT_INVENTORY.OWNER</t>
        </is>
      </c>
      <c r="B928" s="10" t="inlineStr">
        <is>
          <t>D18-DOC-PCE-001</t>
        </is>
      </c>
      <c r="C928" s="10" t="inlineStr">
        <is>
          <t>D18-DOC-PCE-001-T01</t>
        </is>
      </c>
      <c r="D928" s="10" t="inlineStr">
        <is>
          <t>owner</t>
        </is>
      </c>
      <c r="E928" s="10" t="inlineStr">
        <is>
          <t>Definir, validar e manter: Owner</t>
        </is>
      </c>
      <c r="F928" s="10" t="n"/>
      <c r="G928" s="10" t="b">
        <v>1</v>
      </c>
      <c r="H928" s="10" t="b">
        <v>1</v>
      </c>
      <c r="I928" s="10" t="inlineStr">
        <is>
          <t>DERIVED</t>
        </is>
      </c>
      <c r="J928" s="10" t="inlineStr">
        <is>
          <t>PROPOSED</t>
        </is>
      </c>
      <c r="K928" s="10" t="inlineStr">
        <is>
          <t>DERIVED</t>
        </is>
      </c>
      <c r="L928" s="10" t="inlineStr">
        <is>
          <t>baixa</t>
        </is>
      </c>
      <c r="M928" s="10" t="inlineStr">
        <is>
          <t>["D18-DOC-PCE-001.CONTRACT_INVENTORY.OWNER"]</t>
        </is>
      </c>
    </row>
    <row r="929">
      <c r="A929" s="10" t="inlineStr">
        <is>
          <t>D18-DOC-PCE-001.DOCUMENT_SCHEMAS.DOCUMENTO</t>
        </is>
      </c>
      <c r="B929" s="10" t="inlineStr">
        <is>
          <t>D18-DOC-PCE-001</t>
        </is>
      </c>
      <c r="C929" s="10" t="inlineStr">
        <is>
          <t>D18-DOC-PCE-001-T02</t>
        </is>
      </c>
      <c r="D929" s="10" t="inlineStr">
        <is>
          <t>documento</t>
        </is>
      </c>
      <c r="E929" s="10" t="inlineStr">
        <is>
          <t>Definir, validar e manter: Documento</t>
        </is>
      </c>
      <c r="F929" s="10" t="n"/>
      <c r="G929" s="10" t="b">
        <v>1</v>
      </c>
      <c r="H929" s="10" t="b">
        <v>1</v>
      </c>
      <c r="I929" s="10" t="inlineStr">
        <is>
          <t>DERIVED</t>
        </is>
      </c>
      <c r="J929" s="10" t="inlineStr">
        <is>
          <t>PROPOSED</t>
        </is>
      </c>
      <c r="K929" s="10" t="inlineStr">
        <is>
          <t>DERIVED</t>
        </is>
      </c>
      <c r="L929" s="10" t="inlineStr">
        <is>
          <t>baixa</t>
        </is>
      </c>
      <c r="M929" s="10" t="inlineStr">
        <is>
          <t>["D18-DOC-PCE-001.DOCUMENT_SCHEMAS.DOCUMENTO"]</t>
        </is>
      </c>
    </row>
    <row r="930">
      <c r="A930" s="10" t="inlineStr">
        <is>
          <t>D18-DOC-PCE-001.DOCUMENT_SCHEMAS.SCHEMA</t>
        </is>
      </c>
      <c r="B930" s="10" t="inlineStr">
        <is>
          <t>D18-DOC-PCE-001</t>
        </is>
      </c>
      <c r="C930" s="10" t="inlineStr">
        <is>
          <t>D18-DOC-PCE-001-T02</t>
        </is>
      </c>
      <c r="D930" s="10" t="inlineStr">
        <is>
          <t>schema</t>
        </is>
      </c>
      <c r="E930" s="10" t="inlineStr">
        <is>
          <t>Definir, validar e manter: Schema</t>
        </is>
      </c>
      <c r="F930" s="10" t="n"/>
      <c r="G930" s="10" t="b">
        <v>1</v>
      </c>
      <c r="H930" s="10" t="b">
        <v>1</v>
      </c>
      <c r="I930" s="10" t="inlineStr">
        <is>
          <t>FOUND</t>
        </is>
      </c>
      <c r="J930" s="10" t="inlineStr">
        <is>
          <t>DIRECT</t>
        </is>
      </c>
      <c r="K930" s="10" t="inlineStr">
        <is>
          <t>FOUND</t>
        </is>
      </c>
      <c r="L930" s="10" t="inlineStr">
        <is>
          <t>alta</t>
        </is>
      </c>
      <c r="M930" s="10" t="inlineStr">
        <is>
          <t>["D18-DOC-PCE-001.DOCUMENT_SCHEMAS.SCHEMA"]</t>
        </is>
      </c>
    </row>
    <row r="931">
      <c r="A931" s="10" t="inlineStr">
        <is>
          <t>D18-DOC-PCE-001.DATA_CONTRACTS.PRODUCER</t>
        </is>
      </c>
      <c r="B931" s="10" t="inlineStr">
        <is>
          <t>D18-DOC-PCE-001</t>
        </is>
      </c>
      <c r="C931" s="10" t="inlineStr">
        <is>
          <t>D18-DOC-PCE-001-T03</t>
        </is>
      </c>
      <c r="D931" s="10" t="inlineStr">
        <is>
          <t>producer</t>
        </is>
      </c>
      <c r="E931" s="10" t="inlineStr">
        <is>
          <t>Definir, validar e manter: Producer</t>
        </is>
      </c>
      <c r="F931" s="10" t="n"/>
      <c r="G931" s="10" t="b">
        <v>1</v>
      </c>
      <c r="H931" s="10" t="b">
        <v>1</v>
      </c>
      <c r="I931" s="10" t="inlineStr">
        <is>
          <t>DERIVED</t>
        </is>
      </c>
      <c r="J931" s="10" t="inlineStr">
        <is>
          <t>PROPOSED</t>
        </is>
      </c>
      <c r="K931" s="10" t="inlineStr">
        <is>
          <t>DERIVED</t>
        </is>
      </c>
      <c r="L931" s="10" t="inlineStr">
        <is>
          <t>baixa</t>
        </is>
      </c>
      <c r="M931" s="10" t="inlineStr">
        <is>
          <t>["D18-DOC-PCE-001.DATA_CONTRACTS.PRODUCER"]</t>
        </is>
      </c>
    </row>
    <row r="932">
      <c r="A932" s="10" t="inlineStr">
        <is>
          <t>D18-DOC-PCE-001.DATA_CONTRACTS.CONSUMER</t>
        </is>
      </c>
      <c r="B932" s="10" t="inlineStr">
        <is>
          <t>D18-DOC-PCE-001</t>
        </is>
      </c>
      <c r="C932" s="10" t="inlineStr">
        <is>
          <t>D18-DOC-PCE-001-T03</t>
        </is>
      </c>
      <c r="D932" s="10" t="inlineStr">
        <is>
          <t>consumer</t>
        </is>
      </c>
      <c r="E932" s="10" t="inlineStr">
        <is>
          <t>Definir, validar e manter: Consumer</t>
        </is>
      </c>
      <c r="F932" s="10" t="n"/>
      <c r="G932" s="10" t="b">
        <v>1</v>
      </c>
      <c r="H932" s="10" t="b">
        <v>1</v>
      </c>
      <c r="I932" s="10" t="inlineStr">
        <is>
          <t>DERIVED</t>
        </is>
      </c>
      <c r="J932" s="10" t="inlineStr">
        <is>
          <t>PROPOSED</t>
        </is>
      </c>
      <c r="K932" s="10" t="inlineStr">
        <is>
          <t>DERIVED</t>
        </is>
      </c>
      <c r="L932" s="10" t="inlineStr">
        <is>
          <t>baixa</t>
        </is>
      </c>
      <c r="M932" s="10" t="inlineStr">
        <is>
          <t>["D18-DOC-PCE-001.DATA_CONTRACTS.CONSUMER"]</t>
        </is>
      </c>
    </row>
    <row r="933">
      <c r="A933" s="10" t="inlineStr">
        <is>
          <t>D18-DOC-PCE-001.DATA_CONTRACTS.PAYLOAD</t>
        </is>
      </c>
      <c r="B933" s="10" t="inlineStr">
        <is>
          <t>D18-DOC-PCE-001</t>
        </is>
      </c>
      <c r="C933" s="10" t="inlineStr">
        <is>
          <t>D18-DOC-PCE-001-T03</t>
        </is>
      </c>
      <c r="D933" s="10" t="inlineStr">
        <is>
          <t>payload</t>
        </is>
      </c>
      <c r="E933" s="10" t="inlineStr">
        <is>
          <t>Definir, validar e manter: Payload</t>
        </is>
      </c>
      <c r="F933" s="10" t="n"/>
      <c r="G933" s="10" t="b">
        <v>1</v>
      </c>
      <c r="H933" s="10" t="b">
        <v>1</v>
      </c>
      <c r="I933" s="10" t="inlineStr">
        <is>
          <t>DERIVED</t>
        </is>
      </c>
      <c r="J933" s="10" t="inlineStr">
        <is>
          <t>PROPOSED</t>
        </is>
      </c>
      <c r="K933" s="10" t="inlineStr">
        <is>
          <t>DERIVED</t>
        </is>
      </c>
      <c r="L933" s="10" t="inlineStr">
        <is>
          <t>baixa</t>
        </is>
      </c>
      <c r="M933" s="10" t="inlineStr">
        <is>
          <t>["D18-DOC-PCE-001.DATA_CONTRACTS.PAYLOAD"]</t>
        </is>
      </c>
    </row>
    <row r="934">
      <c r="A934" s="10" t="inlineStr">
        <is>
          <t>D18-DOC-PCE-001.API_CONTRACTS.ENDPOINT</t>
        </is>
      </c>
      <c r="B934" s="10" t="inlineStr">
        <is>
          <t>D18-DOC-PCE-001</t>
        </is>
      </c>
      <c r="C934" s="10" t="inlineStr">
        <is>
          <t>D18-DOC-PCE-001-T04</t>
        </is>
      </c>
      <c r="D934" s="10" t="inlineStr">
        <is>
          <t>endpoint</t>
        </is>
      </c>
      <c r="E934" s="10" t="inlineStr">
        <is>
          <t>Definir, validar e manter: Endpoint</t>
        </is>
      </c>
      <c r="F934" s="10" t="n"/>
      <c r="G934" s="10" t="b">
        <v>1</v>
      </c>
      <c r="H934" s="10" t="b">
        <v>1</v>
      </c>
      <c r="I934" s="10" t="inlineStr">
        <is>
          <t>DERIVED</t>
        </is>
      </c>
      <c r="J934" s="10" t="inlineStr">
        <is>
          <t>PROPOSED</t>
        </is>
      </c>
      <c r="K934" s="10" t="inlineStr">
        <is>
          <t>DERIVED</t>
        </is>
      </c>
      <c r="L934" s="10" t="inlineStr">
        <is>
          <t>baixa</t>
        </is>
      </c>
      <c r="M934" s="10" t="inlineStr">
        <is>
          <t>["D18-DOC-PCE-001.API_CONTRACTS.ENDPOINT"]</t>
        </is>
      </c>
    </row>
    <row r="935">
      <c r="A935" s="10" t="inlineStr">
        <is>
          <t>D18-DOC-PCE-001.API_CONTRACTS.REQUEST</t>
        </is>
      </c>
      <c r="B935" s="10" t="inlineStr">
        <is>
          <t>D18-DOC-PCE-001</t>
        </is>
      </c>
      <c r="C935" s="10" t="inlineStr">
        <is>
          <t>D18-DOC-PCE-001-T04</t>
        </is>
      </c>
      <c r="D935" s="10" t="inlineStr">
        <is>
          <t>request</t>
        </is>
      </c>
      <c r="E935" s="10" t="inlineStr">
        <is>
          <t>Definir, validar e manter: Request</t>
        </is>
      </c>
      <c r="F935" s="10" t="n"/>
      <c r="G935" s="10" t="b">
        <v>1</v>
      </c>
      <c r="H935" s="10" t="b">
        <v>1</v>
      </c>
      <c r="I935" s="10" t="inlineStr">
        <is>
          <t>DERIVED</t>
        </is>
      </c>
      <c r="J935" s="10" t="inlineStr">
        <is>
          <t>PROPOSED</t>
        </is>
      </c>
      <c r="K935" s="10" t="inlineStr">
        <is>
          <t>DERIVED</t>
        </is>
      </c>
      <c r="L935" s="10" t="inlineStr">
        <is>
          <t>baixa</t>
        </is>
      </c>
      <c r="M935" s="10" t="inlineStr">
        <is>
          <t>["D18-DOC-PCE-001.API_CONTRACTS.REQUEST"]</t>
        </is>
      </c>
    </row>
    <row r="936">
      <c r="A936" s="10" t="inlineStr">
        <is>
          <t>D18-DOC-PCE-001.API_CONTRACTS.RESPONSE</t>
        </is>
      </c>
      <c r="B936" s="10" t="inlineStr">
        <is>
          <t>D18-DOC-PCE-001</t>
        </is>
      </c>
      <c r="C936" s="10" t="inlineStr">
        <is>
          <t>D18-DOC-PCE-001-T04</t>
        </is>
      </c>
      <c r="D936" s="10" t="inlineStr">
        <is>
          <t>response</t>
        </is>
      </c>
      <c r="E936" s="10" t="inlineStr">
        <is>
          <t>Definir, validar e manter: Response</t>
        </is>
      </c>
      <c r="F936" s="10" t="n"/>
      <c r="G936" s="10" t="b">
        <v>1</v>
      </c>
      <c r="H936" s="10" t="b">
        <v>1</v>
      </c>
      <c r="I936" s="10" t="inlineStr">
        <is>
          <t>DERIVED</t>
        </is>
      </c>
      <c r="J936" s="10" t="inlineStr">
        <is>
          <t>PROPOSED</t>
        </is>
      </c>
      <c r="K936" s="10" t="inlineStr">
        <is>
          <t>DERIVED</t>
        </is>
      </c>
      <c r="L936" s="10" t="inlineStr">
        <is>
          <t>baixa</t>
        </is>
      </c>
      <c r="M936" s="10" t="inlineStr">
        <is>
          <t>["D18-DOC-PCE-001.API_CONTRACTS.RESPONSE"]</t>
        </is>
      </c>
    </row>
    <row r="937">
      <c r="A937" s="10" t="inlineStr">
        <is>
          <t>D18-DOC-PCE-001.EVENT_CONTRACTS.EVENTO</t>
        </is>
      </c>
      <c r="B937" s="10" t="inlineStr">
        <is>
          <t>D18-DOC-PCE-001</t>
        </is>
      </c>
      <c r="C937" s="10" t="inlineStr">
        <is>
          <t>D18-DOC-PCE-001-T05</t>
        </is>
      </c>
      <c r="D937" s="10" t="inlineStr">
        <is>
          <t>evento</t>
        </is>
      </c>
      <c r="E937" s="10" t="inlineStr">
        <is>
          <t>Definir, validar e manter: Evento</t>
        </is>
      </c>
      <c r="F937" s="10" t="n"/>
      <c r="G937" s="10" t="b">
        <v>1</v>
      </c>
      <c r="H937" s="10" t="b">
        <v>1</v>
      </c>
      <c r="I937" s="10" t="inlineStr">
        <is>
          <t>DERIVED</t>
        </is>
      </c>
      <c r="J937" s="10" t="inlineStr">
        <is>
          <t>PROPOSED</t>
        </is>
      </c>
      <c r="K937" s="10" t="inlineStr">
        <is>
          <t>DERIVED</t>
        </is>
      </c>
      <c r="L937" s="10" t="inlineStr">
        <is>
          <t>baixa</t>
        </is>
      </c>
      <c r="M937" s="10" t="inlineStr">
        <is>
          <t>["D18-DOC-PCE-001.EVENT_CONTRACTS.EVENTO"]</t>
        </is>
      </c>
    </row>
    <row r="938">
      <c r="A938" s="10" t="inlineStr">
        <is>
          <t>D18-DOC-PCE-001.EVENT_CONTRACTS.PROPRIEDADES</t>
        </is>
      </c>
      <c r="B938" s="10" t="inlineStr">
        <is>
          <t>D18-DOC-PCE-001</t>
        </is>
      </c>
      <c r="C938" s="10" t="inlineStr">
        <is>
          <t>D18-DOC-PCE-001-T05</t>
        </is>
      </c>
      <c r="D938" s="10" t="inlineStr">
        <is>
          <t>propriedades</t>
        </is>
      </c>
      <c r="E938" s="10" t="inlineStr">
        <is>
          <t>Definir, validar e manter: Propriedades</t>
        </is>
      </c>
      <c r="F938" s="10" t="n"/>
      <c r="G938" s="10" t="b">
        <v>1</v>
      </c>
      <c r="H938" s="10" t="b">
        <v>1</v>
      </c>
      <c r="I938" s="10" t="inlineStr">
        <is>
          <t>DERIVED</t>
        </is>
      </c>
      <c r="J938" s="10" t="inlineStr">
        <is>
          <t>PROPOSED</t>
        </is>
      </c>
      <c r="K938" s="10" t="inlineStr">
        <is>
          <t>DERIVED</t>
        </is>
      </c>
      <c r="L938" s="10" t="inlineStr">
        <is>
          <t>baixa</t>
        </is>
      </c>
      <c r="M938" s="10" t="inlineStr">
        <is>
          <t>["D18-DOC-PCE-001.EVENT_CONTRACTS.PROPRIEDADES"]</t>
        </is>
      </c>
    </row>
    <row r="939">
      <c r="A939" s="10" t="inlineStr">
        <is>
          <t>D18-DOC-PCE-001.WORKFLOW_CONTRACTS.ENTRADA</t>
        </is>
      </c>
      <c r="B939" s="10" t="inlineStr">
        <is>
          <t>D18-DOC-PCE-001</t>
        </is>
      </c>
      <c r="C939" s="10" t="inlineStr">
        <is>
          <t>D18-DOC-PCE-001-T06</t>
        </is>
      </c>
      <c r="D939" s="10" t="inlineStr">
        <is>
          <t>entrada</t>
        </is>
      </c>
      <c r="E939" s="10" t="inlineStr">
        <is>
          <t>Definir, validar e manter: Entrada</t>
        </is>
      </c>
      <c r="F939" s="10" t="n"/>
      <c r="G939" s="10" t="b">
        <v>1</v>
      </c>
      <c r="H939" s="10" t="b">
        <v>1</v>
      </c>
      <c r="I939" s="10" t="inlineStr">
        <is>
          <t>DERIVED</t>
        </is>
      </c>
      <c r="J939" s="10" t="inlineStr">
        <is>
          <t>PROPOSED</t>
        </is>
      </c>
      <c r="K939" s="10" t="inlineStr">
        <is>
          <t>DERIVED</t>
        </is>
      </c>
      <c r="L939" s="10" t="inlineStr">
        <is>
          <t>baixa</t>
        </is>
      </c>
      <c r="M939" s="10" t="inlineStr">
        <is>
          <t>["D18-DOC-PCE-001.WORKFLOW_CONTRACTS.ENTRADA"]</t>
        </is>
      </c>
    </row>
    <row r="940">
      <c r="A940" s="10" t="inlineStr">
        <is>
          <t>D18-DOC-PCE-001.WORKFLOW_CONTRACTS.SAIDA</t>
        </is>
      </c>
      <c r="B940" s="10" t="inlineStr">
        <is>
          <t>D18-DOC-PCE-001</t>
        </is>
      </c>
      <c r="C940" s="10" t="inlineStr">
        <is>
          <t>D18-DOC-PCE-001-T06</t>
        </is>
      </c>
      <c r="D940" s="10" t="inlineStr">
        <is>
          <t>saida</t>
        </is>
      </c>
      <c r="E940" s="10" t="inlineStr">
        <is>
          <t>Definir, validar e manter: Saida</t>
        </is>
      </c>
      <c r="F940" s="10" t="n"/>
      <c r="G940" s="10" t="b">
        <v>1</v>
      </c>
      <c r="H940" s="10" t="b">
        <v>1</v>
      </c>
      <c r="I940" s="10" t="inlineStr">
        <is>
          <t>DERIVED</t>
        </is>
      </c>
      <c r="J940" s="10" t="inlineStr">
        <is>
          <t>PROPOSED</t>
        </is>
      </c>
      <c r="K940" s="10" t="inlineStr">
        <is>
          <t>DERIVED</t>
        </is>
      </c>
      <c r="L940" s="10" t="inlineStr">
        <is>
          <t>baixa</t>
        </is>
      </c>
      <c r="M940" s="10" t="inlineStr">
        <is>
          <t>["D18-DOC-PCE-001.WORKFLOW_CONTRACTS.SAIDA"]</t>
        </is>
      </c>
    </row>
    <row r="941">
      <c r="A941" s="10" t="inlineStr">
        <is>
          <t>D18-DOC-PCE-001.WORKFLOW_CONTRACTS.GATE</t>
        </is>
      </c>
      <c r="B941" s="10" t="inlineStr">
        <is>
          <t>D18-DOC-PCE-001</t>
        </is>
      </c>
      <c r="C941" s="10" t="inlineStr">
        <is>
          <t>D18-DOC-PCE-001-T06</t>
        </is>
      </c>
      <c r="D941" s="10" t="inlineStr">
        <is>
          <t>gate</t>
        </is>
      </c>
      <c r="E941" s="10" t="inlineStr">
        <is>
          <t>Definir, validar e manter: Gate</t>
        </is>
      </c>
      <c r="F941" s="10" t="n"/>
      <c r="G941" s="10" t="b">
        <v>1</v>
      </c>
      <c r="H941" s="10" t="b">
        <v>1</v>
      </c>
      <c r="I941" s="10" t="inlineStr">
        <is>
          <t>DERIVED</t>
        </is>
      </c>
      <c r="J941" s="10" t="inlineStr">
        <is>
          <t>PROPOSED</t>
        </is>
      </c>
      <c r="K941" s="10" t="inlineStr">
        <is>
          <t>DERIVED</t>
        </is>
      </c>
      <c r="L941" s="10" t="inlineStr">
        <is>
          <t>baixa</t>
        </is>
      </c>
      <c r="M941" s="10" t="inlineStr">
        <is>
          <t>["D18-DOC-PCE-001.WORKFLOW_CONTRACTS.GATE"]</t>
        </is>
      </c>
    </row>
    <row r="942">
      <c r="A942" s="10" t="inlineStr">
        <is>
          <t>D18-DOC-PCE-001.HANDOFF_CONTRACTS.ORIGEM</t>
        </is>
      </c>
      <c r="B942" s="10" t="inlineStr">
        <is>
          <t>D18-DOC-PCE-001</t>
        </is>
      </c>
      <c r="C942" s="10" t="inlineStr">
        <is>
          <t>D18-DOC-PCE-001-T07</t>
        </is>
      </c>
      <c r="D942" s="10" t="inlineStr">
        <is>
          <t>origem</t>
        </is>
      </c>
      <c r="E942" s="10" t="inlineStr">
        <is>
          <t>Definir, validar e manter: Origem</t>
        </is>
      </c>
      <c r="F942" s="10" t="n"/>
      <c r="G942" s="10" t="b">
        <v>1</v>
      </c>
      <c r="H942" s="10" t="b">
        <v>1</v>
      </c>
      <c r="I942" s="10" t="inlineStr">
        <is>
          <t>DERIVED</t>
        </is>
      </c>
      <c r="J942" s="10" t="inlineStr">
        <is>
          <t>PROPOSED</t>
        </is>
      </c>
      <c r="K942" s="10" t="inlineStr">
        <is>
          <t>DERIVED</t>
        </is>
      </c>
      <c r="L942" s="10" t="inlineStr">
        <is>
          <t>baixa</t>
        </is>
      </c>
      <c r="M942" s="10" t="inlineStr">
        <is>
          <t>["D18-DOC-PCE-001.HANDOFF_CONTRACTS.ORIGEM"]</t>
        </is>
      </c>
    </row>
    <row r="943">
      <c r="A943" s="10" t="inlineStr">
        <is>
          <t>D18-DOC-PCE-001.HANDOFF_CONTRACTS.DESTINO</t>
        </is>
      </c>
      <c r="B943" s="10" t="inlineStr">
        <is>
          <t>D18-DOC-PCE-001</t>
        </is>
      </c>
      <c r="C943" s="10" t="inlineStr">
        <is>
          <t>D18-DOC-PCE-001-T07</t>
        </is>
      </c>
      <c r="D943" s="10" t="inlineStr">
        <is>
          <t>destino</t>
        </is>
      </c>
      <c r="E943" s="10" t="inlineStr">
        <is>
          <t>Definir, validar e manter: Destino</t>
        </is>
      </c>
      <c r="F943" s="10" t="n"/>
      <c r="G943" s="10" t="b">
        <v>1</v>
      </c>
      <c r="H943" s="10" t="b">
        <v>1</v>
      </c>
      <c r="I943" s="10" t="inlineStr">
        <is>
          <t>DERIVED</t>
        </is>
      </c>
      <c r="J943" s="10" t="inlineStr">
        <is>
          <t>PROPOSED</t>
        </is>
      </c>
      <c r="K943" s="10" t="inlineStr">
        <is>
          <t>DERIVED</t>
        </is>
      </c>
      <c r="L943" s="10" t="inlineStr">
        <is>
          <t>baixa</t>
        </is>
      </c>
      <c r="M943" s="10" t="inlineStr">
        <is>
          <t>["D18-DOC-PCE-001.HANDOFF_CONTRACTS.DESTINO"]</t>
        </is>
      </c>
    </row>
    <row r="944">
      <c r="A944" s="10" t="inlineStr">
        <is>
          <t>D18-DOC-PCE-001.HANDOFF_CONTRACTS.REQUISITOS</t>
        </is>
      </c>
      <c r="B944" s="10" t="inlineStr">
        <is>
          <t>D18-DOC-PCE-001</t>
        </is>
      </c>
      <c r="C944" s="10" t="inlineStr">
        <is>
          <t>D18-DOC-PCE-001-T07</t>
        </is>
      </c>
      <c r="D944" s="10" t="inlineStr">
        <is>
          <t>requisitos</t>
        </is>
      </c>
      <c r="E944" s="10" t="inlineStr">
        <is>
          <t>Definir, validar e manter: Requisitos</t>
        </is>
      </c>
      <c r="F944" s="10" t="n"/>
      <c r="G944" s="10" t="b">
        <v>1</v>
      </c>
      <c r="H944" s="10" t="b">
        <v>1</v>
      </c>
      <c r="I944" s="10" t="inlineStr">
        <is>
          <t>DERIVED</t>
        </is>
      </c>
      <c r="J944" s="10" t="inlineStr">
        <is>
          <t>PROPOSED</t>
        </is>
      </c>
      <c r="K944" s="10" t="inlineStr">
        <is>
          <t>DERIVED</t>
        </is>
      </c>
      <c r="L944" s="10" t="inlineStr">
        <is>
          <t>baixa</t>
        </is>
      </c>
      <c r="M944" s="10" t="inlineStr">
        <is>
          <t>["D18-DOC-PCE-001.HANDOFF_CONTRACTS.REQUISITOS"]</t>
        </is>
      </c>
    </row>
    <row r="945">
      <c r="A945" s="10" t="inlineStr">
        <is>
          <t>D18-DOC-PCE-001.VALIDATION.SCHEMA_VALIDATOR</t>
        </is>
      </c>
      <c r="B945" s="10" t="inlineStr">
        <is>
          <t>D18-DOC-PCE-001</t>
        </is>
      </c>
      <c r="C945" s="10" t="inlineStr">
        <is>
          <t>D18-DOC-PCE-001-T08</t>
        </is>
      </c>
      <c r="D945" s="10" t="inlineStr">
        <is>
          <t>schema_validator</t>
        </is>
      </c>
      <c r="E945" s="10" t="inlineStr">
        <is>
          <t>Definir, validar e manter: Schema Validator</t>
        </is>
      </c>
      <c r="F945" s="10" t="n"/>
      <c r="G945" s="10" t="b">
        <v>1</v>
      </c>
      <c r="H945" s="10" t="b">
        <v>1</v>
      </c>
      <c r="I945" s="10" t="inlineStr">
        <is>
          <t>DERIVED</t>
        </is>
      </c>
      <c r="J945" s="10" t="inlineStr">
        <is>
          <t>PROPOSED</t>
        </is>
      </c>
      <c r="K945" s="10" t="inlineStr">
        <is>
          <t>DERIVED</t>
        </is>
      </c>
      <c r="L945" s="10" t="inlineStr">
        <is>
          <t>baixa</t>
        </is>
      </c>
      <c r="M945" s="10" t="inlineStr">
        <is>
          <t>["D18-DOC-PCE-001.VALIDATION.SCHEMA_VALIDATOR"]</t>
        </is>
      </c>
    </row>
    <row r="946">
      <c r="A946" s="10" t="inlineStr">
        <is>
          <t>D18-DOC-PCE-001.VALIDATION.REGRA</t>
        </is>
      </c>
      <c r="B946" s="10" t="inlineStr">
        <is>
          <t>D18-DOC-PCE-001</t>
        </is>
      </c>
      <c r="C946" s="10" t="inlineStr">
        <is>
          <t>D18-DOC-PCE-001-T08</t>
        </is>
      </c>
      <c r="D946" s="10" t="inlineStr">
        <is>
          <t>regra</t>
        </is>
      </c>
      <c r="E946" s="10" t="inlineStr">
        <is>
          <t>Definir, validar e manter: Regra</t>
        </is>
      </c>
      <c r="F946" s="10" t="n"/>
      <c r="G946" s="10" t="b">
        <v>1</v>
      </c>
      <c r="H946" s="10" t="b">
        <v>1</v>
      </c>
      <c r="I946" s="10" t="inlineStr">
        <is>
          <t>DERIVED</t>
        </is>
      </c>
      <c r="J946" s="10" t="inlineStr">
        <is>
          <t>PROPOSED</t>
        </is>
      </c>
      <c r="K946" s="10" t="inlineStr">
        <is>
          <t>DERIVED</t>
        </is>
      </c>
      <c r="L946" s="10" t="inlineStr">
        <is>
          <t>baixa</t>
        </is>
      </c>
      <c r="M946" s="10" t="inlineStr">
        <is>
          <t>["D18-DOC-PCE-001.VALIDATION.REGRA"]</t>
        </is>
      </c>
    </row>
    <row r="947">
      <c r="A947" s="10" t="inlineStr">
        <is>
          <t>D18-DOC-PCE-001.VERSIONING.VERSAO</t>
        </is>
      </c>
      <c r="B947" s="10" t="inlineStr">
        <is>
          <t>D18-DOC-PCE-001</t>
        </is>
      </c>
      <c r="C947" s="10" t="inlineStr">
        <is>
          <t>D18-DOC-PCE-001-T09</t>
        </is>
      </c>
      <c r="D947" s="10" t="inlineStr">
        <is>
          <t>versao</t>
        </is>
      </c>
      <c r="E947" s="10" t="inlineStr">
        <is>
          <t>Definir, validar e manter: Versao</t>
        </is>
      </c>
      <c r="F947" s="10" t="n"/>
      <c r="G947" s="10" t="b">
        <v>1</v>
      </c>
      <c r="H947" s="10" t="b">
        <v>1</v>
      </c>
      <c r="I947" s="10" t="inlineStr">
        <is>
          <t>DERIVED</t>
        </is>
      </c>
      <c r="J947" s="10" t="inlineStr">
        <is>
          <t>PROPOSED</t>
        </is>
      </c>
      <c r="K947" s="10" t="inlineStr">
        <is>
          <t>DERIVED</t>
        </is>
      </c>
      <c r="L947" s="10" t="inlineStr">
        <is>
          <t>baixa</t>
        </is>
      </c>
      <c r="M947" s="10" t="inlineStr">
        <is>
          <t>["D18-DOC-PCE-001.VERSIONING.VERSAO"]</t>
        </is>
      </c>
    </row>
    <row r="948">
      <c r="A948" s="10" t="inlineStr">
        <is>
          <t>D18-DOC-PCE-001.VERSIONING.COMPATIBILIDADE</t>
        </is>
      </c>
      <c r="B948" s="10" t="inlineStr">
        <is>
          <t>D18-DOC-PCE-001</t>
        </is>
      </c>
      <c r="C948" s="10" t="inlineStr">
        <is>
          <t>D18-DOC-PCE-001-T09</t>
        </is>
      </c>
      <c r="D948" s="10" t="inlineStr">
        <is>
          <t>compatibilidade</t>
        </is>
      </c>
      <c r="E948" s="10" t="inlineStr">
        <is>
          <t>Definir, validar e manter: Compatibilidade</t>
        </is>
      </c>
      <c r="F948" s="10" t="n"/>
      <c r="G948" s="10" t="b">
        <v>1</v>
      </c>
      <c r="H948" s="10" t="b">
        <v>1</v>
      </c>
      <c r="I948" s="10" t="inlineStr">
        <is>
          <t>DERIVED</t>
        </is>
      </c>
      <c r="J948" s="10" t="inlineStr">
        <is>
          <t>PROPOSED</t>
        </is>
      </c>
      <c r="K948" s="10" t="inlineStr">
        <is>
          <t>DERIVED</t>
        </is>
      </c>
      <c r="L948" s="10" t="inlineStr">
        <is>
          <t>baixa</t>
        </is>
      </c>
      <c r="M948" s="10" t="inlineStr">
        <is>
          <t>["D18-DOC-PCE-001.VERSIONING.COMPATIBILIDADE"]</t>
        </is>
      </c>
    </row>
    <row r="949">
      <c r="A949" s="10" t="inlineStr">
        <is>
          <t>D18-DOC-PCE-001.CHANGE_CONTROL.MUDANCA</t>
        </is>
      </c>
      <c r="B949" s="10" t="inlineStr">
        <is>
          <t>D18-DOC-PCE-001</t>
        </is>
      </c>
      <c r="C949" s="10" t="inlineStr">
        <is>
          <t>D18-DOC-PCE-001-T10</t>
        </is>
      </c>
      <c r="D949" s="10" t="inlineStr">
        <is>
          <t>mudanca</t>
        </is>
      </c>
      <c r="E949" s="10" t="inlineStr">
        <is>
          <t>Definir, validar e manter: Mudanca</t>
        </is>
      </c>
      <c r="F949" s="10" t="n"/>
      <c r="G949" s="10" t="b">
        <v>1</v>
      </c>
      <c r="H949" s="10" t="b">
        <v>1</v>
      </c>
      <c r="I949" s="10" t="inlineStr">
        <is>
          <t>DERIVED</t>
        </is>
      </c>
      <c r="J949" s="10" t="inlineStr">
        <is>
          <t>PROPOSED</t>
        </is>
      </c>
      <c r="K949" s="10" t="inlineStr">
        <is>
          <t>DERIVED</t>
        </is>
      </c>
      <c r="L949" s="10" t="inlineStr">
        <is>
          <t>baixa</t>
        </is>
      </c>
      <c r="M949" s="10" t="inlineStr">
        <is>
          <t>["D18-DOC-PCE-001.CHANGE_CONTROL.MUDANCA"]</t>
        </is>
      </c>
    </row>
    <row r="950">
      <c r="A950" s="10" t="inlineStr">
        <is>
          <t>D18-DOC-PCE-001.CHANGE_CONTROL.APROVACAO</t>
        </is>
      </c>
      <c r="B950" s="10" t="inlineStr">
        <is>
          <t>D18-DOC-PCE-001</t>
        </is>
      </c>
      <c r="C950" s="10" t="inlineStr">
        <is>
          <t>D18-DOC-PCE-001-T10</t>
        </is>
      </c>
      <c r="D950" s="10" t="inlineStr">
        <is>
          <t>aprovacao</t>
        </is>
      </c>
      <c r="E950" s="10" t="inlineStr">
        <is>
          <t>Definir, validar e manter: Aprovacao</t>
        </is>
      </c>
      <c r="F950" s="10" t="n"/>
      <c r="G950" s="10" t="b">
        <v>1</v>
      </c>
      <c r="H950" s="10" t="b">
        <v>1</v>
      </c>
      <c r="I950" s="10" t="inlineStr">
        <is>
          <t>DERIVED</t>
        </is>
      </c>
      <c r="J950" s="10" t="inlineStr">
        <is>
          <t>PROPOSED</t>
        </is>
      </c>
      <c r="K950" s="10" t="inlineStr">
        <is>
          <t>DERIVED</t>
        </is>
      </c>
      <c r="L950" s="10" t="inlineStr">
        <is>
          <t>baixa</t>
        </is>
      </c>
      <c r="M950" s="10" t="inlineStr">
        <is>
          <t>["D18-DOC-PCE-001.CHANGE_CONTROL.APROVACAO"]</t>
        </is>
      </c>
    </row>
    <row r="951">
      <c r="A951" s="10" t="inlineStr">
        <is>
          <t>D18-DOC-PCE-001.REGISTRY.ID</t>
        </is>
      </c>
      <c r="B951" s="10" t="inlineStr">
        <is>
          <t>D18-DOC-PCE-001</t>
        </is>
      </c>
      <c r="C951" s="10" t="inlineStr">
        <is>
          <t>D18-DOC-PCE-001-T11</t>
        </is>
      </c>
      <c r="D951" s="10" t="inlineStr">
        <is>
          <t>id</t>
        </is>
      </c>
      <c r="E951" s="10" t="inlineStr">
        <is>
          <t>Definir, validar e manter: ID</t>
        </is>
      </c>
      <c r="F951" s="10" t="n"/>
      <c r="G951" s="10" t="b">
        <v>1</v>
      </c>
      <c r="H951" s="10" t="b">
        <v>1</v>
      </c>
      <c r="I951" s="10" t="inlineStr">
        <is>
          <t>DERIVED</t>
        </is>
      </c>
      <c r="J951" s="10" t="inlineStr">
        <is>
          <t>PROPOSED</t>
        </is>
      </c>
      <c r="K951" s="10" t="inlineStr">
        <is>
          <t>DERIVED</t>
        </is>
      </c>
      <c r="L951" s="10" t="inlineStr">
        <is>
          <t>baixa</t>
        </is>
      </c>
      <c r="M951" s="10" t="inlineStr">
        <is>
          <t>["D18-DOC-PCE-001.REGISTRY.ID"]</t>
        </is>
      </c>
    </row>
    <row r="952">
      <c r="A952" s="10" t="inlineStr">
        <is>
          <t>D18-DOC-PCE-001.REGISTRY.LOCALIZACAO</t>
        </is>
      </c>
      <c r="B952" s="10" t="inlineStr">
        <is>
          <t>D18-DOC-PCE-001</t>
        </is>
      </c>
      <c r="C952" s="10" t="inlineStr">
        <is>
          <t>D18-DOC-PCE-001-T11</t>
        </is>
      </c>
      <c r="D952" s="10" t="inlineStr">
        <is>
          <t>localizacao</t>
        </is>
      </c>
      <c r="E952" s="10" t="inlineStr">
        <is>
          <t>Definir, validar e manter: Localizacao</t>
        </is>
      </c>
      <c r="F952" s="10" t="n"/>
      <c r="G952" s="10" t="b">
        <v>1</v>
      </c>
      <c r="H952" s="10" t="b">
        <v>1</v>
      </c>
      <c r="I952" s="10" t="inlineStr">
        <is>
          <t>DERIVED</t>
        </is>
      </c>
      <c r="J952" s="10" t="inlineStr">
        <is>
          <t>PROPOSED</t>
        </is>
      </c>
      <c r="K952" s="10" t="inlineStr">
        <is>
          <t>DERIVED</t>
        </is>
      </c>
      <c r="L952" s="10" t="inlineStr">
        <is>
          <t>baixa</t>
        </is>
      </c>
      <c r="M952" s="10" t="inlineStr">
        <is>
          <t>["D18-DOC-PCE-001.REGISTRY.LOCALIZACAO"]</t>
        </is>
      </c>
    </row>
    <row r="953">
      <c r="A953" s="10" t="inlineStr">
        <is>
          <t>D18-DOC-PCE-001.TESTING.CONTRACT_TEST</t>
        </is>
      </c>
      <c r="B953" s="10" t="inlineStr">
        <is>
          <t>D18-DOC-PCE-001</t>
        </is>
      </c>
      <c r="C953" s="10" t="inlineStr">
        <is>
          <t>D18-DOC-PCE-001-T12</t>
        </is>
      </c>
      <c r="D953" s="10" t="inlineStr">
        <is>
          <t>contract_test</t>
        </is>
      </c>
      <c r="E953" s="10" t="inlineStr">
        <is>
          <t>Definir, validar e manter: Contract Test</t>
        </is>
      </c>
      <c r="F953" s="10" t="n"/>
      <c r="G953" s="10" t="b">
        <v>1</v>
      </c>
      <c r="H953" s="10" t="b">
        <v>1</v>
      </c>
      <c r="I953" s="10" t="inlineStr">
        <is>
          <t>DERIVED</t>
        </is>
      </c>
      <c r="J953" s="10" t="inlineStr">
        <is>
          <t>PROPOSED</t>
        </is>
      </c>
      <c r="K953" s="10" t="inlineStr">
        <is>
          <t>DERIVED</t>
        </is>
      </c>
      <c r="L953" s="10" t="inlineStr">
        <is>
          <t>baixa</t>
        </is>
      </c>
      <c r="M953" s="10" t="inlineStr">
        <is>
          <t>["D18-DOC-PCE-001.TESTING.CONTRACT_TEST"]</t>
        </is>
      </c>
    </row>
    <row r="954">
      <c r="A954" s="10" t="inlineStr">
        <is>
          <t>D18-DOC-PCE-001.TESTING.RESULTADO</t>
        </is>
      </c>
      <c r="B954" s="10" t="inlineStr">
        <is>
          <t>D18-DOC-PCE-001</t>
        </is>
      </c>
      <c r="C954" s="10" t="inlineStr">
        <is>
          <t>D18-DOC-PCE-001-T12</t>
        </is>
      </c>
      <c r="D954" s="10" t="inlineStr">
        <is>
          <t>resultado</t>
        </is>
      </c>
      <c r="E954" s="10" t="inlineStr">
        <is>
          <t>Definir, validar e manter: Resultado</t>
        </is>
      </c>
      <c r="F954" s="10" t="n"/>
      <c r="G954" s="10" t="b">
        <v>1</v>
      </c>
      <c r="H954" s="10" t="b">
        <v>1</v>
      </c>
      <c r="I954" s="10" t="inlineStr">
        <is>
          <t>DERIVED</t>
        </is>
      </c>
      <c r="J954" s="10" t="inlineStr">
        <is>
          <t>PROPOSED</t>
        </is>
      </c>
      <c r="K954" s="10" t="inlineStr">
        <is>
          <t>DERIVED</t>
        </is>
      </c>
      <c r="L954" s="10" t="inlineStr">
        <is>
          <t>baixa</t>
        </is>
      </c>
      <c r="M954" s="10" t="inlineStr">
        <is>
          <t>["D18-DOC-PCE-001.TESTING.RESULTADO"]</t>
        </is>
      </c>
    </row>
    <row r="955">
      <c r="A955" s="10" t="inlineStr">
        <is>
          <t>D18-DOC-PCE-001.DEPRECATION.OBJETO</t>
        </is>
      </c>
      <c r="B955" s="10" t="inlineStr">
        <is>
          <t>D18-DOC-PCE-001</t>
        </is>
      </c>
      <c r="C955" s="10" t="inlineStr">
        <is>
          <t>D18-DOC-PCE-001-T13</t>
        </is>
      </c>
      <c r="D955" s="10" t="inlineStr">
        <is>
          <t>objeto</t>
        </is>
      </c>
      <c r="E955" s="10" t="inlineStr">
        <is>
          <t>Definir, validar e manter: Objeto</t>
        </is>
      </c>
      <c r="F955" s="10" t="n"/>
      <c r="G955" s="10" t="b">
        <v>1</v>
      </c>
      <c r="H955" s="10" t="b">
        <v>1</v>
      </c>
      <c r="I955" s="10" t="inlineStr">
        <is>
          <t>DERIVED</t>
        </is>
      </c>
      <c r="J955" s="10" t="inlineStr">
        <is>
          <t>PROPOSED</t>
        </is>
      </c>
      <c r="K955" s="10" t="inlineStr">
        <is>
          <t>DERIVED</t>
        </is>
      </c>
      <c r="L955" s="10" t="inlineStr">
        <is>
          <t>baixa</t>
        </is>
      </c>
      <c r="M955" s="10" t="inlineStr">
        <is>
          <t>["D18-DOC-PCE-001.DEPRECATION.OBJETO"]</t>
        </is>
      </c>
    </row>
    <row r="956">
      <c r="A956" s="10" t="inlineStr">
        <is>
          <t>D18-DOC-PCE-001.DEPRECATION.PRAZO</t>
        </is>
      </c>
      <c r="B956" s="10" t="inlineStr">
        <is>
          <t>D18-DOC-PCE-001</t>
        </is>
      </c>
      <c r="C956" s="10" t="inlineStr">
        <is>
          <t>D18-DOC-PCE-001-T13</t>
        </is>
      </c>
      <c r="D956" s="10" t="inlineStr">
        <is>
          <t>prazo</t>
        </is>
      </c>
      <c r="E956" s="10" t="inlineStr">
        <is>
          <t>Definir, validar e manter: Prazo</t>
        </is>
      </c>
      <c r="F956" s="10" t="n"/>
      <c r="G956" s="10" t="b">
        <v>1</v>
      </c>
      <c r="H956" s="10" t="b">
        <v>1</v>
      </c>
      <c r="I956" s="10" t="inlineStr">
        <is>
          <t>DERIVED</t>
        </is>
      </c>
      <c r="J956" s="10" t="inlineStr">
        <is>
          <t>PROPOSED</t>
        </is>
      </c>
      <c r="K956" s="10" t="inlineStr">
        <is>
          <t>DERIVED</t>
        </is>
      </c>
      <c r="L956" s="10" t="inlineStr">
        <is>
          <t>baixa</t>
        </is>
      </c>
      <c r="M956" s="10" t="inlineStr">
        <is>
          <t>["D18-DOC-PCE-001.DEPRECATION.PRAZO"]</t>
        </is>
      </c>
    </row>
    <row r="957">
      <c r="A957" s="10" t="inlineStr">
        <is>
          <t>D18-DOC-PCE-001.DEPRECATION.SUBSTITUTO</t>
        </is>
      </c>
      <c r="B957" s="10" t="inlineStr">
        <is>
          <t>D18-DOC-PCE-001</t>
        </is>
      </c>
      <c r="C957" s="10" t="inlineStr">
        <is>
          <t>D18-DOC-PCE-001-T13</t>
        </is>
      </c>
      <c r="D957" s="10" t="inlineStr">
        <is>
          <t>substituto</t>
        </is>
      </c>
      <c r="E957" s="10" t="inlineStr">
        <is>
          <t>Definir, validar e manter: Substituto</t>
        </is>
      </c>
      <c r="F957" s="10" t="n"/>
      <c r="G957" s="10" t="b">
        <v>1</v>
      </c>
      <c r="H957" s="10" t="b">
        <v>1</v>
      </c>
      <c r="I957" s="10" t="inlineStr">
        <is>
          <t>DERIVED</t>
        </is>
      </c>
      <c r="J957" s="10" t="inlineStr">
        <is>
          <t>PROPOSED</t>
        </is>
      </c>
      <c r="K957" s="10" t="inlineStr">
        <is>
          <t>DERIVED</t>
        </is>
      </c>
      <c r="L957" s="10" t="inlineStr">
        <is>
          <t>baixa</t>
        </is>
      </c>
      <c r="M957" s="10" t="inlineStr">
        <is>
          <t>["D18-DOC-PCE-001.DEPRECATION.SUBSTITUTO"]</t>
        </is>
      </c>
    </row>
    <row r="958">
      <c r="A958" s="10" t="inlineStr">
        <is>
          <t>D19-DOC-PAC-001.ASSET_INVENTORY.ASSET_ID</t>
        </is>
      </c>
      <c r="B958" s="10" t="inlineStr">
        <is>
          <t>D19-DOC-PAC-001</t>
        </is>
      </c>
      <c r="C958" s="10" t="inlineStr">
        <is>
          <t>D19-DOC-PAC-001-T01</t>
        </is>
      </c>
      <c r="D958" s="10" t="inlineStr">
        <is>
          <t>asset_id</t>
        </is>
      </c>
      <c r="E958" s="10" t="inlineStr">
        <is>
          <t>Definir, validar e manter: Asset ID</t>
        </is>
      </c>
      <c r="F958" s="10" t="n"/>
      <c r="G958" s="10" t="b">
        <v>1</v>
      </c>
      <c r="H958" s="10" t="b">
        <v>1</v>
      </c>
      <c r="I958" s="10" t="inlineStr">
        <is>
          <t>DERIVED</t>
        </is>
      </c>
      <c r="J958" s="10" t="inlineStr">
        <is>
          <t>PROPOSED</t>
        </is>
      </c>
      <c r="K958" s="10" t="inlineStr">
        <is>
          <t>DERIVED</t>
        </is>
      </c>
      <c r="L958" s="10" t="inlineStr">
        <is>
          <t>baixa</t>
        </is>
      </c>
      <c r="M958" s="10" t="inlineStr">
        <is>
          <t>["D19-DOC-PAC-001.ASSET_INVENTORY.ASSET_ID"]</t>
        </is>
      </c>
    </row>
    <row r="959">
      <c r="A959" s="10" t="inlineStr">
        <is>
          <t>D19-DOC-PAC-001.ASSET_INVENTORY.NOME</t>
        </is>
      </c>
      <c r="B959" s="10" t="inlineStr">
        <is>
          <t>D19-DOC-PAC-001</t>
        </is>
      </c>
      <c r="C959" s="10" t="inlineStr">
        <is>
          <t>D19-DOC-PAC-001-T01</t>
        </is>
      </c>
      <c r="D959" s="10" t="inlineStr">
        <is>
          <t>nome</t>
        </is>
      </c>
      <c r="E959" s="10" t="inlineStr">
        <is>
          <t>Definir, validar e manter: Nome</t>
        </is>
      </c>
      <c r="F959" s="10" t="n"/>
      <c r="G959" s="10" t="b">
        <v>1</v>
      </c>
      <c r="H959" s="10" t="b">
        <v>1</v>
      </c>
      <c r="I959" s="10" t="inlineStr">
        <is>
          <t>DERIVED</t>
        </is>
      </c>
      <c r="J959" s="10" t="inlineStr">
        <is>
          <t>PROPOSED</t>
        </is>
      </c>
      <c r="K959" s="10" t="inlineStr">
        <is>
          <t>DERIVED</t>
        </is>
      </c>
      <c r="L959" s="10" t="inlineStr">
        <is>
          <t>baixa</t>
        </is>
      </c>
      <c r="M959" s="10" t="inlineStr">
        <is>
          <t>["D19-DOC-PAC-001.ASSET_INVENTORY.NOME"]</t>
        </is>
      </c>
    </row>
    <row r="960">
      <c r="A960" s="10" t="inlineStr">
        <is>
          <t>D19-DOC-PAC-001.ASSET_INVENTORY.TIPO</t>
        </is>
      </c>
      <c r="B960" s="10" t="inlineStr">
        <is>
          <t>D19-DOC-PAC-001</t>
        </is>
      </c>
      <c r="C960" s="10" t="inlineStr">
        <is>
          <t>D19-DOC-PAC-001-T01</t>
        </is>
      </c>
      <c r="D960" s="10" t="inlineStr">
        <is>
          <t>tipo</t>
        </is>
      </c>
      <c r="E960" s="10" t="inlineStr">
        <is>
          <t>Definir, validar e manter: Tipo</t>
        </is>
      </c>
      <c r="F960" s="10" t="n"/>
      <c r="G960" s="10" t="b">
        <v>1</v>
      </c>
      <c r="H960" s="10" t="b">
        <v>1</v>
      </c>
      <c r="I960" s="10" t="inlineStr">
        <is>
          <t>FOUND</t>
        </is>
      </c>
      <c r="J960" s="10" t="inlineStr">
        <is>
          <t>DIRECT</t>
        </is>
      </c>
      <c r="K960" s="10" t="inlineStr">
        <is>
          <t>FOUND</t>
        </is>
      </c>
      <c r="L960" s="10" t="inlineStr">
        <is>
          <t>alta</t>
        </is>
      </c>
      <c r="M960" s="10" t="inlineStr">
        <is>
          <t>["D19-DOC-PAC-001.ASSET_INVENTORY.TIPO"]</t>
        </is>
      </c>
    </row>
    <row r="961">
      <c r="A961" s="10" t="inlineStr">
        <is>
          <t>D19-DOC-PAC-001.PURPOSE.OBJETIVO</t>
        </is>
      </c>
      <c r="B961" s="10" t="inlineStr">
        <is>
          <t>D19-DOC-PAC-001</t>
        </is>
      </c>
      <c r="C961" s="10" t="inlineStr">
        <is>
          <t>D19-DOC-PAC-001-T02</t>
        </is>
      </c>
      <c r="D961" s="10" t="inlineStr">
        <is>
          <t>objetivo</t>
        </is>
      </c>
      <c r="E961" s="10" t="inlineStr">
        <is>
          <t>Definir, validar e manter: Objetivo</t>
        </is>
      </c>
      <c r="F961" s="10" t="n"/>
      <c r="G961" s="10" t="b">
        <v>1</v>
      </c>
      <c r="H961" s="10" t="b">
        <v>1</v>
      </c>
      <c r="I961" s="10" t="inlineStr">
        <is>
          <t>DERIVED</t>
        </is>
      </c>
      <c r="J961" s="10" t="inlineStr">
        <is>
          <t>PROPOSED</t>
        </is>
      </c>
      <c r="K961" s="10" t="inlineStr">
        <is>
          <t>DERIVED</t>
        </is>
      </c>
      <c r="L961" s="10" t="inlineStr">
        <is>
          <t>baixa</t>
        </is>
      </c>
      <c r="M961" s="10" t="inlineStr">
        <is>
          <t>["D19-DOC-PAC-001.PURPOSE.OBJETIVO"]</t>
        </is>
      </c>
    </row>
    <row r="962">
      <c r="A962" s="10" t="inlineStr">
        <is>
          <t>D19-DOC-PAC-001.PURPOSE.CAMPANHA</t>
        </is>
      </c>
      <c r="B962" s="10" t="inlineStr">
        <is>
          <t>D19-DOC-PAC-001</t>
        </is>
      </c>
      <c r="C962" s="10" t="inlineStr">
        <is>
          <t>D19-DOC-PAC-001-T02</t>
        </is>
      </c>
      <c r="D962" s="10" t="inlineStr">
        <is>
          <t>campanha</t>
        </is>
      </c>
      <c r="E962" s="10" t="inlineStr">
        <is>
          <t>Definir, validar e manter: Campanha</t>
        </is>
      </c>
      <c r="F962" s="10" t="n"/>
      <c r="G962" s="10" t="b">
        <v>1</v>
      </c>
      <c r="H962" s="10" t="b">
        <v>1</v>
      </c>
      <c r="I962" s="10" t="inlineStr">
        <is>
          <t>DERIVED</t>
        </is>
      </c>
      <c r="J962" s="10" t="inlineStr">
        <is>
          <t>PROPOSED</t>
        </is>
      </c>
      <c r="K962" s="10" t="inlineStr">
        <is>
          <t>DERIVED</t>
        </is>
      </c>
      <c r="L962" s="10" t="inlineStr">
        <is>
          <t>baixa</t>
        </is>
      </c>
      <c r="M962" s="10" t="inlineStr">
        <is>
          <t>["D19-DOC-PAC-001.PURPOSE.CAMPANHA"]</t>
        </is>
      </c>
    </row>
    <row r="963">
      <c r="A963" s="10" t="inlineStr">
        <is>
          <t>D19-DOC-PAC-001.PURPOSE.PRODUTO</t>
        </is>
      </c>
      <c r="B963" s="10" t="inlineStr">
        <is>
          <t>D19-DOC-PAC-001</t>
        </is>
      </c>
      <c r="C963" s="10" t="inlineStr">
        <is>
          <t>D19-DOC-PAC-001-T02</t>
        </is>
      </c>
      <c r="D963" s="10" t="inlineStr">
        <is>
          <t>produto</t>
        </is>
      </c>
      <c r="E963" s="10" t="inlineStr">
        <is>
          <t>Definir, validar e manter: Produto</t>
        </is>
      </c>
      <c r="F963" s="10" t="n"/>
      <c r="G963" s="10" t="b">
        <v>1</v>
      </c>
      <c r="H963" s="10" t="b">
        <v>1</v>
      </c>
      <c r="I963" s="10" t="inlineStr">
        <is>
          <t>DERIVED</t>
        </is>
      </c>
      <c r="J963" s="10" t="inlineStr">
        <is>
          <t>PROPOSED</t>
        </is>
      </c>
      <c r="K963" s="10" t="inlineStr">
        <is>
          <t>DERIVED</t>
        </is>
      </c>
      <c r="L963" s="10" t="inlineStr">
        <is>
          <t>baixa</t>
        </is>
      </c>
      <c r="M963" s="10" t="inlineStr">
        <is>
          <t>["D19-DOC-PAC-001.PURPOSE.PRODUTO"]</t>
        </is>
      </c>
    </row>
    <row r="964">
      <c r="A964" s="10" t="inlineStr">
        <is>
          <t>D19-DOC-PAC-001.SOURCE.ORIGEM</t>
        </is>
      </c>
      <c r="B964" s="10" t="inlineStr">
        <is>
          <t>D19-DOC-PAC-001</t>
        </is>
      </c>
      <c r="C964" s="10" t="inlineStr">
        <is>
          <t>D19-DOC-PAC-001-T03</t>
        </is>
      </c>
      <c r="D964" s="10" t="inlineStr">
        <is>
          <t>origem</t>
        </is>
      </c>
      <c r="E964" s="10" t="inlineStr">
        <is>
          <t>Definir, validar e manter: Origem</t>
        </is>
      </c>
      <c r="F964" s="10" t="n"/>
      <c r="G964" s="10" t="b">
        <v>1</v>
      </c>
      <c r="H964" s="10" t="b">
        <v>1</v>
      </c>
      <c r="I964" s="10" t="inlineStr">
        <is>
          <t>DERIVED</t>
        </is>
      </c>
      <c r="J964" s="10" t="inlineStr">
        <is>
          <t>PROPOSED</t>
        </is>
      </c>
      <c r="K964" s="10" t="inlineStr">
        <is>
          <t>DERIVED</t>
        </is>
      </c>
      <c r="L964" s="10" t="inlineStr">
        <is>
          <t>baixa</t>
        </is>
      </c>
      <c r="M964" s="10" t="inlineStr">
        <is>
          <t>["D19-DOC-PAC-001.SOURCE.ORIGEM"]</t>
        </is>
      </c>
    </row>
    <row r="965">
      <c r="A965" s="10" t="inlineStr">
        <is>
          <t>D19-DOC-PAC-001.SOURCE.DOCUMENTO_FONTE</t>
        </is>
      </c>
      <c r="B965" s="10" t="inlineStr">
        <is>
          <t>D19-DOC-PAC-001</t>
        </is>
      </c>
      <c r="C965" s="10" t="inlineStr">
        <is>
          <t>D19-DOC-PAC-001-T03</t>
        </is>
      </c>
      <c r="D965" s="10" t="inlineStr">
        <is>
          <t>documento_fonte</t>
        </is>
      </c>
      <c r="E965" s="10" t="inlineStr">
        <is>
          <t>Definir, validar e manter: Documento Fonte</t>
        </is>
      </c>
      <c r="F965" s="10" t="n"/>
      <c r="G965" s="10" t="b">
        <v>1</v>
      </c>
      <c r="H965" s="10" t="b">
        <v>1</v>
      </c>
      <c r="I965" s="10" t="inlineStr">
        <is>
          <t>DERIVED</t>
        </is>
      </c>
      <c r="J965" s="10" t="inlineStr">
        <is>
          <t>PROPOSED</t>
        </is>
      </c>
      <c r="K965" s="10" t="inlineStr">
        <is>
          <t>DERIVED</t>
        </is>
      </c>
      <c r="L965" s="10" t="inlineStr">
        <is>
          <t>baixa</t>
        </is>
      </c>
      <c r="M965" s="10" t="inlineStr">
        <is>
          <t>["D19-DOC-PAC-001.SOURCE.DOCUMENTO_FONTE"]</t>
        </is>
      </c>
    </row>
    <row r="966">
      <c r="A966" s="10" t="inlineStr">
        <is>
          <t>D19-DOC-PAC-001.FORMAT.ARQUIVO</t>
        </is>
      </c>
      <c r="B966" s="10" t="inlineStr">
        <is>
          <t>D19-DOC-PAC-001</t>
        </is>
      </c>
      <c r="C966" s="10" t="inlineStr">
        <is>
          <t>D19-DOC-PAC-001-T04</t>
        </is>
      </c>
      <c r="D966" s="10" t="inlineStr">
        <is>
          <t>arquivo</t>
        </is>
      </c>
      <c r="E966" s="10" t="inlineStr">
        <is>
          <t>Definir, validar e manter: Arquivo</t>
        </is>
      </c>
      <c r="F966" s="10" t="n"/>
      <c r="G966" s="10" t="b">
        <v>1</v>
      </c>
      <c r="H966" s="10" t="b">
        <v>1</v>
      </c>
      <c r="I966" s="10" t="inlineStr">
        <is>
          <t>DERIVED</t>
        </is>
      </c>
      <c r="J966" s="10" t="inlineStr">
        <is>
          <t>PROPOSED</t>
        </is>
      </c>
      <c r="K966" s="10" t="inlineStr">
        <is>
          <t>DERIVED</t>
        </is>
      </c>
      <c r="L966" s="10" t="inlineStr">
        <is>
          <t>baixa</t>
        </is>
      </c>
      <c r="M966" s="10" t="inlineStr">
        <is>
          <t>["D19-DOC-PAC-001.FORMAT.ARQUIVO"]</t>
        </is>
      </c>
    </row>
    <row r="967">
      <c r="A967" s="10" t="inlineStr">
        <is>
          <t>D19-DOC-PAC-001.FORMAT.DIMENSAO</t>
        </is>
      </c>
      <c r="B967" s="10" t="inlineStr">
        <is>
          <t>D19-DOC-PAC-001</t>
        </is>
      </c>
      <c r="C967" s="10" t="inlineStr">
        <is>
          <t>D19-DOC-PAC-001-T04</t>
        </is>
      </c>
      <c r="D967" s="10" t="inlineStr">
        <is>
          <t>dimensao</t>
        </is>
      </c>
      <c r="E967" s="10" t="inlineStr">
        <is>
          <t>Definir, validar e manter: Dimensao</t>
        </is>
      </c>
      <c r="F967" s="10" t="n"/>
      <c r="G967" s="10" t="b">
        <v>1</v>
      </c>
      <c r="H967" s="10" t="b">
        <v>1</v>
      </c>
      <c r="I967" s="10" t="inlineStr">
        <is>
          <t>DERIVED</t>
        </is>
      </c>
      <c r="J967" s="10" t="inlineStr">
        <is>
          <t>PROPOSED</t>
        </is>
      </c>
      <c r="K967" s="10" t="inlineStr">
        <is>
          <t>DERIVED</t>
        </is>
      </c>
      <c r="L967" s="10" t="inlineStr">
        <is>
          <t>baixa</t>
        </is>
      </c>
      <c r="M967" s="10" t="inlineStr">
        <is>
          <t>["D19-DOC-PAC-001.FORMAT.DIMENSAO"]</t>
        </is>
      </c>
    </row>
    <row r="968">
      <c r="A968" s="10" t="inlineStr">
        <is>
          <t>D19-DOC-PAC-001.FORMAT.CANAL</t>
        </is>
      </c>
      <c r="B968" s="10" t="inlineStr">
        <is>
          <t>D19-DOC-PAC-001</t>
        </is>
      </c>
      <c r="C968" s="10" t="inlineStr">
        <is>
          <t>D19-DOC-PAC-001-T04</t>
        </is>
      </c>
      <c r="D968" s="10" t="inlineStr">
        <is>
          <t>canal</t>
        </is>
      </c>
      <c r="E968" s="10" t="inlineStr">
        <is>
          <t>Definir, validar e manter: Canal</t>
        </is>
      </c>
      <c r="F968" s="10" t="n"/>
      <c r="G968" s="10" t="b">
        <v>1</v>
      </c>
      <c r="H968" s="10" t="b">
        <v>1</v>
      </c>
      <c r="I968" s="10" t="inlineStr">
        <is>
          <t>DERIVED</t>
        </is>
      </c>
      <c r="J968" s="10" t="inlineStr">
        <is>
          <t>PROPOSED</t>
        </is>
      </c>
      <c r="K968" s="10" t="inlineStr">
        <is>
          <t>DERIVED</t>
        </is>
      </c>
      <c r="L968" s="10" t="inlineStr">
        <is>
          <t>baixa</t>
        </is>
      </c>
      <c r="M968" s="10" t="inlineStr">
        <is>
          <t>["D19-DOC-PAC-001.FORMAT.CANAL"]</t>
        </is>
      </c>
    </row>
    <row r="969">
      <c r="A969" s="10" t="inlineStr">
        <is>
          <t>D19-DOC-PAC-001.CONTENT.HEADLINE</t>
        </is>
      </c>
      <c r="B969" s="10" t="inlineStr">
        <is>
          <t>D19-DOC-PAC-001</t>
        </is>
      </c>
      <c r="C969" s="10" t="inlineStr">
        <is>
          <t>D19-DOC-PAC-001-T05</t>
        </is>
      </c>
      <c r="D969" s="10" t="inlineStr">
        <is>
          <t>headline</t>
        </is>
      </c>
      <c r="E969" s="10" t="inlineStr">
        <is>
          <t>Definir, validar e manter: Headline</t>
        </is>
      </c>
      <c r="F969" s="10" t="n"/>
      <c r="G969" s="10" t="b">
        <v>1</v>
      </c>
      <c r="H969" s="10" t="b">
        <v>1</v>
      </c>
      <c r="I969" s="10" t="inlineStr">
        <is>
          <t>DERIVED</t>
        </is>
      </c>
      <c r="J969" s="10" t="inlineStr">
        <is>
          <t>PROPOSED</t>
        </is>
      </c>
      <c r="K969" s="10" t="inlineStr">
        <is>
          <t>DERIVED</t>
        </is>
      </c>
      <c r="L969" s="10" t="inlineStr">
        <is>
          <t>baixa</t>
        </is>
      </c>
      <c r="M969" s="10" t="inlineStr">
        <is>
          <t>["D19-DOC-PAC-001.CONTENT.HEADLINE"]</t>
        </is>
      </c>
    </row>
    <row r="970">
      <c r="A970" s="10" t="inlineStr">
        <is>
          <t>D19-DOC-PAC-001.CONTENT.COPY</t>
        </is>
      </c>
      <c r="B970" s="10" t="inlineStr">
        <is>
          <t>D19-DOC-PAC-001</t>
        </is>
      </c>
      <c r="C970" s="10" t="inlineStr">
        <is>
          <t>D19-DOC-PAC-001-T05</t>
        </is>
      </c>
      <c r="D970" s="10" t="inlineStr">
        <is>
          <t>copy</t>
        </is>
      </c>
      <c r="E970" s="10" t="inlineStr">
        <is>
          <t>Definir, validar e manter: Copy</t>
        </is>
      </c>
      <c r="F970" s="10" t="n"/>
      <c r="G970" s="10" t="b">
        <v>1</v>
      </c>
      <c r="H970" s="10" t="b">
        <v>1</v>
      </c>
      <c r="I970" s="10" t="inlineStr">
        <is>
          <t>DERIVED</t>
        </is>
      </c>
      <c r="J970" s="10" t="inlineStr">
        <is>
          <t>PROPOSED</t>
        </is>
      </c>
      <c r="K970" s="10" t="inlineStr">
        <is>
          <t>DERIVED</t>
        </is>
      </c>
      <c r="L970" s="10" t="inlineStr">
        <is>
          <t>baixa</t>
        </is>
      </c>
      <c r="M970" s="10" t="inlineStr">
        <is>
          <t>["D19-DOC-PAC-001.CONTENT.COPY"]</t>
        </is>
      </c>
    </row>
    <row r="971">
      <c r="A971" s="10" t="inlineStr">
        <is>
          <t>D19-DOC-PAC-001.CONTENT.VISUAL</t>
        </is>
      </c>
      <c r="B971" s="10" t="inlineStr">
        <is>
          <t>D19-DOC-PAC-001</t>
        </is>
      </c>
      <c r="C971" s="10" t="inlineStr">
        <is>
          <t>D19-DOC-PAC-001-T05</t>
        </is>
      </c>
      <c r="D971" s="10" t="inlineStr">
        <is>
          <t>visual</t>
        </is>
      </c>
      <c r="E971" s="10" t="inlineStr">
        <is>
          <t>Definir, validar e manter: Visual</t>
        </is>
      </c>
      <c r="F971" s="10" t="n"/>
      <c r="G971" s="10" t="b">
        <v>1</v>
      </c>
      <c r="H971" s="10" t="b">
        <v>1</v>
      </c>
      <c r="I971" s="10" t="inlineStr">
        <is>
          <t>DERIVED</t>
        </is>
      </c>
      <c r="J971" s="10" t="inlineStr">
        <is>
          <t>PROPOSED</t>
        </is>
      </c>
      <c r="K971" s="10" t="inlineStr">
        <is>
          <t>DERIVED</t>
        </is>
      </c>
      <c r="L971" s="10" t="inlineStr">
        <is>
          <t>baixa</t>
        </is>
      </c>
      <c r="M971" s="10" t="inlineStr">
        <is>
          <t>["D19-DOC-PAC-001.CONTENT.VISUAL"]</t>
        </is>
      </c>
    </row>
    <row r="972">
      <c r="A972" s="10" t="inlineStr">
        <is>
          <t>D19-DOC-PAC-001.VARIANTS.VARIANTE</t>
        </is>
      </c>
      <c r="B972" s="10" t="inlineStr">
        <is>
          <t>D19-DOC-PAC-001</t>
        </is>
      </c>
      <c r="C972" s="10" t="inlineStr">
        <is>
          <t>D19-DOC-PAC-001-T06</t>
        </is>
      </c>
      <c r="D972" s="10" t="inlineStr">
        <is>
          <t>variante</t>
        </is>
      </c>
      <c r="E972" s="10" t="inlineStr">
        <is>
          <t>Definir, validar e manter: Variante</t>
        </is>
      </c>
      <c r="F972" s="10" t="n"/>
      <c r="G972" s="10" t="b">
        <v>1</v>
      </c>
      <c r="H972" s="10" t="b">
        <v>1</v>
      </c>
      <c r="I972" s="10" t="inlineStr">
        <is>
          <t>DERIVED</t>
        </is>
      </c>
      <c r="J972" s="10" t="inlineStr">
        <is>
          <t>PROPOSED</t>
        </is>
      </c>
      <c r="K972" s="10" t="inlineStr">
        <is>
          <t>DERIVED</t>
        </is>
      </c>
      <c r="L972" s="10" t="inlineStr">
        <is>
          <t>baixa</t>
        </is>
      </c>
      <c r="M972" s="10" t="inlineStr">
        <is>
          <t>["D19-DOC-PAC-001.VARIANTS.VARIANTE"]</t>
        </is>
      </c>
    </row>
    <row r="973">
      <c r="A973" s="10" t="inlineStr">
        <is>
          <t>D19-DOC-PAC-001.VARIANTS.USO</t>
        </is>
      </c>
      <c r="B973" s="10" t="inlineStr">
        <is>
          <t>D19-DOC-PAC-001</t>
        </is>
      </c>
      <c r="C973" s="10" t="inlineStr">
        <is>
          <t>D19-DOC-PAC-001-T06</t>
        </is>
      </c>
      <c r="D973" s="10" t="inlineStr">
        <is>
          <t>uso</t>
        </is>
      </c>
      <c r="E973" s="10" t="inlineStr">
        <is>
          <t>Definir, validar e manter: Uso</t>
        </is>
      </c>
      <c r="F973" s="10" t="n"/>
      <c r="G973" s="10" t="b">
        <v>1</v>
      </c>
      <c r="H973" s="10" t="b">
        <v>1</v>
      </c>
      <c r="I973" s="10" t="inlineStr">
        <is>
          <t>DERIVED</t>
        </is>
      </c>
      <c r="J973" s="10" t="inlineStr">
        <is>
          <t>PROPOSED</t>
        </is>
      </c>
      <c r="K973" s="10" t="inlineStr">
        <is>
          <t>DERIVED</t>
        </is>
      </c>
      <c r="L973" s="10" t="inlineStr">
        <is>
          <t>baixa</t>
        </is>
      </c>
      <c r="M973" s="10" t="inlineStr">
        <is>
          <t>["D19-DOC-PAC-001.VARIANTS.USO"]</t>
        </is>
      </c>
    </row>
    <row r="974">
      <c r="A974" s="10" t="inlineStr">
        <is>
          <t>D19-DOC-PAC-001.CTA_CATALOG.CTA_ID</t>
        </is>
      </c>
      <c r="B974" s="10" t="inlineStr">
        <is>
          <t>D19-DOC-PAC-001</t>
        </is>
      </c>
      <c r="C974" s="10" t="inlineStr">
        <is>
          <t>D19-DOC-PAC-001-T07</t>
        </is>
      </c>
      <c r="D974" s="10" t="inlineStr">
        <is>
          <t>cta_id</t>
        </is>
      </c>
      <c r="E974" s="10" t="inlineStr">
        <is>
          <t>Definir, validar e manter: CTA ID</t>
        </is>
      </c>
      <c r="F974" s="10" t="n"/>
      <c r="G974" s="10" t="b">
        <v>1</v>
      </c>
      <c r="H974" s="10" t="b">
        <v>1</v>
      </c>
      <c r="I974" s="10" t="inlineStr">
        <is>
          <t>FOUND</t>
        </is>
      </c>
      <c r="J974" s="10" t="inlineStr">
        <is>
          <t>DIRECT</t>
        </is>
      </c>
      <c r="K974" s="10" t="inlineStr">
        <is>
          <t>FOUND</t>
        </is>
      </c>
      <c r="L974" s="10" t="inlineStr">
        <is>
          <t>alta</t>
        </is>
      </c>
      <c r="M974" s="10" t="inlineStr">
        <is>
          <t>["D19-DOC-PAC-001.CTA_CATALOG.CTA_ID"]</t>
        </is>
      </c>
    </row>
    <row r="975">
      <c r="A975" s="10" t="inlineStr">
        <is>
          <t>D19-DOC-PAC-001.CTA_CATALOG.TEXTO</t>
        </is>
      </c>
      <c r="B975" s="10" t="inlineStr">
        <is>
          <t>D19-DOC-PAC-001</t>
        </is>
      </c>
      <c r="C975" s="10" t="inlineStr">
        <is>
          <t>D19-DOC-PAC-001-T07</t>
        </is>
      </c>
      <c r="D975" s="10" t="inlineStr">
        <is>
          <t>texto</t>
        </is>
      </c>
      <c r="E975" s="10" t="inlineStr">
        <is>
          <t>Definir, validar e manter: Texto</t>
        </is>
      </c>
      <c r="F975" s="10" t="n"/>
      <c r="G975" s="10" t="b">
        <v>1</v>
      </c>
      <c r="H975" s="10" t="b">
        <v>1</v>
      </c>
      <c r="I975" s="10" t="inlineStr">
        <is>
          <t>DERIVED</t>
        </is>
      </c>
      <c r="J975" s="10" t="inlineStr">
        <is>
          <t>PROPOSED</t>
        </is>
      </c>
      <c r="K975" s="10" t="inlineStr">
        <is>
          <t>DERIVED</t>
        </is>
      </c>
      <c r="L975" s="10" t="inlineStr">
        <is>
          <t>baixa</t>
        </is>
      </c>
      <c r="M975" s="10" t="inlineStr">
        <is>
          <t>["D19-DOC-PAC-001.CTA_CATALOG.TEXTO"]</t>
        </is>
      </c>
    </row>
    <row r="976">
      <c r="A976" s="10" t="inlineStr">
        <is>
          <t>D19-DOC-PAC-001.CTA_CATALOG.ACAO</t>
        </is>
      </c>
      <c r="B976" s="10" t="inlineStr">
        <is>
          <t>D19-DOC-PAC-001</t>
        </is>
      </c>
      <c r="C976" s="10" t="inlineStr">
        <is>
          <t>D19-DOC-PAC-001-T07</t>
        </is>
      </c>
      <c r="D976" s="10" t="inlineStr">
        <is>
          <t>acao</t>
        </is>
      </c>
      <c r="E976" s="10" t="inlineStr">
        <is>
          <t>Definir, validar e manter: Acao</t>
        </is>
      </c>
      <c r="F976" s="10" t="n"/>
      <c r="G976" s="10" t="b">
        <v>1</v>
      </c>
      <c r="H976" s="10" t="b">
        <v>1</v>
      </c>
      <c r="I976" s="10" t="inlineStr">
        <is>
          <t>DERIVED</t>
        </is>
      </c>
      <c r="J976" s="10" t="inlineStr">
        <is>
          <t>PROPOSED</t>
        </is>
      </c>
      <c r="K976" s="10" t="inlineStr">
        <is>
          <t>DERIVED</t>
        </is>
      </c>
      <c r="L976" s="10" t="inlineStr">
        <is>
          <t>baixa</t>
        </is>
      </c>
      <c r="M976" s="10" t="inlineStr">
        <is>
          <t>["D19-DOC-PAC-001.CTA_CATALOG.ACAO"]</t>
        </is>
      </c>
    </row>
    <row r="977">
      <c r="A977" s="10" t="inlineStr">
        <is>
          <t>D19-DOC-PAC-001.DESTINATION.URL</t>
        </is>
      </c>
      <c r="B977" s="10" t="inlineStr">
        <is>
          <t>D19-DOC-PAC-001</t>
        </is>
      </c>
      <c r="C977" s="10" t="inlineStr">
        <is>
          <t>D19-DOC-PAC-001-T08</t>
        </is>
      </c>
      <c r="D977" s="10" t="inlineStr">
        <is>
          <t>url</t>
        </is>
      </c>
      <c r="E977" s="10" t="inlineStr">
        <is>
          <t>Definir, validar e manter: Url</t>
        </is>
      </c>
      <c r="F977" s="10" t="n"/>
      <c r="G977" s="10" t="b">
        <v>1</v>
      </c>
      <c r="H977" s="10" t="b">
        <v>1</v>
      </c>
      <c r="I977" s="10" t="inlineStr">
        <is>
          <t>DERIVED</t>
        </is>
      </c>
      <c r="J977" s="10" t="inlineStr">
        <is>
          <t>PROPOSED</t>
        </is>
      </c>
      <c r="K977" s="10" t="inlineStr">
        <is>
          <t>DERIVED</t>
        </is>
      </c>
      <c r="L977" s="10" t="inlineStr">
        <is>
          <t>baixa</t>
        </is>
      </c>
      <c r="M977" s="10" t="inlineStr">
        <is>
          <t>["D19-DOC-PAC-001.DESTINATION.URL"]</t>
        </is>
      </c>
    </row>
    <row r="978">
      <c r="A978" s="10" t="inlineStr">
        <is>
          <t>D19-DOC-PAC-001.DESTINATION.DEEP_LINK</t>
        </is>
      </c>
      <c r="B978" s="10" t="inlineStr">
        <is>
          <t>D19-DOC-PAC-001</t>
        </is>
      </c>
      <c r="C978" s="10" t="inlineStr">
        <is>
          <t>D19-DOC-PAC-001-T08</t>
        </is>
      </c>
      <c r="D978" s="10" t="inlineStr">
        <is>
          <t>deep_link</t>
        </is>
      </c>
      <c r="E978" s="10" t="inlineStr">
        <is>
          <t>Definir, validar e manter: Deep Link</t>
        </is>
      </c>
      <c r="F978" s="10" t="n"/>
      <c r="G978" s="10" t="b">
        <v>1</v>
      </c>
      <c r="H978" s="10" t="b">
        <v>1</v>
      </c>
      <c r="I978" s="10" t="inlineStr">
        <is>
          <t>DERIVED</t>
        </is>
      </c>
      <c r="J978" s="10" t="inlineStr">
        <is>
          <t>PROPOSED</t>
        </is>
      </c>
      <c r="K978" s="10" t="inlineStr">
        <is>
          <t>DERIVED</t>
        </is>
      </c>
      <c r="L978" s="10" t="inlineStr">
        <is>
          <t>baixa</t>
        </is>
      </c>
      <c r="M978" s="10" t="inlineStr">
        <is>
          <t>["D19-DOC-PAC-001.DESTINATION.DEEP_LINK"]</t>
        </is>
      </c>
    </row>
    <row r="979">
      <c r="A979" s="10" t="inlineStr">
        <is>
          <t>D19-DOC-PAC-001.DESTINATION.FORMULARIO</t>
        </is>
      </c>
      <c r="B979" s="10" t="inlineStr">
        <is>
          <t>D19-DOC-PAC-001</t>
        </is>
      </c>
      <c r="C979" s="10" t="inlineStr">
        <is>
          <t>D19-DOC-PAC-001-T08</t>
        </is>
      </c>
      <c r="D979" s="10" t="inlineStr">
        <is>
          <t>formulario</t>
        </is>
      </c>
      <c r="E979" s="10" t="inlineStr">
        <is>
          <t>Definir, validar e manter: Formulario</t>
        </is>
      </c>
      <c r="F979" s="10" t="n"/>
      <c r="G979" s="10" t="b">
        <v>1</v>
      </c>
      <c r="H979" s="10" t="b">
        <v>1</v>
      </c>
      <c r="I979" s="10" t="inlineStr">
        <is>
          <t>DERIVED</t>
        </is>
      </c>
      <c r="J979" s="10" t="inlineStr">
        <is>
          <t>PROPOSED</t>
        </is>
      </c>
      <c r="K979" s="10" t="inlineStr">
        <is>
          <t>DERIVED</t>
        </is>
      </c>
      <c r="L979" s="10" t="inlineStr">
        <is>
          <t>baixa</t>
        </is>
      </c>
      <c r="M979" s="10" t="inlineStr">
        <is>
          <t>["D19-DOC-PAC-001.DESTINATION.FORMULARIO"]</t>
        </is>
      </c>
    </row>
    <row r="980">
      <c r="A980" s="10" t="inlineStr">
        <is>
          <t>D19-DOC-PAC-001.PLACEMENT.PAGINA</t>
        </is>
      </c>
      <c r="B980" s="10" t="inlineStr">
        <is>
          <t>D19-DOC-PAC-001</t>
        </is>
      </c>
      <c r="C980" s="10" t="inlineStr">
        <is>
          <t>D19-DOC-PAC-001-T09</t>
        </is>
      </c>
      <c r="D980" s="10" t="inlineStr">
        <is>
          <t>pagina</t>
        </is>
      </c>
      <c r="E980" s="10" t="inlineStr">
        <is>
          <t>Definir, validar e manter: Pagina</t>
        </is>
      </c>
      <c r="F980" s="10" t="n"/>
      <c r="G980" s="10" t="b">
        <v>1</v>
      </c>
      <c r="H980" s="10" t="b">
        <v>1</v>
      </c>
      <c r="I980" s="10" t="inlineStr">
        <is>
          <t>DERIVED</t>
        </is>
      </c>
      <c r="J980" s="10" t="inlineStr">
        <is>
          <t>PROPOSED</t>
        </is>
      </c>
      <c r="K980" s="10" t="inlineStr">
        <is>
          <t>DERIVED</t>
        </is>
      </c>
      <c r="L980" s="10" t="inlineStr">
        <is>
          <t>baixa</t>
        </is>
      </c>
      <c r="M980" s="10" t="inlineStr">
        <is>
          <t>["D19-DOC-PAC-001.PLACEMENT.PAGINA"]</t>
        </is>
      </c>
    </row>
    <row r="981">
      <c r="A981" s="10" t="inlineStr">
        <is>
          <t>D19-DOC-PAC-001.PLACEMENT.COMPONENTE</t>
        </is>
      </c>
      <c r="B981" s="10" t="inlineStr">
        <is>
          <t>D19-DOC-PAC-001</t>
        </is>
      </c>
      <c r="C981" s="10" t="inlineStr">
        <is>
          <t>D19-DOC-PAC-001-T09</t>
        </is>
      </c>
      <c r="D981" s="10" t="inlineStr">
        <is>
          <t>componente</t>
        </is>
      </c>
      <c r="E981" s="10" t="inlineStr">
        <is>
          <t>Definir, validar e manter: Componente</t>
        </is>
      </c>
      <c r="F981" s="10" t="n"/>
      <c r="G981" s="10" t="b">
        <v>1</v>
      </c>
      <c r="H981" s="10" t="b">
        <v>1</v>
      </c>
      <c r="I981" s="10" t="inlineStr">
        <is>
          <t>DERIVED</t>
        </is>
      </c>
      <c r="J981" s="10" t="inlineStr">
        <is>
          <t>PROPOSED</t>
        </is>
      </c>
      <c r="K981" s="10" t="inlineStr">
        <is>
          <t>DERIVED</t>
        </is>
      </c>
      <c r="L981" s="10" t="inlineStr">
        <is>
          <t>baixa</t>
        </is>
      </c>
      <c r="M981" s="10" t="inlineStr">
        <is>
          <t>["D19-DOC-PAC-001.PLACEMENT.COMPONENTE"]</t>
        </is>
      </c>
    </row>
    <row r="982">
      <c r="A982" s="10" t="inlineStr">
        <is>
          <t>D19-DOC-PAC-001.PLACEMENT.CANAL</t>
        </is>
      </c>
      <c r="B982" s="10" t="inlineStr">
        <is>
          <t>D19-DOC-PAC-001</t>
        </is>
      </c>
      <c r="C982" s="10" t="inlineStr">
        <is>
          <t>D19-DOC-PAC-001-T09</t>
        </is>
      </c>
      <c r="D982" s="10" t="inlineStr">
        <is>
          <t>canal</t>
        </is>
      </c>
      <c r="E982" s="10" t="inlineStr">
        <is>
          <t>Definir, validar e manter: Canal</t>
        </is>
      </c>
      <c r="F982" s="10" t="n"/>
      <c r="G982" s="10" t="b">
        <v>1</v>
      </c>
      <c r="H982" s="10" t="b">
        <v>1</v>
      </c>
      <c r="I982" s="10" t="inlineStr">
        <is>
          <t>DERIVED</t>
        </is>
      </c>
      <c r="J982" s="10" t="inlineStr">
        <is>
          <t>PROPOSED</t>
        </is>
      </c>
      <c r="K982" s="10" t="inlineStr">
        <is>
          <t>DERIVED</t>
        </is>
      </c>
      <c r="L982" s="10" t="inlineStr">
        <is>
          <t>baixa</t>
        </is>
      </c>
      <c r="M982" s="10" t="inlineStr">
        <is>
          <t>["D19-DOC-PAC-001.PLACEMENT.CANAL"]</t>
        </is>
      </c>
    </row>
    <row r="983">
      <c r="A983" s="10" t="inlineStr">
        <is>
          <t>D19-DOC-PAC-001.TRACKING.UTM</t>
        </is>
      </c>
      <c r="B983" s="10" t="inlineStr">
        <is>
          <t>D19-DOC-PAC-001</t>
        </is>
      </c>
      <c r="C983" s="10" t="inlineStr">
        <is>
          <t>D19-DOC-PAC-001-T10</t>
        </is>
      </c>
      <c r="D983" s="10" t="inlineStr">
        <is>
          <t>utm</t>
        </is>
      </c>
      <c r="E983" s="10" t="inlineStr">
        <is>
          <t>Definir, validar e manter: Utm</t>
        </is>
      </c>
      <c r="F983" s="10" t="n"/>
      <c r="G983" s="10" t="b">
        <v>1</v>
      </c>
      <c r="H983" s="10" t="b">
        <v>1</v>
      </c>
      <c r="I983" s="10" t="inlineStr">
        <is>
          <t>DERIVED</t>
        </is>
      </c>
      <c r="J983" s="10" t="inlineStr">
        <is>
          <t>PROPOSED</t>
        </is>
      </c>
      <c r="K983" s="10" t="inlineStr">
        <is>
          <t>DERIVED</t>
        </is>
      </c>
      <c r="L983" s="10" t="inlineStr">
        <is>
          <t>baixa</t>
        </is>
      </c>
      <c r="M983" s="10" t="inlineStr">
        <is>
          <t>["D19-DOC-PAC-001.TRACKING.UTM"]</t>
        </is>
      </c>
    </row>
    <row r="984">
      <c r="A984" s="10" t="inlineStr">
        <is>
          <t>D19-DOC-PAC-001.TRACKING.EVENTO</t>
        </is>
      </c>
      <c r="B984" s="10" t="inlineStr">
        <is>
          <t>D19-DOC-PAC-001</t>
        </is>
      </c>
      <c r="C984" s="10" t="inlineStr">
        <is>
          <t>D19-DOC-PAC-001-T10</t>
        </is>
      </c>
      <c r="D984" s="10" t="inlineStr">
        <is>
          <t>evento</t>
        </is>
      </c>
      <c r="E984" s="10" t="inlineStr">
        <is>
          <t>Definir, validar e manter: Evento</t>
        </is>
      </c>
      <c r="F984" s="10" t="n"/>
      <c r="G984" s="10" t="b">
        <v>1</v>
      </c>
      <c r="H984" s="10" t="b">
        <v>1</v>
      </c>
      <c r="I984" s="10" t="inlineStr">
        <is>
          <t>DERIVED</t>
        </is>
      </c>
      <c r="J984" s="10" t="inlineStr">
        <is>
          <t>PROPOSED</t>
        </is>
      </c>
      <c r="K984" s="10" t="inlineStr">
        <is>
          <t>DERIVED</t>
        </is>
      </c>
      <c r="L984" s="10" t="inlineStr">
        <is>
          <t>baixa</t>
        </is>
      </c>
      <c r="M984" s="10" t="inlineStr">
        <is>
          <t>["D19-DOC-PAC-001.TRACKING.EVENTO"]</t>
        </is>
      </c>
    </row>
    <row r="985">
      <c r="A985" s="10" t="inlineStr">
        <is>
          <t>D19-DOC-PAC-001.TRACKING.CAMPANHA</t>
        </is>
      </c>
      <c r="B985" s="10" t="inlineStr">
        <is>
          <t>D19-DOC-PAC-001</t>
        </is>
      </c>
      <c r="C985" s="10" t="inlineStr">
        <is>
          <t>D19-DOC-PAC-001-T10</t>
        </is>
      </c>
      <c r="D985" s="10" t="inlineStr">
        <is>
          <t>campanha</t>
        </is>
      </c>
      <c r="E985" s="10" t="inlineStr">
        <is>
          <t>Definir, validar e manter: Campanha</t>
        </is>
      </c>
      <c r="F985" s="10" t="n"/>
      <c r="G985" s="10" t="b">
        <v>1</v>
      </c>
      <c r="H985" s="10" t="b">
        <v>1</v>
      </c>
      <c r="I985" s="10" t="inlineStr">
        <is>
          <t>DERIVED</t>
        </is>
      </c>
      <c r="J985" s="10" t="inlineStr">
        <is>
          <t>PROPOSED</t>
        </is>
      </c>
      <c r="K985" s="10" t="inlineStr">
        <is>
          <t>DERIVED</t>
        </is>
      </c>
      <c r="L985" s="10" t="inlineStr">
        <is>
          <t>baixa</t>
        </is>
      </c>
      <c r="M985" s="10" t="inlineStr">
        <is>
          <t>["D19-DOC-PAC-001.TRACKING.CAMPANHA"]</t>
        </is>
      </c>
    </row>
    <row r="986">
      <c r="A986" s="10" t="inlineStr">
        <is>
          <t>D19-DOC-PAC-001.ACCESSIBILITY.ALT_TEXT</t>
        </is>
      </c>
      <c r="B986" s="10" t="inlineStr">
        <is>
          <t>D19-DOC-PAC-001</t>
        </is>
      </c>
      <c r="C986" s="10" t="inlineStr">
        <is>
          <t>D19-DOC-PAC-001-T11</t>
        </is>
      </c>
      <c r="D986" s="10" t="inlineStr">
        <is>
          <t>alt_text</t>
        </is>
      </c>
      <c r="E986" s="10" t="inlineStr">
        <is>
          <t>Definir, validar e manter: Alt Text</t>
        </is>
      </c>
      <c r="F986" s="10" t="n"/>
      <c r="G986" s="10" t="b">
        <v>1</v>
      </c>
      <c r="H986" s="10" t="b">
        <v>1</v>
      </c>
      <c r="I986" s="10" t="inlineStr">
        <is>
          <t>DERIVED</t>
        </is>
      </c>
      <c r="J986" s="10" t="inlineStr">
        <is>
          <t>PROPOSED</t>
        </is>
      </c>
      <c r="K986" s="10" t="inlineStr">
        <is>
          <t>DERIVED</t>
        </is>
      </c>
      <c r="L986" s="10" t="inlineStr">
        <is>
          <t>baixa</t>
        </is>
      </c>
      <c r="M986" s="10" t="inlineStr">
        <is>
          <t>["D19-DOC-PAC-001.ACCESSIBILITY.ALT_TEXT"]</t>
        </is>
      </c>
    </row>
    <row r="987">
      <c r="A987" s="10" t="inlineStr">
        <is>
          <t>D19-DOC-PAC-001.ACCESSIBILITY.LEGIBILIDADE</t>
        </is>
      </c>
      <c r="B987" s="10" t="inlineStr">
        <is>
          <t>D19-DOC-PAC-001</t>
        </is>
      </c>
      <c r="C987" s="10" t="inlineStr">
        <is>
          <t>D19-DOC-PAC-001-T11</t>
        </is>
      </c>
      <c r="D987" s="10" t="inlineStr">
        <is>
          <t>legibilidade</t>
        </is>
      </c>
      <c r="E987" s="10" t="inlineStr">
        <is>
          <t>Definir, validar e manter: Legibilidade</t>
        </is>
      </c>
      <c r="F987" s="10" t="n"/>
      <c r="G987" s="10" t="b">
        <v>1</v>
      </c>
      <c r="H987" s="10" t="b">
        <v>1</v>
      </c>
      <c r="I987" s="10" t="inlineStr">
        <is>
          <t>DERIVED</t>
        </is>
      </c>
      <c r="J987" s="10" t="inlineStr">
        <is>
          <t>PROPOSED</t>
        </is>
      </c>
      <c r="K987" s="10" t="inlineStr">
        <is>
          <t>DERIVED</t>
        </is>
      </c>
      <c r="L987" s="10" t="inlineStr">
        <is>
          <t>baixa</t>
        </is>
      </c>
      <c r="M987" s="10" t="inlineStr">
        <is>
          <t>["D19-DOC-PAC-001.ACCESSIBILITY.LEGIBILIDADE"]</t>
        </is>
      </c>
    </row>
    <row r="988">
      <c r="A988" s="10" t="inlineStr">
        <is>
          <t>D19-DOC-PAC-001.OWNERSHIP.OWNER</t>
        </is>
      </c>
      <c r="B988" s="10" t="inlineStr">
        <is>
          <t>D19-DOC-PAC-001</t>
        </is>
      </c>
      <c r="C988" s="10" t="inlineStr">
        <is>
          <t>D19-DOC-PAC-001-T12</t>
        </is>
      </c>
      <c r="D988" s="10" t="inlineStr">
        <is>
          <t>owner</t>
        </is>
      </c>
      <c r="E988" s="10" t="inlineStr">
        <is>
          <t>Definir, validar e manter: Owner</t>
        </is>
      </c>
      <c r="F988" s="10" t="n"/>
      <c r="G988" s="10" t="b">
        <v>1</v>
      </c>
      <c r="H988" s="10" t="b">
        <v>1</v>
      </c>
      <c r="I988" s="10" t="inlineStr">
        <is>
          <t>DERIVED</t>
        </is>
      </c>
      <c r="J988" s="10" t="inlineStr">
        <is>
          <t>PROPOSED</t>
        </is>
      </c>
      <c r="K988" s="10" t="inlineStr">
        <is>
          <t>DERIVED</t>
        </is>
      </c>
      <c r="L988" s="10" t="inlineStr">
        <is>
          <t>baixa</t>
        </is>
      </c>
      <c r="M988" s="10" t="inlineStr">
        <is>
          <t>["D19-DOC-PAC-001.OWNERSHIP.OWNER"]</t>
        </is>
      </c>
    </row>
    <row r="989">
      <c r="A989" s="10" t="inlineStr">
        <is>
          <t>D19-DOC-PAC-001.OWNERSHIP.APROVADOR</t>
        </is>
      </c>
      <c r="B989" s="10" t="inlineStr">
        <is>
          <t>D19-DOC-PAC-001</t>
        </is>
      </c>
      <c r="C989" s="10" t="inlineStr">
        <is>
          <t>D19-DOC-PAC-001-T12</t>
        </is>
      </c>
      <c r="D989" s="10" t="inlineStr">
        <is>
          <t>aprovador</t>
        </is>
      </c>
      <c r="E989" s="10" t="inlineStr">
        <is>
          <t>Definir, validar e manter: Aprovador</t>
        </is>
      </c>
      <c r="F989" s="10" t="n"/>
      <c r="G989" s="10" t="b">
        <v>1</v>
      </c>
      <c r="H989" s="10" t="b">
        <v>1</v>
      </c>
      <c r="I989" s="10" t="inlineStr">
        <is>
          <t>EXTERNAL</t>
        </is>
      </c>
      <c r="J989" s="10" t="inlineStr">
        <is>
          <t>EXTERNAL_EVIDENCE</t>
        </is>
      </c>
      <c r="K989" s="10" t="inlineStr">
        <is>
          <t>EXTERNAL</t>
        </is>
      </c>
      <c r="L989" s="10" t="inlineStr">
        <is>
          <t>media</t>
        </is>
      </c>
      <c r="M989" s="10" t="inlineStr">
        <is>
          <t>["D19-DOC-PAC-001.OWNERSHIP.APROVADOR"]</t>
        </is>
      </c>
    </row>
    <row r="990">
      <c r="A990" s="10" t="inlineStr">
        <is>
          <t>D19-DOC-PAC-001.STATUS.DRAFT</t>
        </is>
      </c>
      <c r="B990" s="10" t="inlineStr">
        <is>
          <t>D19-DOC-PAC-001</t>
        </is>
      </c>
      <c r="C990" s="10" t="inlineStr">
        <is>
          <t>D19-DOC-PAC-001-T13</t>
        </is>
      </c>
      <c r="D990" s="10" t="inlineStr">
        <is>
          <t>draft</t>
        </is>
      </c>
      <c r="E990" s="10" t="inlineStr">
        <is>
          <t>Definir, validar e manter: Draft</t>
        </is>
      </c>
      <c r="F990" s="10" t="n"/>
      <c r="G990" s="10" t="b">
        <v>1</v>
      </c>
      <c r="H990" s="10" t="b">
        <v>1</v>
      </c>
      <c r="I990" s="10" t="inlineStr">
        <is>
          <t>DERIVED</t>
        </is>
      </c>
      <c r="J990" s="10" t="inlineStr">
        <is>
          <t>PROPOSED</t>
        </is>
      </c>
      <c r="K990" s="10" t="inlineStr">
        <is>
          <t>DERIVED</t>
        </is>
      </c>
      <c r="L990" s="10" t="inlineStr">
        <is>
          <t>baixa</t>
        </is>
      </c>
      <c r="M990" s="10" t="inlineStr">
        <is>
          <t>["D19-DOC-PAC-001.STATUS.DRAFT"]</t>
        </is>
      </c>
    </row>
    <row r="991">
      <c r="A991" s="10" t="inlineStr">
        <is>
          <t>D19-DOC-PAC-001.STATUS.APROVADO</t>
        </is>
      </c>
      <c r="B991" s="10" t="inlineStr">
        <is>
          <t>D19-DOC-PAC-001</t>
        </is>
      </c>
      <c r="C991" s="10" t="inlineStr">
        <is>
          <t>D19-DOC-PAC-001-T13</t>
        </is>
      </c>
      <c r="D991" s="10" t="inlineStr">
        <is>
          <t>aprovado</t>
        </is>
      </c>
      <c r="E991" s="10" t="inlineStr">
        <is>
          <t>Definir, validar e manter: Aprovado</t>
        </is>
      </c>
      <c r="F991" s="10" t="n"/>
      <c r="G991" s="10" t="b">
        <v>1</v>
      </c>
      <c r="H991" s="10" t="b">
        <v>1</v>
      </c>
      <c r="I991" s="10" t="inlineStr">
        <is>
          <t>DERIVED</t>
        </is>
      </c>
      <c r="J991" s="10" t="inlineStr">
        <is>
          <t>PROPOSED</t>
        </is>
      </c>
      <c r="K991" s="10" t="inlineStr">
        <is>
          <t>DERIVED</t>
        </is>
      </c>
      <c r="L991" s="10" t="inlineStr">
        <is>
          <t>baixa</t>
        </is>
      </c>
      <c r="M991" s="10" t="inlineStr">
        <is>
          <t>["D19-DOC-PAC-001.STATUS.APROVADO"]</t>
        </is>
      </c>
    </row>
    <row r="992">
      <c r="A992" s="10" t="inlineStr">
        <is>
          <t>D19-DOC-PAC-001.STATUS.PUBLICADO</t>
        </is>
      </c>
      <c r="B992" s="10" t="inlineStr">
        <is>
          <t>D19-DOC-PAC-001</t>
        </is>
      </c>
      <c r="C992" s="10" t="inlineStr">
        <is>
          <t>D19-DOC-PAC-001-T13</t>
        </is>
      </c>
      <c r="D992" s="10" t="inlineStr">
        <is>
          <t>publicado</t>
        </is>
      </c>
      <c r="E992" s="10" t="inlineStr">
        <is>
          <t>Definir, validar e manter: Publicado</t>
        </is>
      </c>
      <c r="F992" s="10" t="n"/>
      <c r="G992" s="10" t="b">
        <v>1</v>
      </c>
      <c r="H992" s="10" t="b">
        <v>1</v>
      </c>
      <c r="I992" s="10" t="inlineStr">
        <is>
          <t>DERIVED</t>
        </is>
      </c>
      <c r="J992" s="10" t="inlineStr">
        <is>
          <t>PROPOSED</t>
        </is>
      </c>
      <c r="K992" s="10" t="inlineStr">
        <is>
          <t>DERIVED</t>
        </is>
      </c>
      <c r="L992" s="10" t="inlineStr">
        <is>
          <t>baixa</t>
        </is>
      </c>
      <c r="M992" s="10" t="inlineStr">
        <is>
          <t>["D19-DOC-PAC-001.STATUS.PUBLICADO"]</t>
        </is>
      </c>
    </row>
    <row r="993">
      <c r="A993" s="10" t="inlineStr">
        <is>
          <t>D19-DOC-PAC-001.REUSE.ATIVO_FONTE</t>
        </is>
      </c>
      <c r="B993" s="10" t="inlineStr">
        <is>
          <t>D19-DOC-PAC-001</t>
        </is>
      </c>
      <c r="C993" s="10" t="inlineStr">
        <is>
          <t>D19-DOC-PAC-001-T14</t>
        </is>
      </c>
      <c r="D993" s="10" t="inlineStr">
        <is>
          <t>ativo_fonte</t>
        </is>
      </c>
      <c r="E993" s="10" t="inlineStr">
        <is>
          <t>Definir, validar e manter: Ativo Fonte</t>
        </is>
      </c>
      <c r="F993" s="10" t="n"/>
      <c r="G993" s="10" t="b">
        <v>1</v>
      </c>
      <c r="H993" s="10" t="b">
        <v>1</v>
      </c>
      <c r="I993" s="10" t="inlineStr">
        <is>
          <t>DERIVED</t>
        </is>
      </c>
      <c r="J993" s="10" t="inlineStr">
        <is>
          <t>PROPOSED</t>
        </is>
      </c>
      <c r="K993" s="10" t="inlineStr">
        <is>
          <t>DERIVED</t>
        </is>
      </c>
      <c r="L993" s="10" t="inlineStr">
        <is>
          <t>baixa</t>
        </is>
      </c>
      <c r="M993" s="10" t="inlineStr">
        <is>
          <t>["D19-DOC-PAC-001.REUSE.ATIVO_FONTE"]</t>
        </is>
      </c>
    </row>
    <row r="994">
      <c r="A994" s="10" t="inlineStr">
        <is>
          <t>D19-DOC-PAC-001.REUSE.DERIVADOS</t>
        </is>
      </c>
      <c r="B994" s="10" t="inlineStr">
        <is>
          <t>D19-DOC-PAC-001</t>
        </is>
      </c>
      <c r="C994" s="10" t="inlineStr">
        <is>
          <t>D19-DOC-PAC-001-T14</t>
        </is>
      </c>
      <c r="D994" s="10" t="inlineStr">
        <is>
          <t>derivados</t>
        </is>
      </c>
      <c r="E994" s="10" t="inlineStr">
        <is>
          <t>Definir, validar e manter: Derivados</t>
        </is>
      </c>
      <c r="F994" s="10" t="n"/>
      <c r="G994" s="10" t="b">
        <v>1</v>
      </c>
      <c r="H994" s="10" t="b">
        <v>1</v>
      </c>
      <c r="I994" s="10" t="inlineStr">
        <is>
          <t>DERIVED</t>
        </is>
      </c>
      <c r="J994" s="10" t="inlineStr">
        <is>
          <t>PROPOSED</t>
        </is>
      </c>
      <c r="K994" s="10" t="inlineStr">
        <is>
          <t>DERIVED</t>
        </is>
      </c>
      <c r="L994" s="10" t="inlineStr">
        <is>
          <t>baixa</t>
        </is>
      </c>
      <c r="M994" s="10" t="inlineStr">
        <is>
          <t>["D19-DOC-PAC-001.REUSE.DERIVADOS"]</t>
        </is>
      </c>
    </row>
    <row r="995">
      <c r="A995" s="10" t="inlineStr">
        <is>
          <t>D20-DOC-PPR-001.SYSTEMS.PLATAFORMA</t>
        </is>
      </c>
      <c r="B995" s="10" t="inlineStr">
        <is>
          <t>D20-DOC-PPR-001</t>
        </is>
      </c>
      <c r="C995" s="10" t="inlineStr">
        <is>
          <t>D20-DOC-PPR-001-T01</t>
        </is>
      </c>
      <c r="D995" s="10" t="inlineStr">
        <is>
          <t>plataforma</t>
        </is>
      </c>
      <c r="E995" s="10" t="inlineStr">
        <is>
          <t>Definir, validar e manter: Plataforma</t>
        </is>
      </c>
      <c r="F995" s="10" t="n"/>
      <c r="G995" s="10" t="b">
        <v>1</v>
      </c>
      <c r="H995" s="10" t="b">
        <v>1</v>
      </c>
      <c r="I995" s="10" t="inlineStr">
        <is>
          <t>FOUND</t>
        </is>
      </c>
      <c r="J995" s="10" t="inlineStr">
        <is>
          <t>DIRECT</t>
        </is>
      </c>
      <c r="K995" s="10" t="inlineStr">
        <is>
          <t>FOUND</t>
        </is>
      </c>
      <c r="L995" s="10" t="inlineStr">
        <is>
          <t>alta</t>
        </is>
      </c>
      <c r="M995" s="10" t="inlineStr">
        <is>
          <t>["D20-DOC-PPR-001.SYSTEMS.PLATAFORMA"]</t>
        </is>
      </c>
    </row>
    <row r="996">
      <c r="A996" s="10" t="inlineStr">
        <is>
          <t>D20-DOC-PPR-001.SYSTEMS.FINALIDADE</t>
        </is>
      </c>
      <c r="B996" s="10" t="inlineStr">
        <is>
          <t>D20-DOC-PPR-001</t>
        </is>
      </c>
      <c r="C996" s="10" t="inlineStr">
        <is>
          <t>D20-DOC-PPR-001-T01</t>
        </is>
      </c>
      <c r="D996" s="10" t="inlineStr">
        <is>
          <t>finalidade</t>
        </is>
      </c>
      <c r="E996" s="10" t="inlineStr">
        <is>
          <t>Definir, validar e manter: Finalidade</t>
        </is>
      </c>
      <c r="F996" s="10" t="n"/>
      <c r="G996" s="10" t="b">
        <v>1</v>
      </c>
      <c r="H996" s="10" t="b">
        <v>1</v>
      </c>
      <c r="I996" s="10" t="inlineStr">
        <is>
          <t>DERIVED</t>
        </is>
      </c>
      <c r="J996" s="10" t="inlineStr">
        <is>
          <t>PROPOSED</t>
        </is>
      </c>
      <c r="K996" s="10" t="inlineStr">
        <is>
          <t>DERIVED</t>
        </is>
      </c>
      <c r="L996" s="10" t="inlineStr">
        <is>
          <t>baixa</t>
        </is>
      </c>
      <c r="M996" s="10" t="inlineStr">
        <is>
          <t>["D20-DOC-PPR-001.SYSTEMS.FINALIDADE"]</t>
        </is>
      </c>
    </row>
    <row r="997">
      <c r="A997" s="10" t="inlineStr">
        <is>
          <t>D20-DOC-PPR-001.ACCOUNTS.CONTA</t>
        </is>
      </c>
      <c r="B997" s="10" t="inlineStr">
        <is>
          <t>D20-DOC-PPR-001</t>
        </is>
      </c>
      <c r="C997" s="10" t="inlineStr">
        <is>
          <t>D20-DOC-PPR-001-T02</t>
        </is>
      </c>
      <c r="D997" s="10" t="inlineStr">
        <is>
          <t>conta</t>
        </is>
      </c>
      <c r="E997" s="10" t="inlineStr">
        <is>
          <t>Definir, validar e manter: Conta</t>
        </is>
      </c>
      <c r="F997" s="10" t="n"/>
      <c r="G997" s="10" t="b">
        <v>1</v>
      </c>
      <c r="H997" s="10" t="b">
        <v>1</v>
      </c>
      <c r="I997" s="10" t="inlineStr">
        <is>
          <t>DERIVED</t>
        </is>
      </c>
      <c r="J997" s="10" t="inlineStr">
        <is>
          <t>PROPOSED</t>
        </is>
      </c>
      <c r="K997" s="10" t="inlineStr">
        <is>
          <t>DERIVED</t>
        </is>
      </c>
      <c r="L997" s="10" t="inlineStr">
        <is>
          <t>baixa</t>
        </is>
      </c>
      <c r="M997" s="10" t="inlineStr">
        <is>
          <t>["D20-DOC-PPR-001.ACCOUNTS.CONTA"]</t>
        </is>
      </c>
    </row>
    <row r="998">
      <c r="A998" s="10" t="inlineStr">
        <is>
          <t>D20-DOC-PPR-001.ACCOUNTS.ORGANIZACAO</t>
        </is>
      </c>
      <c r="B998" s="10" t="inlineStr">
        <is>
          <t>D20-DOC-PPR-001</t>
        </is>
      </c>
      <c r="C998" s="10" t="inlineStr">
        <is>
          <t>D20-DOC-PPR-001-T02</t>
        </is>
      </c>
      <c r="D998" s="10" t="inlineStr">
        <is>
          <t>organizacao</t>
        </is>
      </c>
      <c r="E998" s="10" t="inlineStr">
        <is>
          <t>Definir, validar e manter: Organizacao</t>
        </is>
      </c>
      <c r="F998" s="10" t="n"/>
      <c r="G998" s="10" t="b">
        <v>1</v>
      </c>
      <c r="H998" s="10" t="b">
        <v>1</v>
      </c>
      <c r="I998" s="10" t="inlineStr">
        <is>
          <t>DERIVED</t>
        </is>
      </c>
      <c r="J998" s="10" t="inlineStr">
        <is>
          <t>PROPOSED</t>
        </is>
      </c>
      <c r="K998" s="10" t="inlineStr">
        <is>
          <t>DERIVED</t>
        </is>
      </c>
      <c r="L998" s="10" t="inlineStr">
        <is>
          <t>baixa</t>
        </is>
      </c>
      <c r="M998" s="10" t="inlineStr">
        <is>
          <t>["D20-DOC-PPR-001.ACCOUNTS.ORGANIZACAO"]</t>
        </is>
      </c>
    </row>
    <row r="999">
      <c r="A999" s="10" t="inlineStr">
        <is>
          <t>D20-DOC-PPR-001.REPOSITORIES.REPO</t>
        </is>
      </c>
      <c r="B999" s="10" t="inlineStr">
        <is>
          <t>D20-DOC-PPR-001</t>
        </is>
      </c>
      <c r="C999" s="10" t="inlineStr">
        <is>
          <t>D20-DOC-PPR-001-T03</t>
        </is>
      </c>
      <c r="D999" s="10" t="inlineStr">
        <is>
          <t>repo</t>
        </is>
      </c>
      <c r="E999" s="10" t="inlineStr">
        <is>
          <t>Definir, validar e manter: Repo</t>
        </is>
      </c>
      <c r="F999" s="10" t="n"/>
      <c r="G999" s="10" t="b">
        <v>1</v>
      </c>
      <c r="H999" s="10" t="b">
        <v>1</v>
      </c>
      <c r="I999" s="10" t="inlineStr">
        <is>
          <t>DERIVED</t>
        </is>
      </c>
      <c r="J999" s="10" t="inlineStr">
        <is>
          <t>PROPOSED</t>
        </is>
      </c>
      <c r="K999" s="10" t="inlineStr">
        <is>
          <t>DERIVED</t>
        </is>
      </c>
      <c r="L999" s="10" t="inlineStr">
        <is>
          <t>baixa</t>
        </is>
      </c>
      <c r="M999" s="10" t="inlineStr">
        <is>
          <t>["D20-DOC-PPR-001.REPOSITORIES.REPO"]</t>
        </is>
      </c>
    </row>
    <row r="1000">
      <c r="A1000" s="10" t="inlineStr">
        <is>
          <t>D20-DOC-PPR-001.REPOSITORIES.OWNER</t>
        </is>
      </c>
      <c r="B1000" s="10" t="inlineStr">
        <is>
          <t>D20-DOC-PPR-001</t>
        </is>
      </c>
      <c r="C1000" s="10" t="inlineStr">
        <is>
          <t>D20-DOC-PPR-001-T03</t>
        </is>
      </c>
      <c r="D1000" s="10" t="inlineStr">
        <is>
          <t>owner</t>
        </is>
      </c>
      <c r="E1000" s="10" t="inlineStr">
        <is>
          <t>Definir, validar e manter: Owner</t>
        </is>
      </c>
      <c r="F1000" s="10" t="n"/>
      <c r="G1000" s="10" t="b">
        <v>1</v>
      </c>
      <c r="H1000" s="10" t="b">
        <v>1</v>
      </c>
      <c r="I1000" s="10" t="inlineStr">
        <is>
          <t>DERIVED</t>
        </is>
      </c>
      <c r="J1000" s="10" t="inlineStr">
        <is>
          <t>PROPOSED</t>
        </is>
      </c>
      <c r="K1000" s="10" t="inlineStr">
        <is>
          <t>DERIVED</t>
        </is>
      </c>
      <c r="L1000" s="10" t="inlineStr">
        <is>
          <t>baixa</t>
        </is>
      </c>
      <c r="M1000" s="10" t="inlineStr">
        <is>
          <t>["D20-DOC-PPR-001.REPOSITORIES.OWNER"]</t>
        </is>
      </c>
    </row>
    <row r="1001">
      <c r="A1001" s="10" t="inlineStr">
        <is>
          <t>D20-DOC-PPR-001.REPOSITORIES.FINALIDADE</t>
        </is>
      </c>
      <c r="B1001" s="10" t="inlineStr">
        <is>
          <t>D20-DOC-PPR-001</t>
        </is>
      </c>
      <c r="C1001" s="10" t="inlineStr">
        <is>
          <t>D20-DOC-PPR-001-T03</t>
        </is>
      </c>
      <c r="D1001" s="10" t="inlineStr">
        <is>
          <t>finalidade</t>
        </is>
      </c>
      <c r="E1001" s="10" t="inlineStr">
        <is>
          <t>Definir, validar e manter: Finalidade</t>
        </is>
      </c>
      <c r="F1001" s="10" t="n"/>
      <c r="G1001" s="10" t="b">
        <v>1</v>
      </c>
      <c r="H1001" s="10" t="b">
        <v>1</v>
      </c>
      <c r="I1001" s="10" t="inlineStr">
        <is>
          <t>DERIVED</t>
        </is>
      </c>
      <c r="J1001" s="10" t="inlineStr">
        <is>
          <t>PROPOSED</t>
        </is>
      </c>
      <c r="K1001" s="10" t="inlineStr">
        <is>
          <t>DERIVED</t>
        </is>
      </c>
      <c r="L1001" s="10" t="inlineStr">
        <is>
          <t>baixa</t>
        </is>
      </c>
      <c r="M1001" s="10" t="inlineStr">
        <is>
          <t>["D20-DOC-PPR-001.REPOSITORIES.FINALIDADE"]</t>
        </is>
      </c>
    </row>
    <row r="1002">
      <c r="A1002" s="10" t="inlineStr">
        <is>
          <t>D20-DOC-PPR-001.BRANCHES.BRANCH</t>
        </is>
      </c>
      <c r="B1002" s="10" t="inlineStr">
        <is>
          <t>D20-DOC-PPR-001</t>
        </is>
      </c>
      <c r="C1002" s="10" t="inlineStr">
        <is>
          <t>D20-DOC-PPR-001-T04</t>
        </is>
      </c>
      <c r="D1002" s="10" t="inlineStr">
        <is>
          <t>branch</t>
        </is>
      </c>
      <c r="E1002" s="10" t="inlineStr">
        <is>
          <t>Definir, validar e manter: Branch</t>
        </is>
      </c>
      <c r="F1002" s="10" t="n"/>
      <c r="G1002" s="10" t="b">
        <v>1</v>
      </c>
      <c r="H1002" s="10" t="b">
        <v>1</v>
      </c>
      <c r="I1002" s="10" t="inlineStr">
        <is>
          <t>DERIVED</t>
        </is>
      </c>
      <c r="J1002" s="10" t="inlineStr">
        <is>
          <t>PROPOSED</t>
        </is>
      </c>
      <c r="K1002" s="10" t="inlineStr">
        <is>
          <t>DERIVED</t>
        </is>
      </c>
      <c r="L1002" s="10" t="inlineStr">
        <is>
          <t>baixa</t>
        </is>
      </c>
      <c r="M1002" s="10" t="inlineStr">
        <is>
          <t>["D20-DOC-PPR-001.BRANCHES.BRANCH"]</t>
        </is>
      </c>
    </row>
    <row r="1003">
      <c r="A1003" s="10" t="inlineStr">
        <is>
          <t>D20-DOC-PPR-001.BRANCHES.FUNCAO</t>
        </is>
      </c>
      <c r="B1003" s="10" t="inlineStr">
        <is>
          <t>D20-DOC-PPR-001</t>
        </is>
      </c>
      <c r="C1003" s="10" t="inlineStr">
        <is>
          <t>D20-DOC-PPR-001-T04</t>
        </is>
      </c>
      <c r="D1003" s="10" t="inlineStr">
        <is>
          <t>funcao</t>
        </is>
      </c>
      <c r="E1003" s="10" t="inlineStr">
        <is>
          <t>Definir, validar e manter: Funcao</t>
        </is>
      </c>
      <c r="F1003" s="10" t="n"/>
      <c r="G1003" s="10" t="b">
        <v>1</v>
      </c>
      <c r="H1003" s="10" t="b">
        <v>1</v>
      </c>
      <c r="I1003" s="10" t="inlineStr">
        <is>
          <t>DERIVED</t>
        </is>
      </c>
      <c r="J1003" s="10" t="inlineStr">
        <is>
          <t>PROPOSED</t>
        </is>
      </c>
      <c r="K1003" s="10" t="inlineStr">
        <is>
          <t>DERIVED</t>
        </is>
      </c>
      <c r="L1003" s="10" t="inlineStr">
        <is>
          <t>baixa</t>
        </is>
      </c>
      <c r="M1003" s="10" t="inlineStr">
        <is>
          <t>["D20-DOC-PPR-001.BRANCHES.FUNCAO"]</t>
        </is>
      </c>
    </row>
    <row r="1004">
      <c r="A1004" s="10" t="inlineStr">
        <is>
          <t>D20-DOC-PPR-001.BRANCHES.PROTECAO</t>
        </is>
      </c>
      <c r="B1004" s="10" t="inlineStr">
        <is>
          <t>D20-DOC-PPR-001</t>
        </is>
      </c>
      <c r="C1004" s="10" t="inlineStr">
        <is>
          <t>D20-DOC-PPR-001-T04</t>
        </is>
      </c>
      <c r="D1004" s="10" t="inlineStr">
        <is>
          <t>protecao</t>
        </is>
      </c>
      <c r="E1004" s="10" t="inlineStr">
        <is>
          <t>Definir, validar e manter: Protecao</t>
        </is>
      </c>
      <c r="F1004" s="10" t="n"/>
      <c r="G1004" s="10" t="b">
        <v>1</v>
      </c>
      <c r="H1004" s="10" t="b">
        <v>1</v>
      </c>
      <c r="I1004" s="10" t="inlineStr">
        <is>
          <t>DERIVED</t>
        </is>
      </c>
      <c r="J1004" s="10" t="inlineStr">
        <is>
          <t>PROPOSED</t>
        </is>
      </c>
      <c r="K1004" s="10" t="inlineStr">
        <is>
          <t>DERIVED</t>
        </is>
      </c>
      <c r="L1004" s="10" t="inlineStr">
        <is>
          <t>baixa</t>
        </is>
      </c>
      <c r="M1004" s="10" t="inlineStr">
        <is>
          <t>["D20-DOC-PPR-001.BRANCHES.PROTECAO"]</t>
        </is>
      </c>
    </row>
    <row r="1005">
      <c r="A1005" s="10" t="inlineStr">
        <is>
          <t>D20-DOC-PPR-001.DIRECTORIES.PATH</t>
        </is>
      </c>
      <c r="B1005" s="10" t="inlineStr">
        <is>
          <t>D20-DOC-PPR-001</t>
        </is>
      </c>
      <c r="C1005" s="10" t="inlineStr">
        <is>
          <t>D20-DOC-PPR-001-T05</t>
        </is>
      </c>
      <c r="D1005" s="10" t="inlineStr">
        <is>
          <t>path</t>
        </is>
      </c>
      <c r="E1005" s="10" t="inlineStr">
        <is>
          <t>Definir, validar e manter: Path</t>
        </is>
      </c>
      <c r="F1005" s="10" t="n"/>
      <c r="G1005" s="10" t="b">
        <v>1</v>
      </c>
      <c r="H1005" s="10" t="b">
        <v>1</v>
      </c>
      <c r="I1005" s="10" t="inlineStr">
        <is>
          <t>DERIVED</t>
        </is>
      </c>
      <c r="J1005" s="10" t="inlineStr">
        <is>
          <t>PROPOSED</t>
        </is>
      </c>
      <c r="K1005" s="10" t="inlineStr">
        <is>
          <t>DERIVED</t>
        </is>
      </c>
      <c r="L1005" s="10" t="inlineStr">
        <is>
          <t>baixa</t>
        </is>
      </c>
      <c r="M1005" s="10" t="inlineStr">
        <is>
          <t>["D20-DOC-PPR-001.DIRECTORIES.PATH"]</t>
        </is>
      </c>
    </row>
    <row r="1006">
      <c r="A1006" s="10" t="inlineStr">
        <is>
          <t>D20-DOC-PPR-001.DIRECTORIES.RESPONSABILIDADE</t>
        </is>
      </c>
      <c r="B1006" s="10" t="inlineStr">
        <is>
          <t>D20-DOC-PPR-001</t>
        </is>
      </c>
      <c r="C1006" s="10" t="inlineStr">
        <is>
          <t>D20-DOC-PPR-001-T05</t>
        </is>
      </c>
      <c r="D1006" s="10" t="inlineStr">
        <is>
          <t>responsabilidade</t>
        </is>
      </c>
      <c r="E1006" s="10" t="inlineStr">
        <is>
          <t>Definir, validar e manter: Responsabilidade</t>
        </is>
      </c>
      <c r="F1006" s="10" t="n"/>
      <c r="G1006" s="10" t="b">
        <v>1</v>
      </c>
      <c r="H1006" s="10" t="b">
        <v>1</v>
      </c>
      <c r="I1006" s="10" t="inlineStr">
        <is>
          <t>DERIVED</t>
        </is>
      </c>
      <c r="J1006" s="10" t="inlineStr">
        <is>
          <t>PROPOSED</t>
        </is>
      </c>
      <c r="K1006" s="10" t="inlineStr">
        <is>
          <t>DERIVED</t>
        </is>
      </c>
      <c r="L1006" s="10" t="inlineStr">
        <is>
          <t>baixa</t>
        </is>
      </c>
      <c r="M1006" s="10" t="inlineStr">
        <is>
          <t>["D20-DOC-PPR-001.DIRECTORIES.RESPONSABILIDADE"]</t>
        </is>
      </c>
    </row>
    <row r="1007">
      <c r="A1007" s="10" t="inlineStr">
        <is>
          <t>D20-DOC-PPR-001.ENVIRONMENTS.LOCAL</t>
        </is>
      </c>
      <c r="B1007" s="10" t="inlineStr">
        <is>
          <t>D20-DOC-PPR-001</t>
        </is>
      </c>
      <c r="C1007" s="10" t="inlineStr">
        <is>
          <t>D20-DOC-PPR-001-T06</t>
        </is>
      </c>
      <c r="D1007" s="10" t="inlineStr">
        <is>
          <t>local</t>
        </is>
      </c>
      <c r="E1007" s="10" t="inlineStr">
        <is>
          <t>Definir, validar e manter: Local</t>
        </is>
      </c>
      <c r="F1007" s="10" t="n"/>
      <c r="G1007" s="10" t="b">
        <v>1</v>
      </c>
      <c r="H1007" s="10" t="b">
        <v>1</v>
      </c>
      <c r="I1007" s="10" t="inlineStr">
        <is>
          <t>DERIVED</t>
        </is>
      </c>
      <c r="J1007" s="10" t="inlineStr">
        <is>
          <t>PROPOSED</t>
        </is>
      </c>
      <c r="K1007" s="10" t="inlineStr">
        <is>
          <t>DERIVED</t>
        </is>
      </c>
      <c r="L1007" s="10" t="inlineStr">
        <is>
          <t>baixa</t>
        </is>
      </c>
      <c r="M1007" s="10" t="inlineStr">
        <is>
          <t>["D20-DOC-PPR-001.ENVIRONMENTS.LOCAL"]</t>
        </is>
      </c>
    </row>
    <row r="1008">
      <c r="A1008" s="10" t="inlineStr">
        <is>
          <t>D20-DOC-PPR-001.ENVIRONMENTS.PREVIEW</t>
        </is>
      </c>
      <c r="B1008" s="10" t="inlineStr">
        <is>
          <t>D20-DOC-PPR-001</t>
        </is>
      </c>
      <c r="C1008" s="10" t="inlineStr">
        <is>
          <t>D20-DOC-PPR-001-T06</t>
        </is>
      </c>
      <c r="D1008" s="10" t="inlineStr">
        <is>
          <t>preview</t>
        </is>
      </c>
      <c r="E1008" s="10" t="inlineStr">
        <is>
          <t>Definir, validar e manter: Preview</t>
        </is>
      </c>
      <c r="F1008" s="10" t="n"/>
      <c r="G1008" s="10" t="b">
        <v>1</v>
      </c>
      <c r="H1008" s="10" t="b">
        <v>1</v>
      </c>
      <c r="I1008" s="10" t="inlineStr">
        <is>
          <t>DERIVED</t>
        </is>
      </c>
      <c r="J1008" s="10" t="inlineStr">
        <is>
          <t>PROPOSED</t>
        </is>
      </c>
      <c r="K1008" s="10" t="inlineStr">
        <is>
          <t>DERIVED</t>
        </is>
      </c>
      <c r="L1008" s="10" t="inlineStr">
        <is>
          <t>baixa</t>
        </is>
      </c>
      <c r="M1008" s="10" t="inlineStr">
        <is>
          <t>["D20-DOC-PPR-001.ENVIRONMENTS.PREVIEW"]</t>
        </is>
      </c>
    </row>
    <row r="1009">
      <c r="A1009" s="10" t="inlineStr">
        <is>
          <t>D20-DOC-PPR-001.ENVIRONMENTS.STAGING</t>
        </is>
      </c>
      <c r="B1009" s="10" t="inlineStr">
        <is>
          <t>D20-DOC-PPR-001</t>
        </is>
      </c>
      <c r="C1009" s="10" t="inlineStr">
        <is>
          <t>D20-DOC-PPR-001-T06</t>
        </is>
      </c>
      <c r="D1009" s="10" t="inlineStr">
        <is>
          <t>staging</t>
        </is>
      </c>
      <c r="E1009" s="10" t="inlineStr">
        <is>
          <t>Definir, validar e manter: Staging</t>
        </is>
      </c>
      <c r="F1009" s="10" t="n"/>
      <c r="G1009" s="10" t="b">
        <v>1</v>
      </c>
      <c r="H1009" s="10" t="b">
        <v>1</v>
      </c>
      <c r="I1009" s="10" t="inlineStr">
        <is>
          <t>DERIVED</t>
        </is>
      </c>
      <c r="J1009" s="10" t="inlineStr">
        <is>
          <t>PROPOSED</t>
        </is>
      </c>
      <c r="K1009" s="10" t="inlineStr">
        <is>
          <t>DERIVED</t>
        </is>
      </c>
      <c r="L1009" s="10" t="inlineStr">
        <is>
          <t>baixa</t>
        </is>
      </c>
      <c r="M1009" s="10" t="inlineStr">
        <is>
          <t>["D20-DOC-PPR-001.ENVIRONMENTS.STAGING"]</t>
        </is>
      </c>
    </row>
    <row r="1010">
      <c r="A1010" s="10" t="inlineStr">
        <is>
          <t>D20-DOC-PPR-001.ENVIRONMENTS.PRODUCTION</t>
        </is>
      </c>
      <c r="B1010" s="10" t="inlineStr">
        <is>
          <t>D20-DOC-PPR-001</t>
        </is>
      </c>
      <c r="C1010" s="10" t="inlineStr">
        <is>
          <t>D20-DOC-PPR-001-T06</t>
        </is>
      </c>
      <c r="D1010" s="10" t="inlineStr">
        <is>
          <t>production</t>
        </is>
      </c>
      <c r="E1010" s="10" t="inlineStr">
        <is>
          <t>Definir, validar e manter: Production</t>
        </is>
      </c>
      <c r="F1010" s="10" t="n"/>
      <c r="G1010" s="10" t="b">
        <v>1</v>
      </c>
      <c r="H1010" s="10" t="b">
        <v>1</v>
      </c>
      <c r="I1010" s="10" t="inlineStr">
        <is>
          <t>DERIVED</t>
        </is>
      </c>
      <c r="J1010" s="10" t="inlineStr">
        <is>
          <t>PROPOSED</t>
        </is>
      </c>
      <c r="K1010" s="10" t="inlineStr">
        <is>
          <t>DERIVED</t>
        </is>
      </c>
      <c r="L1010" s="10" t="inlineStr">
        <is>
          <t>baixa</t>
        </is>
      </c>
      <c r="M1010" s="10" t="inlineStr">
        <is>
          <t>["D20-DOC-PPR-001.ENVIRONMENTS.PRODUCTION"]</t>
        </is>
      </c>
    </row>
    <row r="1011">
      <c r="A1011" s="10" t="inlineStr">
        <is>
          <t>D20-DOC-PPR-001.DEPLOYMENTS.APP</t>
        </is>
      </c>
      <c r="B1011" s="10" t="inlineStr">
        <is>
          <t>D20-DOC-PPR-001</t>
        </is>
      </c>
      <c r="C1011" s="10" t="inlineStr">
        <is>
          <t>D20-DOC-PPR-001-T07</t>
        </is>
      </c>
      <c r="D1011" s="10" t="inlineStr">
        <is>
          <t>app</t>
        </is>
      </c>
      <c r="E1011" s="10" t="inlineStr">
        <is>
          <t>Definir, validar e manter: App</t>
        </is>
      </c>
      <c r="F1011" s="10" t="n"/>
      <c r="G1011" s="10" t="b">
        <v>1</v>
      </c>
      <c r="H1011" s="10" t="b">
        <v>1</v>
      </c>
      <c r="I1011" s="10" t="inlineStr">
        <is>
          <t>DERIVED</t>
        </is>
      </c>
      <c r="J1011" s="10" t="inlineStr">
        <is>
          <t>PROPOSED</t>
        </is>
      </c>
      <c r="K1011" s="10" t="inlineStr">
        <is>
          <t>DERIVED</t>
        </is>
      </c>
      <c r="L1011" s="10" t="inlineStr">
        <is>
          <t>baixa</t>
        </is>
      </c>
      <c r="M1011" s="10" t="inlineStr">
        <is>
          <t>["D20-DOC-PPR-001.DEPLOYMENTS.APP"]</t>
        </is>
      </c>
    </row>
    <row r="1012">
      <c r="A1012" s="10" t="inlineStr">
        <is>
          <t>D20-DOC-PPR-001.DEPLOYMENTS.PLATAFORMA</t>
        </is>
      </c>
      <c r="B1012" s="10" t="inlineStr">
        <is>
          <t>D20-DOC-PPR-001</t>
        </is>
      </c>
      <c r="C1012" s="10" t="inlineStr">
        <is>
          <t>D20-DOC-PPR-001-T07</t>
        </is>
      </c>
      <c r="D1012" s="10" t="inlineStr">
        <is>
          <t>plataforma</t>
        </is>
      </c>
      <c r="E1012" s="10" t="inlineStr">
        <is>
          <t>Definir, validar e manter: Plataforma</t>
        </is>
      </c>
      <c r="F1012" s="10" t="n"/>
      <c r="G1012" s="10" t="b">
        <v>1</v>
      </c>
      <c r="H1012" s="10" t="b">
        <v>1</v>
      </c>
      <c r="I1012" s="10" t="inlineStr">
        <is>
          <t>DERIVED</t>
        </is>
      </c>
      <c r="J1012" s="10" t="inlineStr">
        <is>
          <t>PROPOSED</t>
        </is>
      </c>
      <c r="K1012" s="10" t="inlineStr">
        <is>
          <t>DERIVED</t>
        </is>
      </c>
      <c r="L1012" s="10" t="inlineStr">
        <is>
          <t>baixa</t>
        </is>
      </c>
      <c r="M1012" s="10" t="inlineStr">
        <is>
          <t>["D20-DOC-PPR-001.DEPLOYMENTS.PLATAFORMA"]</t>
        </is>
      </c>
    </row>
    <row r="1013">
      <c r="A1013" s="10" t="inlineStr">
        <is>
          <t>D20-DOC-PPR-001.DEPLOYMENTS.URL</t>
        </is>
      </c>
      <c r="B1013" s="10" t="inlineStr">
        <is>
          <t>D20-DOC-PPR-001</t>
        </is>
      </c>
      <c r="C1013" s="10" t="inlineStr">
        <is>
          <t>D20-DOC-PPR-001-T07</t>
        </is>
      </c>
      <c r="D1013" s="10" t="inlineStr">
        <is>
          <t>url</t>
        </is>
      </c>
      <c r="E1013" s="10" t="inlineStr">
        <is>
          <t>Definir, validar e manter: Url</t>
        </is>
      </c>
      <c r="F1013" s="10" t="n"/>
      <c r="G1013" s="10" t="b">
        <v>1</v>
      </c>
      <c r="H1013" s="10" t="b">
        <v>1</v>
      </c>
      <c r="I1013" s="10" t="inlineStr">
        <is>
          <t>DERIVED</t>
        </is>
      </c>
      <c r="J1013" s="10" t="inlineStr">
        <is>
          <t>PROPOSED</t>
        </is>
      </c>
      <c r="K1013" s="10" t="inlineStr">
        <is>
          <t>DERIVED</t>
        </is>
      </c>
      <c r="L1013" s="10" t="inlineStr">
        <is>
          <t>baixa</t>
        </is>
      </c>
      <c r="M1013" s="10" t="inlineStr">
        <is>
          <t>["D20-DOC-PPR-001.DEPLOYMENTS.URL"]</t>
        </is>
      </c>
    </row>
    <row r="1014">
      <c r="A1014" s="10" t="inlineStr">
        <is>
          <t>D20-DOC-PPR-001.DEPLOYMENTS.STATUS</t>
        </is>
      </c>
      <c r="B1014" s="10" t="inlineStr">
        <is>
          <t>D20-DOC-PPR-001</t>
        </is>
      </c>
      <c r="C1014" s="10" t="inlineStr">
        <is>
          <t>D20-DOC-PPR-001-T07</t>
        </is>
      </c>
      <c r="D1014" s="10" t="inlineStr">
        <is>
          <t>status</t>
        </is>
      </c>
      <c r="E1014" s="10" t="inlineStr">
        <is>
          <t>Definir, validar e manter: Status</t>
        </is>
      </c>
      <c r="F1014" s="10" t="n"/>
      <c r="G1014" s="10" t="b">
        <v>1</v>
      </c>
      <c r="H1014" s="10" t="b">
        <v>1</v>
      </c>
      <c r="I1014" s="10" t="inlineStr">
        <is>
          <t>DERIVED</t>
        </is>
      </c>
      <c r="J1014" s="10" t="inlineStr">
        <is>
          <t>PROPOSED</t>
        </is>
      </c>
      <c r="K1014" s="10" t="inlineStr">
        <is>
          <t>DERIVED</t>
        </is>
      </c>
      <c r="L1014" s="10" t="inlineStr">
        <is>
          <t>baixa</t>
        </is>
      </c>
      <c r="M1014" s="10" t="inlineStr">
        <is>
          <t>["D20-DOC-PPR-001.DEPLOYMENTS.STATUS"]</t>
        </is>
      </c>
    </row>
    <row r="1015">
      <c r="A1015" s="10" t="inlineStr">
        <is>
          <t>D20-DOC-PPR-001.DOMAINS.DOMINIO</t>
        </is>
      </c>
      <c r="B1015" s="10" t="inlineStr">
        <is>
          <t>D20-DOC-PPR-001</t>
        </is>
      </c>
      <c r="C1015" s="10" t="inlineStr">
        <is>
          <t>D20-DOC-PPR-001-T08</t>
        </is>
      </c>
      <c r="D1015" s="10" t="inlineStr">
        <is>
          <t>dominio</t>
        </is>
      </c>
      <c r="E1015" s="10" t="inlineStr">
        <is>
          <t>Definir, validar e manter: Dominio</t>
        </is>
      </c>
      <c r="F1015" s="10" t="n"/>
      <c r="G1015" s="10" t="b">
        <v>1</v>
      </c>
      <c r="H1015" s="10" t="b">
        <v>1</v>
      </c>
      <c r="I1015" s="10" t="inlineStr">
        <is>
          <t>DERIVED</t>
        </is>
      </c>
      <c r="J1015" s="10" t="inlineStr">
        <is>
          <t>PROPOSED</t>
        </is>
      </c>
      <c r="K1015" s="10" t="inlineStr">
        <is>
          <t>DERIVED</t>
        </is>
      </c>
      <c r="L1015" s="10" t="inlineStr">
        <is>
          <t>baixa</t>
        </is>
      </c>
      <c r="M1015" s="10" t="inlineStr">
        <is>
          <t>["D20-DOC-PPR-001.DOMAINS.DOMINIO"]</t>
        </is>
      </c>
    </row>
    <row r="1016">
      <c r="A1016" s="10" t="inlineStr">
        <is>
          <t>D20-DOC-PPR-001.DOMAINS.DESTINO</t>
        </is>
      </c>
      <c r="B1016" s="10" t="inlineStr">
        <is>
          <t>D20-DOC-PPR-001</t>
        </is>
      </c>
      <c r="C1016" s="10" t="inlineStr">
        <is>
          <t>D20-DOC-PPR-001-T08</t>
        </is>
      </c>
      <c r="D1016" s="10" t="inlineStr">
        <is>
          <t>destino</t>
        </is>
      </c>
      <c r="E1016" s="10" t="inlineStr">
        <is>
          <t>Definir, validar e manter: Destino</t>
        </is>
      </c>
      <c r="F1016" s="10" t="n"/>
      <c r="G1016" s="10" t="b">
        <v>1</v>
      </c>
      <c r="H1016" s="10" t="b">
        <v>1</v>
      </c>
      <c r="I1016" s="10" t="inlineStr">
        <is>
          <t>DERIVED</t>
        </is>
      </c>
      <c r="J1016" s="10" t="inlineStr">
        <is>
          <t>PROPOSED</t>
        </is>
      </c>
      <c r="K1016" s="10" t="inlineStr">
        <is>
          <t>DERIVED</t>
        </is>
      </c>
      <c r="L1016" s="10" t="inlineStr">
        <is>
          <t>baixa</t>
        </is>
      </c>
      <c r="M1016" s="10" t="inlineStr">
        <is>
          <t>["D20-DOC-PPR-001.DOMAINS.DESTINO"]</t>
        </is>
      </c>
    </row>
    <row r="1017">
      <c r="A1017" s="10" t="inlineStr">
        <is>
          <t>D20-DOC-PPR-001.INTEGRATIONS.ORIGEM</t>
        </is>
      </c>
      <c r="B1017" s="10" t="inlineStr">
        <is>
          <t>D20-DOC-PPR-001</t>
        </is>
      </c>
      <c r="C1017" s="10" t="inlineStr">
        <is>
          <t>D20-DOC-PPR-001-T09</t>
        </is>
      </c>
      <c r="D1017" s="10" t="inlineStr">
        <is>
          <t>origem</t>
        </is>
      </c>
      <c r="E1017" s="10" t="inlineStr">
        <is>
          <t>Definir, validar e manter: Origem</t>
        </is>
      </c>
      <c r="F1017" s="10" t="n"/>
      <c r="G1017" s="10" t="b">
        <v>1</v>
      </c>
      <c r="H1017" s="10" t="b">
        <v>1</v>
      </c>
      <c r="I1017" s="10" t="inlineStr">
        <is>
          <t>DERIVED</t>
        </is>
      </c>
      <c r="J1017" s="10" t="inlineStr">
        <is>
          <t>PROPOSED</t>
        </is>
      </c>
      <c r="K1017" s="10" t="inlineStr">
        <is>
          <t>DERIVED</t>
        </is>
      </c>
      <c r="L1017" s="10" t="inlineStr">
        <is>
          <t>baixa</t>
        </is>
      </c>
      <c r="M1017" s="10" t="inlineStr">
        <is>
          <t>["D20-DOC-PPR-001.INTEGRATIONS.ORIGEM"]</t>
        </is>
      </c>
    </row>
    <row r="1018">
      <c r="A1018" s="10" t="inlineStr">
        <is>
          <t>D20-DOC-PPR-001.INTEGRATIONS.DESTINO</t>
        </is>
      </c>
      <c r="B1018" s="10" t="inlineStr">
        <is>
          <t>D20-DOC-PPR-001</t>
        </is>
      </c>
      <c r="C1018" s="10" t="inlineStr">
        <is>
          <t>D20-DOC-PPR-001-T09</t>
        </is>
      </c>
      <c r="D1018" s="10" t="inlineStr">
        <is>
          <t>destino</t>
        </is>
      </c>
      <c r="E1018" s="10" t="inlineStr">
        <is>
          <t>Definir, validar e manter: Destino</t>
        </is>
      </c>
      <c r="F1018" s="10" t="n"/>
      <c r="G1018" s="10" t="b">
        <v>1</v>
      </c>
      <c r="H1018" s="10" t="b">
        <v>1</v>
      </c>
      <c r="I1018" s="10" t="inlineStr">
        <is>
          <t>DERIVED</t>
        </is>
      </c>
      <c r="J1018" s="10" t="inlineStr">
        <is>
          <t>PROPOSED</t>
        </is>
      </c>
      <c r="K1018" s="10" t="inlineStr">
        <is>
          <t>DERIVED</t>
        </is>
      </c>
      <c r="L1018" s="10" t="inlineStr">
        <is>
          <t>baixa</t>
        </is>
      </c>
      <c r="M1018" s="10" t="inlineStr">
        <is>
          <t>["D20-DOC-PPR-001.INTEGRATIONS.DESTINO"]</t>
        </is>
      </c>
    </row>
    <row r="1019">
      <c r="A1019" s="10" t="inlineStr">
        <is>
          <t>D20-DOC-PPR-001.INTEGRATIONS.METODO</t>
        </is>
      </c>
      <c r="B1019" s="10" t="inlineStr">
        <is>
          <t>D20-DOC-PPR-001</t>
        </is>
      </c>
      <c r="C1019" s="10" t="inlineStr">
        <is>
          <t>D20-DOC-PPR-001-T09</t>
        </is>
      </c>
      <c r="D1019" s="10" t="inlineStr">
        <is>
          <t>metodo</t>
        </is>
      </c>
      <c r="E1019" s="10" t="inlineStr">
        <is>
          <t>Definir, validar e manter: Metodo</t>
        </is>
      </c>
      <c r="F1019" s="10" t="n"/>
      <c r="G1019" s="10" t="b">
        <v>1</v>
      </c>
      <c r="H1019" s="10" t="b">
        <v>1</v>
      </c>
      <c r="I1019" s="10" t="inlineStr">
        <is>
          <t>DERIVED</t>
        </is>
      </c>
      <c r="J1019" s="10" t="inlineStr">
        <is>
          <t>PROPOSED</t>
        </is>
      </c>
      <c r="K1019" s="10" t="inlineStr">
        <is>
          <t>DERIVED</t>
        </is>
      </c>
      <c r="L1019" s="10" t="inlineStr">
        <is>
          <t>baixa</t>
        </is>
      </c>
      <c r="M1019" s="10" t="inlineStr">
        <is>
          <t>["D20-DOC-PPR-001.INTEGRATIONS.METODO"]</t>
        </is>
      </c>
    </row>
    <row r="1020">
      <c r="A1020" s="10" t="inlineStr">
        <is>
          <t>D20-DOC-PPR-001.PERMISSIONS.SISTEMA</t>
        </is>
      </c>
      <c r="B1020" s="10" t="inlineStr">
        <is>
          <t>D20-DOC-PPR-001</t>
        </is>
      </c>
      <c r="C1020" s="10" t="inlineStr">
        <is>
          <t>D20-DOC-PPR-001-T10</t>
        </is>
      </c>
      <c r="D1020" s="10" t="inlineStr">
        <is>
          <t>sistema</t>
        </is>
      </c>
      <c r="E1020" s="10" t="inlineStr">
        <is>
          <t>Definir, validar e manter: Sistema</t>
        </is>
      </c>
      <c r="F1020" s="10" t="n"/>
      <c r="G1020" s="10" t="b">
        <v>1</v>
      </c>
      <c r="H1020" s="10" t="b">
        <v>1</v>
      </c>
      <c r="I1020" s="10" t="inlineStr">
        <is>
          <t>DERIVED</t>
        </is>
      </c>
      <c r="J1020" s="10" t="inlineStr">
        <is>
          <t>PROPOSED</t>
        </is>
      </c>
      <c r="K1020" s="10" t="inlineStr">
        <is>
          <t>DERIVED</t>
        </is>
      </c>
      <c r="L1020" s="10" t="inlineStr">
        <is>
          <t>baixa</t>
        </is>
      </c>
      <c r="M1020" s="10" t="inlineStr">
        <is>
          <t>["D20-DOC-PPR-001.PERMISSIONS.SISTEMA"]</t>
        </is>
      </c>
    </row>
    <row r="1021">
      <c r="A1021" s="10" t="inlineStr">
        <is>
          <t>D20-DOC-PPR-001.PERMISSIONS.PERFIL</t>
        </is>
      </c>
      <c r="B1021" s="10" t="inlineStr">
        <is>
          <t>D20-DOC-PPR-001</t>
        </is>
      </c>
      <c r="C1021" s="10" t="inlineStr">
        <is>
          <t>D20-DOC-PPR-001-T10</t>
        </is>
      </c>
      <c r="D1021" s="10" t="inlineStr">
        <is>
          <t>perfil</t>
        </is>
      </c>
      <c r="E1021" s="10" t="inlineStr">
        <is>
          <t>Definir, validar e manter: Perfil</t>
        </is>
      </c>
      <c r="F1021" s="10" t="n"/>
      <c r="G1021" s="10" t="b">
        <v>1</v>
      </c>
      <c r="H1021" s="10" t="b">
        <v>1</v>
      </c>
      <c r="I1021" s="10" t="inlineStr">
        <is>
          <t>DERIVED</t>
        </is>
      </c>
      <c r="J1021" s="10" t="inlineStr">
        <is>
          <t>PROPOSED</t>
        </is>
      </c>
      <c r="K1021" s="10" t="inlineStr">
        <is>
          <t>DERIVED</t>
        </is>
      </c>
      <c r="L1021" s="10" t="inlineStr">
        <is>
          <t>baixa</t>
        </is>
      </c>
      <c r="M1021" s="10" t="inlineStr">
        <is>
          <t>["D20-DOC-PPR-001.PERMISSIONS.PERFIL"]</t>
        </is>
      </c>
    </row>
    <row r="1022">
      <c r="A1022" s="10" t="inlineStr">
        <is>
          <t>D20-DOC-PPR-001.PERMISSIONS.ACESSO</t>
        </is>
      </c>
      <c r="B1022" s="10" t="inlineStr">
        <is>
          <t>D20-DOC-PPR-001</t>
        </is>
      </c>
      <c r="C1022" s="10" t="inlineStr">
        <is>
          <t>D20-DOC-PPR-001-T10</t>
        </is>
      </c>
      <c r="D1022" s="10" t="inlineStr">
        <is>
          <t>acesso</t>
        </is>
      </c>
      <c r="E1022" s="10" t="inlineStr">
        <is>
          <t>Definir, validar e manter: Acesso</t>
        </is>
      </c>
      <c r="F1022" s="10" t="n"/>
      <c r="G1022" s="10" t="b">
        <v>1</v>
      </c>
      <c r="H1022" s="10" t="b">
        <v>1</v>
      </c>
      <c r="I1022" s="10" t="inlineStr">
        <is>
          <t>DERIVED</t>
        </is>
      </c>
      <c r="J1022" s="10" t="inlineStr">
        <is>
          <t>PROPOSED</t>
        </is>
      </c>
      <c r="K1022" s="10" t="inlineStr">
        <is>
          <t>DERIVED</t>
        </is>
      </c>
      <c r="L1022" s="10" t="inlineStr">
        <is>
          <t>baixa</t>
        </is>
      </c>
      <c r="M1022" s="10" t="inlineStr">
        <is>
          <t>["D20-DOC-PPR-001.PERMISSIONS.ACESSO"]</t>
        </is>
      </c>
    </row>
    <row r="1023">
      <c r="A1023" s="10" t="inlineStr">
        <is>
          <t>D20-DOC-PPR-001.SECRETS.SECRET_NAME</t>
        </is>
      </c>
      <c r="B1023" s="10" t="inlineStr">
        <is>
          <t>D20-DOC-PPR-001</t>
        </is>
      </c>
      <c r="C1023" s="10" t="inlineStr">
        <is>
          <t>D20-DOC-PPR-001-T11</t>
        </is>
      </c>
      <c r="D1023" s="10" t="inlineStr">
        <is>
          <t>secret_name</t>
        </is>
      </c>
      <c r="E1023" s="10" t="inlineStr">
        <is>
          <t>Definir, validar e manter: Secret Name</t>
        </is>
      </c>
      <c r="F1023" s="10" t="n"/>
      <c r="G1023" s="10" t="b">
        <v>1</v>
      </c>
      <c r="H1023" s="10" t="b">
        <v>1</v>
      </c>
      <c r="I1023" s="10" t="inlineStr">
        <is>
          <t>DERIVED</t>
        </is>
      </c>
      <c r="J1023" s="10" t="inlineStr">
        <is>
          <t>PROPOSED</t>
        </is>
      </c>
      <c r="K1023" s="10" t="inlineStr">
        <is>
          <t>DERIVED</t>
        </is>
      </c>
      <c r="L1023" s="10" t="inlineStr">
        <is>
          <t>baixa</t>
        </is>
      </c>
      <c r="M1023" s="10" t="inlineStr">
        <is>
          <t>["D20-DOC-PPR-001.SECRETS.SECRET_NAME"]</t>
        </is>
      </c>
    </row>
    <row r="1024">
      <c r="A1024" s="10" t="inlineStr">
        <is>
          <t>D20-DOC-PPR-001.SECRETS.LOCALIZACAO_SEM_VALOR</t>
        </is>
      </c>
      <c r="B1024" s="10" t="inlineStr">
        <is>
          <t>D20-DOC-PPR-001</t>
        </is>
      </c>
      <c r="C1024" s="10" t="inlineStr">
        <is>
          <t>D20-DOC-PPR-001-T11</t>
        </is>
      </c>
      <c r="D1024" s="10" t="inlineStr">
        <is>
          <t>localizacao_sem_valor</t>
        </is>
      </c>
      <c r="E1024" s="10" t="inlineStr">
        <is>
          <t>Definir, validar e manter: Localizacao Sem Valor</t>
        </is>
      </c>
      <c r="F1024" s="10" t="n"/>
      <c r="G1024" s="10" t="b">
        <v>1</v>
      </c>
      <c r="H1024" s="10" t="b">
        <v>1</v>
      </c>
      <c r="I1024" s="10" t="inlineStr">
        <is>
          <t>DERIVED</t>
        </is>
      </c>
      <c r="J1024" s="10" t="inlineStr">
        <is>
          <t>PROPOSED</t>
        </is>
      </c>
      <c r="K1024" s="10" t="inlineStr">
        <is>
          <t>DERIVED</t>
        </is>
      </c>
      <c r="L1024" s="10" t="inlineStr">
        <is>
          <t>baixa</t>
        </is>
      </c>
      <c r="M1024" s="10" t="inlineStr">
        <is>
          <t>["D20-DOC-PPR-001.SECRETS.LOCALIZACAO_SEM_VALOR"]</t>
        </is>
      </c>
    </row>
    <row r="1025">
      <c r="A1025" s="10" t="inlineStr">
        <is>
          <t>D20-DOC-PPR-001.SOURCE_OF_TRUTH.OBJETO</t>
        </is>
      </c>
      <c r="B1025" s="10" t="inlineStr">
        <is>
          <t>D20-DOC-PPR-001</t>
        </is>
      </c>
      <c r="C1025" s="10" t="inlineStr">
        <is>
          <t>D20-DOC-PPR-001-T12</t>
        </is>
      </c>
      <c r="D1025" s="10" t="inlineStr">
        <is>
          <t>objeto</t>
        </is>
      </c>
      <c r="E1025" s="10" t="inlineStr">
        <is>
          <t>Definir, validar e manter: Objeto</t>
        </is>
      </c>
      <c r="F1025" s="10" t="n"/>
      <c r="G1025" s="10" t="b">
        <v>1</v>
      </c>
      <c r="H1025" s="10" t="b">
        <v>1</v>
      </c>
      <c r="I1025" s="10" t="inlineStr">
        <is>
          <t>DERIVED</t>
        </is>
      </c>
      <c r="J1025" s="10" t="inlineStr">
        <is>
          <t>PROPOSED</t>
        </is>
      </c>
      <c r="K1025" s="10" t="inlineStr">
        <is>
          <t>DERIVED</t>
        </is>
      </c>
      <c r="L1025" s="10" t="inlineStr">
        <is>
          <t>baixa</t>
        </is>
      </c>
      <c r="M1025" s="10" t="inlineStr">
        <is>
          <t>["D20-DOC-PPR-001.SOURCE_OF_TRUTH.OBJETO"]</t>
        </is>
      </c>
    </row>
    <row r="1026">
      <c r="A1026" s="10" t="inlineStr">
        <is>
          <t>D20-DOC-PPR-001.SOURCE_OF_TRUTH.REPOSITORIO</t>
        </is>
      </c>
      <c r="B1026" s="10" t="inlineStr">
        <is>
          <t>D20-DOC-PPR-001</t>
        </is>
      </c>
      <c r="C1026" s="10" t="inlineStr">
        <is>
          <t>D20-DOC-PPR-001-T12</t>
        </is>
      </c>
      <c r="D1026" s="10" t="inlineStr">
        <is>
          <t>repositorio</t>
        </is>
      </c>
      <c r="E1026" s="10" t="inlineStr">
        <is>
          <t>Definir, validar e manter: Repositorio</t>
        </is>
      </c>
      <c r="F1026" s="10" t="n"/>
      <c r="G1026" s="10" t="b">
        <v>1</v>
      </c>
      <c r="H1026" s="10" t="b">
        <v>1</v>
      </c>
      <c r="I1026" s="10" t="inlineStr">
        <is>
          <t>DERIVED</t>
        </is>
      </c>
      <c r="J1026" s="10" t="inlineStr">
        <is>
          <t>PROPOSED</t>
        </is>
      </c>
      <c r="K1026" s="10" t="inlineStr">
        <is>
          <t>DERIVED</t>
        </is>
      </c>
      <c r="L1026" s="10" t="inlineStr">
        <is>
          <t>baixa</t>
        </is>
      </c>
      <c r="M1026" s="10" t="inlineStr">
        <is>
          <t>["D20-DOC-PPR-001.SOURCE_OF_TRUTH.REPOSITORIO"]</t>
        </is>
      </c>
    </row>
    <row r="1027">
      <c r="A1027" s="10" t="inlineStr">
        <is>
          <t>D20-DOC-PPR-001.BACKUPS.OBJETO</t>
        </is>
      </c>
      <c r="B1027" s="10" t="inlineStr">
        <is>
          <t>D20-DOC-PPR-001</t>
        </is>
      </c>
      <c r="C1027" s="10" t="inlineStr">
        <is>
          <t>D20-DOC-PPR-001-T13</t>
        </is>
      </c>
      <c r="D1027" s="10" t="inlineStr">
        <is>
          <t>objeto</t>
        </is>
      </c>
      <c r="E1027" s="10" t="inlineStr">
        <is>
          <t>Definir, validar e manter: Objeto</t>
        </is>
      </c>
      <c r="F1027" s="10" t="n"/>
      <c r="G1027" s="10" t="b">
        <v>1</v>
      </c>
      <c r="H1027" s="10" t="b">
        <v>1</v>
      </c>
      <c r="I1027" s="10" t="inlineStr">
        <is>
          <t>DERIVED</t>
        </is>
      </c>
      <c r="J1027" s="10" t="inlineStr">
        <is>
          <t>PROPOSED</t>
        </is>
      </c>
      <c r="K1027" s="10" t="inlineStr">
        <is>
          <t>DERIVED</t>
        </is>
      </c>
      <c r="L1027" s="10" t="inlineStr">
        <is>
          <t>baixa</t>
        </is>
      </c>
      <c r="M1027" s="10" t="inlineStr">
        <is>
          <t>["D20-DOC-PPR-001.BACKUPS.OBJETO"]</t>
        </is>
      </c>
    </row>
    <row r="1028">
      <c r="A1028" s="10" t="inlineStr">
        <is>
          <t>D20-DOC-PPR-001.BACKUPS.ESTRATEGIA</t>
        </is>
      </c>
      <c r="B1028" s="10" t="inlineStr">
        <is>
          <t>D20-DOC-PPR-001</t>
        </is>
      </c>
      <c r="C1028" s="10" t="inlineStr">
        <is>
          <t>D20-DOC-PPR-001-T13</t>
        </is>
      </c>
      <c r="D1028" s="10" t="inlineStr">
        <is>
          <t>estrategia</t>
        </is>
      </c>
      <c r="E1028" s="10" t="inlineStr">
        <is>
          <t>Definir, validar e manter: Estrategia</t>
        </is>
      </c>
      <c r="F1028" s="10" t="n"/>
      <c r="G1028" s="10" t="b">
        <v>1</v>
      </c>
      <c r="H1028" s="10" t="b">
        <v>1</v>
      </c>
      <c r="I1028" s="10" t="inlineStr">
        <is>
          <t>DERIVED</t>
        </is>
      </c>
      <c r="J1028" s="10" t="inlineStr">
        <is>
          <t>PROPOSED</t>
        </is>
      </c>
      <c r="K1028" s="10" t="inlineStr">
        <is>
          <t>DERIVED</t>
        </is>
      </c>
      <c r="L1028" s="10" t="inlineStr">
        <is>
          <t>baixa</t>
        </is>
      </c>
      <c r="M1028" s="10" t="inlineStr">
        <is>
          <t>["D20-DOC-PPR-001.BACKUPS.ESTRATEGIA"]</t>
        </is>
      </c>
    </row>
    <row r="1029">
      <c r="A1029" s="10" t="inlineStr">
        <is>
          <t>D20-DOC-PPR-001.RECOVERY.PROCEDIMENTO</t>
        </is>
      </c>
      <c r="B1029" s="10" t="inlineStr">
        <is>
          <t>D20-DOC-PPR-001</t>
        </is>
      </c>
      <c r="C1029" s="10" t="inlineStr">
        <is>
          <t>D20-DOC-PPR-001-T14</t>
        </is>
      </c>
      <c r="D1029" s="10" t="inlineStr">
        <is>
          <t>procedimento</t>
        </is>
      </c>
      <c r="E1029" s="10" t="inlineStr">
        <is>
          <t>Definir, validar e manter: Procedimento</t>
        </is>
      </c>
      <c r="F1029" s="10" t="n"/>
      <c r="G1029" s="10" t="b">
        <v>1</v>
      </c>
      <c r="H1029" s="10" t="b">
        <v>1</v>
      </c>
      <c r="I1029" s="10" t="inlineStr">
        <is>
          <t>DERIVED</t>
        </is>
      </c>
      <c r="J1029" s="10" t="inlineStr">
        <is>
          <t>PROPOSED</t>
        </is>
      </c>
      <c r="K1029" s="10" t="inlineStr">
        <is>
          <t>DERIVED</t>
        </is>
      </c>
      <c r="L1029" s="10" t="inlineStr">
        <is>
          <t>baixa</t>
        </is>
      </c>
      <c r="M1029" s="10" t="inlineStr">
        <is>
          <t>["D20-DOC-PPR-001.RECOVERY.PROCEDIMENTO"]</t>
        </is>
      </c>
    </row>
    <row r="1030">
      <c r="A1030" s="10" t="inlineStr">
        <is>
          <t>D20-DOC-PPR-001.RECOVERY.RTO</t>
        </is>
      </c>
      <c r="B1030" s="10" t="inlineStr">
        <is>
          <t>D20-DOC-PPR-001</t>
        </is>
      </c>
      <c r="C1030" s="10" t="inlineStr">
        <is>
          <t>D20-DOC-PPR-001-T14</t>
        </is>
      </c>
      <c r="D1030" s="10" t="inlineStr">
        <is>
          <t>rto</t>
        </is>
      </c>
      <c r="E1030" s="10" t="inlineStr">
        <is>
          <t>Definir, validar e manter: RTO</t>
        </is>
      </c>
      <c r="F1030" s="10" t="n"/>
      <c r="G1030" s="10" t="b">
        <v>1</v>
      </c>
      <c r="H1030" s="10" t="b">
        <v>1</v>
      </c>
      <c r="I1030" s="10" t="inlineStr">
        <is>
          <t>EXTERNAL</t>
        </is>
      </c>
      <c r="J1030" s="10" t="inlineStr">
        <is>
          <t>EXTERNAL_EVIDENCE</t>
        </is>
      </c>
      <c r="K1030" s="10" t="inlineStr">
        <is>
          <t>EXTERNAL</t>
        </is>
      </c>
      <c r="L1030" s="10" t="inlineStr">
        <is>
          <t>media</t>
        </is>
      </c>
      <c r="M1030" s="10" t="inlineStr">
        <is>
          <t>["D20-DOC-PPR-001.RECOVERY.RTO"]</t>
        </is>
      </c>
    </row>
    <row r="1031">
      <c r="A1031" s="10" t="inlineStr">
        <is>
          <t>D20-DOC-PPR-001.RECOVERY.RPO</t>
        </is>
      </c>
      <c r="B1031" s="10" t="inlineStr">
        <is>
          <t>D20-DOC-PPR-001</t>
        </is>
      </c>
      <c r="C1031" s="10" t="inlineStr">
        <is>
          <t>D20-DOC-PPR-001-T14</t>
        </is>
      </c>
      <c r="D1031" s="10" t="inlineStr">
        <is>
          <t>rpo</t>
        </is>
      </c>
      <c r="E1031" s="10" t="inlineStr">
        <is>
          <t>Definir, validar e manter: RPO</t>
        </is>
      </c>
      <c r="F1031" s="10" t="n"/>
      <c r="G1031" s="10" t="b">
        <v>1</v>
      </c>
      <c r="H1031" s="10" t="b">
        <v>1</v>
      </c>
      <c r="I1031" s="10" t="inlineStr">
        <is>
          <t>EXTERNAL</t>
        </is>
      </c>
      <c r="J1031" s="10" t="inlineStr">
        <is>
          <t>EXTERNAL_EVIDENCE</t>
        </is>
      </c>
      <c r="K1031" s="10" t="inlineStr">
        <is>
          <t>EXTERNAL</t>
        </is>
      </c>
      <c r="L1031" s="10" t="inlineStr">
        <is>
          <t>media</t>
        </is>
      </c>
      <c r="M1031" s="10" t="inlineStr">
        <is>
          <t>["D20-DOC-PPR-001.RECOVERY.RPO"]</t>
        </is>
      </c>
    </row>
    <row r="1032">
      <c r="A1032" s="10" t="inlineStr">
        <is>
          <t>D20-DOC-PPR-001.MAINTENANCE.ROTINA</t>
        </is>
      </c>
      <c r="B1032" s="10" t="inlineStr">
        <is>
          <t>D20-DOC-PPR-001</t>
        </is>
      </c>
      <c r="C1032" s="10" t="inlineStr">
        <is>
          <t>D20-DOC-PPR-001-T15</t>
        </is>
      </c>
      <c r="D1032" s="10" t="inlineStr">
        <is>
          <t>rotina</t>
        </is>
      </c>
      <c r="E1032" s="10" t="inlineStr">
        <is>
          <t>Definir, validar e manter: Rotina</t>
        </is>
      </c>
      <c r="F1032" s="10" t="n"/>
      <c r="G1032" s="10" t="b">
        <v>1</v>
      </c>
      <c r="H1032" s="10" t="b">
        <v>1</v>
      </c>
      <c r="I1032" s="10" t="inlineStr">
        <is>
          <t>DERIVED</t>
        </is>
      </c>
      <c r="J1032" s="10" t="inlineStr">
        <is>
          <t>PROPOSED</t>
        </is>
      </c>
      <c r="K1032" s="10" t="inlineStr">
        <is>
          <t>DERIVED</t>
        </is>
      </c>
      <c r="L1032" s="10" t="inlineStr">
        <is>
          <t>baixa</t>
        </is>
      </c>
      <c r="M1032" s="10" t="inlineStr">
        <is>
          <t>["D20-DOC-PPR-001.MAINTENANCE.ROTINA"]</t>
        </is>
      </c>
    </row>
    <row r="1033">
      <c r="A1033" s="10" t="inlineStr">
        <is>
          <t>D20-DOC-PPR-001.MAINTENANCE.OWNER</t>
        </is>
      </c>
      <c r="B1033" s="10" t="inlineStr">
        <is>
          <t>D20-DOC-PPR-001</t>
        </is>
      </c>
      <c r="C1033" s="10" t="inlineStr">
        <is>
          <t>D20-DOC-PPR-001-T15</t>
        </is>
      </c>
      <c r="D1033" s="10" t="inlineStr">
        <is>
          <t>owner</t>
        </is>
      </c>
      <c r="E1033" s="10" t="inlineStr">
        <is>
          <t>Definir, validar e manter: Owner</t>
        </is>
      </c>
      <c r="F1033" s="10" t="n"/>
      <c r="G1033" s="10" t="b">
        <v>1</v>
      </c>
      <c r="H1033" s="10" t="b">
        <v>1</v>
      </c>
      <c r="I1033" s="10" t="inlineStr">
        <is>
          <t>DERIVED</t>
        </is>
      </c>
      <c r="J1033" s="10" t="inlineStr">
        <is>
          <t>PROPOSED</t>
        </is>
      </c>
      <c r="K1033" s="10" t="inlineStr">
        <is>
          <t>DERIVED</t>
        </is>
      </c>
      <c r="L1033" s="10" t="inlineStr">
        <is>
          <t>baixa</t>
        </is>
      </c>
      <c r="M1033" s="10" t="inlineStr">
        <is>
          <t>["D20-DOC-PPR-001.MAINTENANCE.OWNER"]</t>
        </is>
      </c>
    </row>
    <row r="1034">
      <c r="A1034" s="10" t="inlineStr">
        <is>
          <t>D21-DOC-PWB-001.WORKBOOK_CATALOG.WORKBOOK_ID</t>
        </is>
      </c>
      <c r="B1034" s="10" t="inlineStr">
        <is>
          <t>D21-DOC-PWB-001</t>
        </is>
      </c>
      <c r="C1034" s="10" t="inlineStr">
        <is>
          <t>D21-DOC-PWB-001-T01</t>
        </is>
      </c>
      <c r="D1034" s="10" t="inlineStr">
        <is>
          <t>workbook_id</t>
        </is>
      </c>
      <c r="E1034" s="10" t="inlineStr">
        <is>
          <t>Definir, validar e manter: Workbook ID</t>
        </is>
      </c>
      <c r="F1034" s="10" t="n"/>
      <c r="G1034" s="10" t="b">
        <v>1</v>
      </c>
      <c r="H1034" s="10" t="b">
        <v>1</v>
      </c>
      <c r="I1034" s="10" t="inlineStr">
        <is>
          <t>FOUND</t>
        </is>
      </c>
      <c r="J1034" s="10" t="inlineStr">
        <is>
          <t>DIRECT</t>
        </is>
      </c>
      <c r="K1034" s="10" t="inlineStr">
        <is>
          <t>FOUND</t>
        </is>
      </c>
      <c r="L1034" s="10" t="inlineStr">
        <is>
          <t>alta</t>
        </is>
      </c>
      <c r="M1034" s="10" t="inlineStr">
        <is>
          <t>["D21-DOC-PWB-001.WORKBOOK_CATALOG.WORKBOOK_ID"]</t>
        </is>
      </c>
    </row>
    <row r="1035">
      <c r="A1035" s="10" t="inlineStr">
        <is>
          <t>D21-DOC-PWB-001.WORKBOOK_CATALOG.NOME</t>
        </is>
      </c>
      <c r="B1035" s="10" t="inlineStr">
        <is>
          <t>D21-DOC-PWB-001</t>
        </is>
      </c>
      <c r="C1035" s="10" t="inlineStr">
        <is>
          <t>D21-DOC-PWB-001-T01</t>
        </is>
      </c>
      <c r="D1035" s="10" t="inlineStr">
        <is>
          <t>nome</t>
        </is>
      </c>
      <c r="E1035" s="10" t="inlineStr">
        <is>
          <t>Definir, validar e manter: Nome</t>
        </is>
      </c>
      <c r="F1035" s="10" t="n"/>
      <c r="G1035" s="10" t="b">
        <v>1</v>
      </c>
      <c r="H1035" s="10" t="b">
        <v>1</v>
      </c>
      <c r="I1035" s="10" t="inlineStr">
        <is>
          <t>DERIVED</t>
        </is>
      </c>
      <c r="J1035" s="10" t="inlineStr">
        <is>
          <t>PROPOSED</t>
        </is>
      </c>
      <c r="K1035" s="10" t="inlineStr">
        <is>
          <t>DERIVED</t>
        </is>
      </c>
      <c r="L1035" s="10" t="inlineStr">
        <is>
          <t>baixa</t>
        </is>
      </c>
      <c r="M1035" s="10" t="inlineStr">
        <is>
          <t>["D21-DOC-PWB-001.WORKBOOK_CATALOG.NOME"]</t>
        </is>
      </c>
    </row>
    <row r="1036">
      <c r="A1036" s="10" t="inlineStr">
        <is>
          <t>D21-DOC-PWB-001.PURPOSE.OBJETIVO</t>
        </is>
      </c>
      <c r="B1036" s="10" t="inlineStr">
        <is>
          <t>D21-DOC-PWB-001</t>
        </is>
      </c>
      <c r="C1036" s="10" t="inlineStr">
        <is>
          <t>D21-DOC-PWB-001-T02</t>
        </is>
      </c>
      <c r="D1036" s="10" t="inlineStr">
        <is>
          <t>objetivo</t>
        </is>
      </c>
      <c r="E1036" s="10" t="inlineStr">
        <is>
          <t>Definir, validar e manter: Objetivo</t>
        </is>
      </c>
      <c r="F1036" s="10" t="n"/>
      <c r="G1036" s="10" t="b">
        <v>1</v>
      </c>
      <c r="H1036" s="10" t="b">
        <v>1</v>
      </c>
      <c r="I1036" s="10" t="inlineStr">
        <is>
          <t>DERIVED</t>
        </is>
      </c>
      <c r="J1036" s="10" t="inlineStr">
        <is>
          <t>PROPOSED</t>
        </is>
      </c>
      <c r="K1036" s="10" t="inlineStr">
        <is>
          <t>DERIVED</t>
        </is>
      </c>
      <c r="L1036" s="10" t="inlineStr">
        <is>
          <t>baixa</t>
        </is>
      </c>
      <c r="M1036" s="10" t="inlineStr">
        <is>
          <t>["D21-DOC-PWB-001.PURPOSE.OBJETIVO"]</t>
        </is>
      </c>
    </row>
    <row r="1037">
      <c r="A1037" s="10" t="inlineStr">
        <is>
          <t>D21-DOC-PWB-001.PURPOSE.USUARIO</t>
        </is>
      </c>
      <c r="B1037" s="10" t="inlineStr">
        <is>
          <t>D21-DOC-PWB-001</t>
        </is>
      </c>
      <c r="C1037" s="10" t="inlineStr">
        <is>
          <t>D21-DOC-PWB-001-T02</t>
        </is>
      </c>
      <c r="D1037" s="10" t="inlineStr">
        <is>
          <t>usuario</t>
        </is>
      </c>
      <c r="E1037" s="10" t="inlineStr">
        <is>
          <t>Definir, validar e manter: Usuario</t>
        </is>
      </c>
      <c r="F1037" s="10" t="n"/>
      <c r="G1037" s="10" t="b">
        <v>1</v>
      </c>
      <c r="H1037" s="10" t="b">
        <v>1</v>
      </c>
      <c r="I1037" s="10" t="inlineStr">
        <is>
          <t>DERIVED</t>
        </is>
      </c>
      <c r="J1037" s="10" t="inlineStr">
        <is>
          <t>PROPOSED</t>
        </is>
      </c>
      <c r="K1037" s="10" t="inlineStr">
        <is>
          <t>DERIVED</t>
        </is>
      </c>
      <c r="L1037" s="10" t="inlineStr">
        <is>
          <t>baixa</t>
        </is>
      </c>
      <c r="M1037" s="10" t="inlineStr">
        <is>
          <t>["D21-DOC-PWB-001.PURPOSE.USUARIO"]</t>
        </is>
      </c>
    </row>
    <row r="1038">
      <c r="A1038" s="10" t="inlineStr">
        <is>
          <t>D21-DOC-PWB-001.SOURCE_DATA.FONTE</t>
        </is>
      </c>
      <c r="B1038" s="10" t="inlineStr">
        <is>
          <t>D21-DOC-PWB-001</t>
        </is>
      </c>
      <c r="C1038" s="10" t="inlineStr">
        <is>
          <t>D21-DOC-PWB-001-T03</t>
        </is>
      </c>
      <c r="D1038" s="10" t="inlineStr">
        <is>
          <t>fonte</t>
        </is>
      </c>
      <c r="E1038" s="10" t="inlineStr">
        <is>
          <t>Definir, validar e manter: Fonte</t>
        </is>
      </c>
      <c r="F1038" s="10" t="n"/>
      <c r="G1038" s="10" t="b">
        <v>1</v>
      </c>
      <c r="H1038" s="10" t="b">
        <v>1</v>
      </c>
      <c r="I1038" s="10" t="inlineStr">
        <is>
          <t>DERIVED</t>
        </is>
      </c>
      <c r="J1038" s="10" t="inlineStr">
        <is>
          <t>PROPOSED</t>
        </is>
      </c>
      <c r="K1038" s="10" t="inlineStr">
        <is>
          <t>DERIVED</t>
        </is>
      </c>
      <c r="L1038" s="10" t="inlineStr">
        <is>
          <t>baixa</t>
        </is>
      </c>
      <c r="M1038" s="10" t="inlineStr">
        <is>
          <t>["D21-DOC-PWB-001.SOURCE_DATA.FONTE"]</t>
        </is>
      </c>
    </row>
    <row r="1039">
      <c r="A1039" s="10" t="inlineStr">
        <is>
          <t>D21-DOC-PWB-001.SOURCE_DATA.ATUALIZACAO</t>
        </is>
      </c>
      <c r="B1039" s="10" t="inlineStr">
        <is>
          <t>D21-DOC-PWB-001</t>
        </is>
      </c>
      <c r="C1039" s="10" t="inlineStr">
        <is>
          <t>D21-DOC-PWB-001-T03</t>
        </is>
      </c>
      <c r="D1039" s="10" t="inlineStr">
        <is>
          <t>atualizacao</t>
        </is>
      </c>
      <c r="E1039" s="10" t="inlineStr">
        <is>
          <t>Definir, validar e manter: Atualizacao</t>
        </is>
      </c>
      <c r="F1039" s="10" t="n"/>
      <c r="G1039" s="10" t="b">
        <v>1</v>
      </c>
      <c r="H1039" s="10" t="b">
        <v>1</v>
      </c>
      <c r="I1039" s="10" t="inlineStr">
        <is>
          <t>DERIVED</t>
        </is>
      </c>
      <c r="J1039" s="10" t="inlineStr">
        <is>
          <t>PROPOSED</t>
        </is>
      </c>
      <c r="K1039" s="10" t="inlineStr">
        <is>
          <t>DERIVED</t>
        </is>
      </c>
      <c r="L1039" s="10" t="inlineStr">
        <is>
          <t>baixa</t>
        </is>
      </c>
      <c r="M1039" s="10" t="inlineStr">
        <is>
          <t>["D21-DOC-PWB-001.SOURCE_DATA.ATUALIZACAO"]</t>
        </is>
      </c>
    </row>
    <row r="1040">
      <c r="A1040" s="10" t="inlineStr">
        <is>
          <t>D21-DOC-PWB-001.SHEETS.ABA</t>
        </is>
      </c>
      <c r="B1040" s="10" t="inlineStr">
        <is>
          <t>D21-DOC-PWB-001</t>
        </is>
      </c>
      <c r="C1040" s="10" t="inlineStr">
        <is>
          <t>D21-DOC-PWB-001-T04</t>
        </is>
      </c>
      <c r="D1040" s="10" t="inlineStr">
        <is>
          <t>aba</t>
        </is>
      </c>
      <c r="E1040" s="10" t="inlineStr">
        <is>
          <t>Definir, validar e manter: Aba</t>
        </is>
      </c>
      <c r="F1040" s="10" t="n"/>
      <c r="G1040" s="10" t="b">
        <v>1</v>
      </c>
      <c r="H1040" s="10" t="b">
        <v>1</v>
      </c>
      <c r="I1040" s="10" t="inlineStr">
        <is>
          <t>DERIVED</t>
        </is>
      </c>
      <c r="J1040" s="10" t="inlineStr">
        <is>
          <t>PROPOSED</t>
        </is>
      </c>
      <c r="K1040" s="10" t="inlineStr">
        <is>
          <t>DERIVED</t>
        </is>
      </c>
      <c r="L1040" s="10" t="inlineStr">
        <is>
          <t>baixa</t>
        </is>
      </c>
      <c r="M1040" s="10" t="inlineStr">
        <is>
          <t>["D21-DOC-PWB-001.SHEETS.ABA"]</t>
        </is>
      </c>
    </row>
    <row r="1041">
      <c r="A1041" s="10" t="inlineStr">
        <is>
          <t>D21-DOC-PWB-001.SHEETS.FINALIDADE</t>
        </is>
      </c>
      <c r="B1041" s="10" t="inlineStr">
        <is>
          <t>D21-DOC-PWB-001</t>
        </is>
      </c>
      <c r="C1041" s="10" t="inlineStr">
        <is>
          <t>D21-DOC-PWB-001-T04</t>
        </is>
      </c>
      <c r="D1041" s="10" t="inlineStr">
        <is>
          <t>finalidade</t>
        </is>
      </c>
      <c r="E1041" s="10" t="inlineStr">
        <is>
          <t>Definir, validar e manter: Finalidade</t>
        </is>
      </c>
      <c r="F1041" s="10" t="n"/>
      <c r="G1041" s="10" t="b">
        <v>1</v>
      </c>
      <c r="H1041" s="10" t="b">
        <v>1</v>
      </c>
      <c r="I1041" s="10" t="inlineStr">
        <is>
          <t>DERIVED</t>
        </is>
      </c>
      <c r="J1041" s="10" t="inlineStr">
        <is>
          <t>PROPOSED</t>
        </is>
      </c>
      <c r="K1041" s="10" t="inlineStr">
        <is>
          <t>DERIVED</t>
        </is>
      </c>
      <c r="L1041" s="10" t="inlineStr">
        <is>
          <t>baixa</t>
        </is>
      </c>
      <c r="M1041" s="10" t="inlineStr">
        <is>
          <t>["D21-DOC-PWB-001.SHEETS.FINALIDADE"]</t>
        </is>
      </c>
    </row>
    <row r="1042">
      <c r="A1042" s="10" t="inlineStr">
        <is>
          <t>D21-DOC-PWB-001.FIELDS.CAMPO</t>
        </is>
      </c>
      <c r="B1042" s="10" t="inlineStr">
        <is>
          <t>D21-DOC-PWB-001</t>
        </is>
      </c>
      <c r="C1042" s="10" t="inlineStr">
        <is>
          <t>D21-DOC-PWB-001-T05</t>
        </is>
      </c>
      <c r="D1042" s="10" t="inlineStr">
        <is>
          <t>campo</t>
        </is>
      </c>
      <c r="E1042" s="10" t="inlineStr">
        <is>
          <t>Definir, validar e manter: Campo</t>
        </is>
      </c>
      <c r="F1042" s="10" t="n"/>
      <c r="G1042" s="10" t="b">
        <v>1</v>
      </c>
      <c r="H1042" s="10" t="b">
        <v>1</v>
      </c>
      <c r="I1042" s="10" t="inlineStr">
        <is>
          <t>DERIVED</t>
        </is>
      </c>
      <c r="J1042" s="10" t="inlineStr">
        <is>
          <t>PROPOSED</t>
        </is>
      </c>
      <c r="K1042" s="10" t="inlineStr">
        <is>
          <t>DERIVED</t>
        </is>
      </c>
      <c r="L1042" s="10" t="inlineStr">
        <is>
          <t>baixa</t>
        </is>
      </c>
      <c r="M1042" s="10" t="inlineStr">
        <is>
          <t>["D21-DOC-PWB-001.FIELDS.CAMPO"]</t>
        </is>
      </c>
    </row>
    <row r="1043">
      <c r="A1043" s="10" t="inlineStr">
        <is>
          <t>D21-DOC-PWB-001.FIELDS.DEFINICAO</t>
        </is>
      </c>
      <c r="B1043" s="10" t="inlineStr">
        <is>
          <t>D21-DOC-PWB-001</t>
        </is>
      </c>
      <c r="C1043" s="10" t="inlineStr">
        <is>
          <t>D21-DOC-PWB-001-T05</t>
        </is>
      </c>
      <c r="D1043" s="10" t="inlineStr">
        <is>
          <t>definicao</t>
        </is>
      </c>
      <c r="E1043" s="10" t="inlineStr">
        <is>
          <t>Definir, validar e manter: Definicao</t>
        </is>
      </c>
      <c r="F1043" s="10" t="n"/>
      <c r="G1043" s="10" t="b">
        <v>1</v>
      </c>
      <c r="H1043" s="10" t="b">
        <v>1</v>
      </c>
      <c r="I1043" s="10" t="inlineStr">
        <is>
          <t>DERIVED</t>
        </is>
      </c>
      <c r="J1043" s="10" t="inlineStr">
        <is>
          <t>PROPOSED</t>
        </is>
      </c>
      <c r="K1043" s="10" t="inlineStr">
        <is>
          <t>DERIVED</t>
        </is>
      </c>
      <c r="L1043" s="10" t="inlineStr">
        <is>
          <t>baixa</t>
        </is>
      </c>
      <c r="M1043" s="10" t="inlineStr">
        <is>
          <t>["D21-DOC-PWB-001.FIELDS.DEFINICAO"]</t>
        </is>
      </c>
    </row>
    <row r="1044">
      <c r="A1044" s="10" t="inlineStr">
        <is>
          <t>D21-DOC-PWB-001.FORMULAS.FORMULA</t>
        </is>
      </c>
      <c r="B1044" s="10" t="inlineStr">
        <is>
          <t>D21-DOC-PWB-001</t>
        </is>
      </c>
      <c r="C1044" s="10" t="inlineStr">
        <is>
          <t>D21-DOC-PWB-001-T06</t>
        </is>
      </c>
      <c r="D1044" s="10" t="inlineStr">
        <is>
          <t>formula</t>
        </is>
      </c>
      <c r="E1044" s="10" t="inlineStr">
        <is>
          <t>Definir, validar e manter: Formula</t>
        </is>
      </c>
      <c r="F1044" s="10" t="n"/>
      <c r="G1044" s="10" t="b">
        <v>1</v>
      </c>
      <c r="H1044" s="10" t="b">
        <v>1</v>
      </c>
      <c r="I1044" s="10" t="inlineStr">
        <is>
          <t>DERIVED</t>
        </is>
      </c>
      <c r="J1044" s="10" t="inlineStr">
        <is>
          <t>PROPOSED</t>
        </is>
      </c>
      <c r="K1044" s="10" t="inlineStr">
        <is>
          <t>DERIVED</t>
        </is>
      </c>
      <c r="L1044" s="10" t="inlineStr">
        <is>
          <t>baixa</t>
        </is>
      </c>
      <c r="M1044" s="10" t="inlineStr">
        <is>
          <t>["D21-DOC-PWB-001.FORMULAS.FORMULA"]</t>
        </is>
      </c>
    </row>
    <row r="1045">
      <c r="A1045" s="10" t="inlineStr">
        <is>
          <t>D21-DOC-PWB-001.FORMULAS.LOGICA</t>
        </is>
      </c>
      <c r="B1045" s="10" t="inlineStr">
        <is>
          <t>D21-DOC-PWB-001</t>
        </is>
      </c>
      <c r="C1045" s="10" t="inlineStr">
        <is>
          <t>D21-DOC-PWB-001-T06</t>
        </is>
      </c>
      <c r="D1045" s="10" t="inlineStr">
        <is>
          <t>logica</t>
        </is>
      </c>
      <c r="E1045" s="10" t="inlineStr">
        <is>
          <t>Definir, validar e manter: Logica</t>
        </is>
      </c>
      <c r="F1045" s="10" t="n"/>
      <c r="G1045" s="10" t="b">
        <v>1</v>
      </c>
      <c r="H1045" s="10" t="b">
        <v>1</v>
      </c>
      <c r="I1045" s="10" t="inlineStr">
        <is>
          <t>DERIVED</t>
        </is>
      </c>
      <c r="J1045" s="10" t="inlineStr">
        <is>
          <t>PROPOSED</t>
        </is>
      </c>
      <c r="K1045" s="10" t="inlineStr">
        <is>
          <t>DERIVED</t>
        </is>
      </c>
      <c r="L1045" s="10" t="inlineStr">
        <is>
          <t>baixa</t>
        </is>
      </c>
      <c r="M1045" s="10" t="inlineStr">
        <is>
          <t>["D21-DOC-PWB-001.FORMULAS.LOGICA"]</t>
        </is>
      </c>
    </row>
    <row r="1046">
      <c r="A1046" s="10" t="inlineStr">
        <is>
          <t>D21-DOC-PWB-001.INPUTS.ENTRADA</t>
        </is>
      </c>
      <c r="B1046" s="10" t="inlineStr">
        <is>
          <t>D21-DOC-PWB-001</t>
        </is>
      </c>
      <c r="C1046" s="10" t="inlineStr">
        <is>
          <t>D21-DOC-PWB-001-T07</t>
        </is>
      </c>
      <c r="D1046" s="10" t="inlineStr">
        <is>
          <t>entrada</t>
        </is>
      </c>
      <c r="E1046" s="10" t="inlineStr">
        <is>
          <t>Definir, validar e manter: Entrada</t>
        </is>
      </c>
      <c r="F1046" s="10" t="n"/>
      <c r="G1046" s="10" t="b">
        <v>1</v>
      </c>
      <c r="H1046" s="10" t="b">
        <v>1</v>
      </c>
      <c r="I1046" s="10" t="inlineStr">
        <is>
          <t>DERIVED</t>
        </is>
      </c>
      <c r="J1046" s="10" t="inlineStr">
        <is>
          <t>PROPOSED</t>
        </is>
      </c>
      <c r="K1046" s="10" t="inlineStr">
        <is>
          <t>DERIVED</t>
        </is>
      </c>
      <c r="L1046" s="10" t="inlineStr">
        <is>
          <t>baixa</t>
        </is>
      </c>
      <c r="M1046" s="10" t="inlineStr">
        <is>
          <t>["D21-DOC-PWB-001.INPUTS.ENTRADA"]</t>
        </is>
      </c>
    </row>
    <row r="1047">
      <c r="A1047" s="10" t="inlineStr">
        <is>
          <t>D21-DOC-PWB-001.INPUTS.TIPO</t>
        </is>
      </c>
      <c r="B1047" s="10" t="inlineStr">
        <is>
          <t>D21-DOC-PWB-001</t>
        </is>
      </c>
      <c r="C1047" s="10" t="inlineStr">
        <is>
          <t>D21-DOC-PWB-001-T07</t>
        </is>
      </c>
      <c r="D1047" s="10" t="inlineStr">
        <is>
          <t>tipo</t>
        </is>
      </c>
      <c r="E1047" s="10" t="inlineStr">
        <is>
          <t>Definir, validar e manter: Tipo</t>
        </is>
      </c>
      <c r="F1047" s="10" t="n"/>
      <c r="G1047" s="10" t="b">
        <v>1</v>
      </c>
      <c r="H1047" s="10" t="b">
        <v>1</v>
      </c>
      <c r="I1047" s="10" t="inlineStr">
        <is>
          <t>DERIVED</t>
        </is>
      </c>
      <c r="J1047" s="10" t="inlineStr">
        <is>
          <t>PROPOSED</t>
        </is>
      </c>
      <c r="K1047" s="10" t="inlineStr">
        <is>
          <t>DERIVED</t>
        </is>
      </c>
      <c r="L1047" s="10" t="inlineStr">
        <is>
          <t>baixa</t>
        </is>
      </c>
      <c r="M1047" s="10" t="inlineStr">
        <is>
          <t>["D21-DOC-PWB-001.INPUTS.TIPO"]</t>
        </is>
      </c>
    </row>
    <row r="1048">
      <c r="A1048" s="10" t="inlineStr">
        <is>
          <t>D21-DOC-PWB-001.OUTPUTS.RELATORIO</t>
        </is>
      </c>
      <c r="B1048" s="10" t="inlineStr">
        <is>
          <t>D21-DOC-PWB-001</t>
        </is>
      </c>
      <c r="C1048" s="10" t="inlineStr">
        <is>
          <t>D21-DOC-PWB-001-T08</t>
        </is>
      </c>
      <c r="D1048" s="10" t="inlineStr">
        <is>
          <t>relatorio</t>
        </is>
      </c>
      <c r="E1048" s="10" t="inlineStr">
        <is>
          <t>Definir, validar e manter: Relatorio</t>
        </is>
      </c>
      <c r="F1048" s="10" t="n"/>
      <c r="G1048" s="10" t="b">
        <v>1</v>
      </c>
      <c r="H1048" s="10" t="b">
        <v>1</v>
      </c>
      <c r="I1048" s="10" t="inlineStr">
        <is>
          <t>DERIVED</t>
        </is>
      </c>
      <c r="J1048" s="10" t="inlineStr">
        <is>
          <t>PROPOSED</t>
        </is>
      </c>
      <c r="K1048" s="10" t="inlineStr">
        <is>
          <t>DERIVED</t>
        </is>
      </c>
      <c r="L1048" s="10" t="inlineStr">
        <is>
          <t>baixa</t>
        </is>
      </c>
      <c r="M1048" s="10" t="inlineStr">
        <is>
          <t>["D21-DOC-PWB-001.OUTPUTS.RELATORIO"]</t>
        </is>
      </c>
    </row>
    <row r="1049">
      <c r="A1049" s="10" t="inlineStr">
        <is>
          <t>D21-DOC-PWB-001.OUTPUTS.INDICADOR</t>
        </is>
      </c>
      <c r="B1049" s="10" t="inlineStr">
        <is>
          <t>D21-DOC-PWB-001</t>
        </is>
      </c>
      <c r="C1049" s="10" t="inlineStr">
        <is>
          <t>D21-DOC-PWB-001-T08</t>
        </is>
      </c>
      <c r="D1049" s="10" t="inlineStr">
        <is>
          <t>indicador</t>
        </is>
      </c>
      <c r="E1049" s="10" t="inlineStr">
        <is>
          <t>Definir, validar e manter: Indicador</t>
        </is>
      </c>
      <c r="F1049" s="10" t="n"/>
      <c r="G1049" s="10" t="b">
        <v>1</v>
      </c>
      <c r="H1049" s="10" t="b">
        <v>1</v>
      </c>
      <c r="I1049" s="10" t="inlineStr">
        <is>
          <t>DERIVED</t>
        </is>
      </c>
      <c r="J1049" s="10" t="inlineStr">
        <is>
          <t>PROPOSED</t>
        </is>
      </c>
      <c r="K1049" s="10" t="inlineStr">
        <is>
          <t>DERIVED</t>
        </is>
      </c>
      <c r="L1049" s="10" t="inlineStr">
        <is>
          <t>baixa</t>
        </is>
      </c>
      <c r="M1049" s="10" t="inlineStr">
        <is>
          <t>["D21-DOC-PWB-001.OUTPUTS.INDICADOR"]</t>
        </is>
      </c>
    </row>
    <row r="1050">
      <c r="A1050" s="10" t="inlineStr">
        <is>
          <t>D21-DOC-PWB-001.VALIDATION.REGRA</t>
        </is>
      </c>
      <c r="B1050" s="10" t="inlineStr">
        <is>
          <t>D21-DOC-PWB-001</t>
        </is>
      </c>
      <c r="C1050" s="10" t="inlineStr">
        <is>
          <t>D21-DOC-PWB-001-T09</t>
        </is>
      </c>
      <c r="D1050" s="10" t="inlineStr">
        <is>
          <t>regra</t>
        </is>
      </c>
      <c r="E1050" s="10" t="inlineStr">
        <is>
          <t>Definir, validar e manter: Regra</t>
        </is>
      </c>
      <c r="F1050" s="10" t="n"/>
      <c r="G1050" s="10" t="b">
        <v>1</v>
      </c>
      <c r="H1050" s="10" t="b">
        <v>1</v>
      </c>
      <c r="I1050" s="10" t="inlineStr">
        <is>
          <t>DERIVED</t>
        </is>
      </c>
      <c r="J1050" s="10" t="inlineStr">
        <is>
          <t>PROPOSED</t>
        </is>
      </c>
      <c r="K1050" s="10" t="inlineStr">
        <is>
          <t>DERIVED</t>
        </is>
      </c>
      <c r="L1050" s="10" t="inlineStr">
        <is>
          <t>baixa</t>
        </is>
      </c>
      <c r="M1050" s="10" t="inlineStr">
        <is>
          <t>["D21-DOC-PWB-001.VALIDATION.REGRA"]</t>
        </is>
      </c>
    </row>
    <row r="1051">
      <c r="A1051" s="10" t="inlineStr">
        <is>
          <t>D21-DOC-PWB-001.VALIDATION.ERRO</t>
        </is>
      </c>
      <c r="B1051" s="10" t="inlineStr">
        <is>
          <t>D21-DOC-PWB-001</t>
        </is>
      </c>
      <c r="C1051" s="10" t="inlineStr">
        <is>
          <t>D21-DOC-PWB-001-T09</t>
        </is>
      </c>
      <c r="D1051" s="10" t="inlineStr">
        <is>
          <t>erro</t>
        </is>
      </c>
      <c r="E1051" s="10" t="inlineStr">
        <is>
          <t>Definir, validar e manter: Erro</t>
        </is>
      </c>
      <c r="F1051" s="10" t="n"/>
      <c r="G1051" s="10" t="b">
        <v>1</v>
      </c>
      <c r="H1051" s="10" t="b">
        <v>1</v>
      </c>
      <c r="I1051" s="10" t="inlineStr">
        <is>
          <t>DERIVED</t>
        </is>
      </c>
      <c r="J1051" s="10" t="inlineStr">
        <is>
          <t>PROPOSED</t>
        </is>
      </c>
      <c r="K1051" s="10" t="inlineStr">
        <is>
          <t>DERIVED</t>
        </is>
      </c>
      <c r="L1051" s="10" t="inlineStr">
        <is>
          <t>baixa</t>
        </is>
      </c>
      <c r="M1051" s="10" t="inlineStr">
        <is>
          <t>["D21-DOC-PWB-001.VALIDATION.ERRO"]</t>
        </is>
      </c>
    </row>
    <row r="1052">
      <c r="A1052" s="10" t="inlineStr">
        <is>
          <t>D21-DOC-PWB-001.VISUALIZATION.GRAFICO</t>
        </is>
      </c>
      <c r="B1052" s="10" t="inlineStr">
        <is>
          <t>D21-DOC-PWB-001</t>
        </is>
      </c>
      <c r="C1052" s="10" t="inlineStr">
        <is>
          <t>D21-DOC-PWB-001-T10</t>
        </is>
      </c>
      <c r="D1052" s="10" t="inlineStr">
        <is>
          <t>grafico</t>
        </is>
      </c>
      <c r="E1052" s="10" t="inlineStr">
        <is>
          <t>Definir, validar e manter: Grafico</t>
        </is>
      </c>
      <c r="F1052" s="10" t="n"/>
      <c r="G1052" s="10" t="b">
        <v>1</v>
      </c>
      <c r="H1052" s="10" t="b">
        <v>1</v>
      </c>
      <c r="I1052" s="10" t="inlineStr">
        <is>
          <t>DERIVED</t>
        </is>
      </c>
      <c r="J1052" s="10" t="inlineStr">
        <is>
          <t>PROPOSED</t>
        </is>
      </c>
      <c r="K1052" s="10" t="inlineStr">
        <is>
          <t>DERIVED</t>
        </is>
      </c>
      <c r="L1052" s="10" t="inlineStr">
        <is>
          <t>baixa</t>
        </is>
      </c>
      <c r="M1052" s="10" t="inlineStr">
        <is>
          <t>["D21-DOC-PWB-001.VISUALIZATION.GRAFICO"]</t>
        </is>
      </c>
    </row>
    <row r="1053">
      <c r="A1053" s="10" t="inlineStr">
        <is>
          <t>D21-DOC-PWB-001.VISUALIZATION.TABELA</t>
        </is>
      </c>
      <c r="B1053" s="10" t="inlineStr">
        <is>
          <t>D21-DOC-PWB-001</t>
        </is>
      </c>
      <c r="C1053" s="10" t="inlineStr">
        <is>
          <t>D21-DOC-PWB-001-T10</t>
        </is>
      </c>
      <c r="D1053" s="10" t="inlineStr">
        <is>
          <t>tabela</t>
        </is>
      </c>
      <c r="E1053" s="10" t="inlineStr">
        <is>
          <t>Definir, validar e manter: Tabela</t>
        </is>
      </c>
      <c r="F1053" s="10" t="n"/>
      <c r="G1053" s="10" t="b">
        <v>1</v>
      </c>
      <c r="H1053" s="10" t="b">
        <v>1</v>
      </c>
      <c r="I1053" s="10" t="inlineStr">
        <is>
          <t>DERIVED</t>
        </is>
      </c>
      <c r="J1053" s="10" t="inlineStr">
        <is>
          <t>PROPOSED</t>
        </is>
      </c>
      <c r="K1053" s="10" t="inlineStr">
        <is>
          <t>DERIVED</t>
        </is>
      </c>
      <c r="L1053" s="10" t="inlineStr">
        <is>
          <t>baixa</t>
        </is>
      </c>
      <c r="M1053" s="10" t="inlineStr">
        <is>
          <t>["D21-DOC-PWB-001.VISUALIZATION.TABELA"]</t>
        </is>
      </c>
    </row>
    <row r="1054">
      <c r="A1054" s="10" t="inlineStr">
        <is>
          <t>D21-DOC-PWB-001.PRINTING.FORMATO</t>
        </is>
      </c>
      <c r="B1054" s="10" t="inlineStr">
        <is>
          <t>D21-DOC-PWB-001</t>
        </is>
      </c>
      <c r="C1054" s="10" t="inlineStr">
        <is>
          <t>D21-DOC-PWB-001-T11</t>
        </is>
      </c>
      <c r="D1054" s="10" t="inlineStr">
        <is>
          <t>formato</t>
        </is>
      </c>
      <c r="E1054" s="10" t="inlineStr">
        <is>
          <t>Definir, validar e manter: Formato</t>
        </is>
      </c>
      <c r="F1054" s="10" t="n"/>
      <c r="G1054" s="10" t="b">
        <v>1</v>
      </c>
      <c r="H1054" s="10" t="b">
        <v>1</v>
      </c>
      <c r="I1054" s="10" t="inlineStr">
        <is>
          <t>DERIVED</t>
        </is>
      </c>
      <c r="J1054" s="10" t="inlineStr">
        <is>
          <t>PROPOSED</t>
        </is>
      </c>
      <c r="K1054" s="10" t="inlineStr">
        <is>
          <t>DERIVED</t>
        </is>
      </c>
      <c r="L1054" s="10" t="inlineStr">
        <is>
          <t>baixa</t>
        </is>
      </c>
      <c r="M1054" s="10" t="inlineStr">
        <is>
          <t>["D21-DOC-PWB-001.PRINTING.FORMATO"]</t>
        </is>
      </c>
    </row>
    <row r="1055">
      <c r="A1055" s="10" t="inlineStr">
        <is>
          <t>D21-DOC-PWB-001.PRINTING.AREA_SEGURA</t>
        </is>
      </c>
      <c r="B1055" s="10" t="inlineStr">
        <is>
          <t>D21-DOC-PWB-001</t>
        </is>
      </c>
      <c r="C1055" s="10" t="inlineStr">
        <is>
          <t>D21-DOC-PWB-001-T11</t>
        </is>
      </c>
      <c r="D1055" s="10" t="inlineStr">
        <is>
          <t>area_segura</t>
        </is>
      </c>
      <c r="E1055" s="10" t="inlineStr">
        <is>
          <t>Definir, validar e manter: Area Segura</t>
        </is>
      </c>
      <c r="F1055" s="10" t="n"/>
      <c r="G1055" s="10" t="b">
        <v>1</v>
      </c>
      <c r="H1055" s="10" t="b">
        <v>1</v>
      </c>
      <c r="I1055" s="10" t="inlineStr">
        <is>
          <t>DERIVED</t>
        </is>
      </c>
      <c r="J1055" s="10" t="inlineStr">
        <is>
          <t>PROPOSED</t>
        </is>
      </c>
      <c r="K1055" s="10" t="inlineStr">
        <is>
          <t>DERIVED</t>
        </is>
      </c>
      <c r="L1055" s="10" t="inlineStr">
        <is>
          <t>baixa</t>
        </is>
      </c>
      <c r="M1055" s="10" t="inlineStr">
        <is>
          <t>["D21-DOC-PWB-001.PRINTING.AREA_SEGURA"]</t>
        </is>
      </c>
    </row>
    <row r="1056">
      <c r="A1056" s="10" t="inlineStr">
        <is>
          <t>D21-DOC-PWB-001.AUTOMATION.TRIGGER</t>
        </is>
      </c>
      <c r="B1056" s="10" t="inlineStr">
        <is>
          <t>D21-DOC-PWB-001</t>
        </is>
      </c>
      <c r="C1056" s="10" t="inlineStr">
        <is>
          <t>D21-DOC-PWB-001-T12</t>
        </is>
      </c>
      <c r="D1056" s="10" t="inlineStr">
        <is>
          <t>trigger</t>
        </is>
      </c>
      <c r="E1056" s="10" t="inlineStr">
        <is>
          <t>Definir, validar e manter: Trigger</t>
        </is>
      </c>
      <c r="F1056" s="10" t="n"/>
      <c r="G1056" s="10" t="b">
        <v>1</v>
      </c>
      <c r="H1056" s="10" t="b">
        <v>1</v>
      </c>
      <c r="I1056" s="10" t="inlineStr">
        <is>
          <t>DERIVED</t>
        </is>
      </c>
      <c r="J1056" s="10" t="inlineStr">
        <is>
          <t>PROPOSED</t>
        </is>
      </c>
      <c r="K1056" s="10" t="inlineStr">
        <is>
          <t>DERIVED</t>
        </is>
      </c>
      <c r="L1056" s="10" t="inlineStr">
        <is>
          <t>baixa</t>
        </is>
      </c>
      <c r="M1056" s="10" t="inlineStr">
        <is>
          <t>["D21-DOC-PWB-001.AUTOMATION.TRIGGER"]</t>
        </is>
      </c>
    </row>
    <row r="1057">
      <c r="A1057" s="10" t="inlineStr">
        <is>
          <t>D21-DOC-PWB-001.AUTOMATION.PROCESSO</t>
        </is>
      </c>
      <c r="B1057" s="10" t="inlineStr">
        <is>
          <t>D21-DOC-PWB-001</t>
        </is>
      </c>
      <c r="C1057" s="10" t="inlineStr">
        <is>
          <t>D21-DOC-PWB-001-T12</t>
        </is>
      </c>
      <c r="D1057" s="10" t="inlineStr">
        <is>
          <t>processo</t>
        </is>
      </c>
      <c r="E1057" s="10" t="inlineStr">
        <is>
          <t>Definir, validar e manter: Processo</t>
        </is>
      </c>
      <c r="F1057" s="10" t="n"/>
      <c r="G1057" s="10" t="b">
        <v>1</v>
      </c>
      <c r="H1057" s="10" t="b">
        <v>1</v>
      </c>
      <c r="I1057" s="10" t="inlineStr">
        <is>
          <t>DERIVED</t>
        </is>
      </c>
      <c r="J1057" s="10" t="inlineStr">
        <is>
          <t>PROPOSED</t>
        </is>
      </c>
      <c r="K1057" s="10" t="inlineStr">
        <is>
          <t>DERIVED</t>
        </is>
      </c>
      <c r="L1057" s="10" t="inlineStr">
        <is>
          <t>baixa</t>
        </is>
      </c>
      <c r="M1057" s="10" t="inlineStr">
        <is>
          <t>["D21-DOC-PWB-001.AUTOMATION.PROCESSO"]</t>
        </is>
      </c>
    </row>
    <row r="1058">
      <c r="A1058" s="10" t="inlineStr">
        <is>
          <t>D21-DOC-PWB-001.OWNERSHIP.OWNER</t>
        </is>
      </c>
      <c r="B1058" s="10" t="inlineStr">
        <is>
          <t>D21-DOC-PWB-001</t>
        </is>
      </c>
      <c r="C1058" s="10" t="inlineStr">
        <is>
          <t>D21-DOC-PWB-001-T13</t>
        </is>
      </c>
      <c r="D1058" s="10" t="inlineStr">
        <is>
          <t>owner</t>
        </is>
      </c>
      <c r="E1058" s="10" t="inlineStr">
        <is>
          <t>Definir, validar e manter: Owner</t>
        </is>
      </c>
      <c r="F1058" s="10" t="n"/>
      <c r="G1058" s="10" t="b">
        <v>1</v>
      </c>
      <c r="H1058" s="10" t="b">
        <v>1</v>
      </c>
      <c r="I1058" s="10" t="inlineStr">
        <is>
          <t>DERIVED</t>
        </is>
      </c>
      <c r="J1058" s="10" t="inlineStr">
        <is>
          <t>PROPOSED</t>
        </is>
      </c>
      <c r="K1058" s="10" t="inlineStr">
        <is>
          <t>DERIVED</t>
        </is>
      </c>
      <c r="L1058" s="10" t="inlineStr">
        <is>
          <t>baixa</t>
        </is>
      </c>
      <c r="M1058" s="10" t="inlineStr">
        <is>
          <t>["D21-DOC-PWB-001.OWNERSHIP.OWNER"]</t>
        </is>
      </c>
    </row>
    <row r="1059">
      <c r="A1059" s="10" t="inlineStr">
        <is>
          <t>D21-DOC-PWB-001.OWNERSHIP.APROVADOR</t>
        </is>
      </c>
      <c r="B1059" s="10" t="inlineStr">
        <is>
          <t>D21-DOC-PWB-001</t>
        </is>
      </c>
      <c r="C1059" s="10" t="inlineStr">
        <is>
          <t>D21-DOC-PWB-001-T13</t>
        </is>
      </c>
      <c r="D1059" s="10" t="inlineStr">
        <is>
          <t>aprovador</t>
        </is>
      </c>
      <c r="E1059" s="10" t="inlineStr">
        <is>
          <t>Definir, validar e manter: Aprovador</t>
        </is>
      </c>
      <c r="F1059" s="10" t="n"/>
      <c r="G1059" s="10" t="b">
        <v>1</v>
      </c>
      <c r="H1059" s="10" t="b">
        <v>1</v>
      </c>
      <c r="I1059" s="10" t="inlineStr">
        <is>
          <t>EXTERNAL</t>
        </is>
      </c>
      <c r="J1059" s="10" t="inlineStr">
        <is>
          <t>EXTERNAL_EVIDENCE</t>
        </is>
      </c>
      <c r="K1059" s="10" t="inlineStr">
        <is>
          <t>EXTERNAL</t>
        </is>
      </c>
      <c r="L1059" s="10" t="inlineStr">
        <is>
          <t>media</t>
        </is>
      </c>
      <c r="M1059" s="10" t="inlineStr">
        <is>
          <t>["D21-DOC-PWB-001.OWNERSHIP.APROVADOR"]</t>
        </is>
      </c>
    </row>
    <row r="1060">
      <c r="A1060" s="10" t="inlineStr">
        <is>
          <t>D21-DOC-PWB-001.VERSIONING.VERSAO</t>
        </is>
      </c>
      <c r="B1060" s="10" t="inlineStr">
        <is>
          <t>D21-DOC-PWB-001</t>
        </is>
      </c>
      <c r="C1060" s="10" t="inlineStr">
        <is>
          <t>D21-DOC-PWB-001-T14</t>
        </is>
      </c>
      <c r="D1060" s="10" t="inlineStr">
        <is>
          <t>versao</t>
        </is>
      </c>
      <c r="E1060" s="10" t="inlineStr">
        <is>
          <t>Definir, validar e manter: Versao</t>
        </is>
      </c>
      <c r="F1060" s="10" t="n"/>
      <c r="G1060" s="10" t="b">
        <v>1</v>
      </c>
      <c r="H1060" s="10" t="b">
        <v>1</v>
      </c>
      <c r="I1060" s="10" t="inlineStr">
        <is>
          <t>DERIVED</t>
        </is>
      </c>
      <c r="J1060" s="10" t="inlineStr">
        <is>
          <t>PROPOSED</t>
        </is>
      </c>
      <c r="K1060" s="10" t="inlineStr">
        <is>
          <t>DERIVED</t>
        </is>
      </c>
      <c r="L1060" s="10" t="inlineStr">
        <is>
          <t>baixa</t>
        </is>
      </c>
      <c r="M1060" s="10" t="inlineStr">
        <is>
          <t>["D21-DOC-PWB-001.VERSIONING.VERSAO"]</t>
        </is>
      </c>
    </row>
    <row r="1061">
      <c r="A1061" s="10" t="inlineStr">
        <is>
          <t>D21-DOC-PWB-001.VERSIONING.ALTERACAO</t>
        </is>
      </c>
      <c r="B1061" s="10" t="inlineStr">
        <is>
          <t>D21-DOC-PWB-001</t>
        </is>
      </c>
      <c r="C1061" s="10" t="inlineStr">
        <is>
          <t>D21-DOC-PWB-001-T14</t>
        </is>
      </c>
      <c r="D1061" s="10" t="inlineStr">
        <is>
          <t>alteracao</t>
        </is>
      </c>
      <c r="E1061" s="10" t="inlineStr">
        <is>
          <t>Definir, validar e manter: Alteracao</t>
        </is>
      </c>
      <c r="F1061" s="10" t="n"/>
      <c r="G1061" s="10" t="b">
        <v>1</v>
      </c>
      <c r="H1061" s="10" t="b">
        <v>1</v>
      </c>
      <c r="I1061" s="10" t="inlineStr">
        <is>
          <t>DERIVED</t>
        </is>
      </c>
      <c r="J1061" s="10" t="inlineStr">
        <is>
          <t>PROPOSED</t>
        </is>
      </c>
      <c r="K1061" s="10" t="inlineStr">
        <is>
          <t>DERIVED</t>
        </is>
      </c>
      <c r="L1061" s="10" t="inlineStr">
        <is>
          <t>baixa</t>
        </is>
      </c>
      <c r="M1061" s="10" t="inlineStr">
        <is>
          <t>["D21-DOC-PWB-001.VERSIONING.ALTERACAO"]</t>
        </is>
      </c>
    </row>
    <row r="1062">
      <c r="A1062" s="10" t="inlineStr">
        <is>
          <t>D21-DOC-PWB-001.EVIDENCE.FONTE</t>
        </is>
      </c>
      <c r="B1062" s="10" t="inlineStr">
        <is>
          <t>D21-DOC-PWB-001</t>
        </is>
      </c>
      <c r="C1062" s="10" t="inlineStr">
        <is>
          <t>D21-DOC-PWB-001-T15</t>
        </is>
      </c>
      <c r="D1062" s="10" t="inlineStr">
        <is>
          <t>fonte</t>
        </is>
      </c>
      <c r="E1062" s="10" t="inlineStr">
        <is>
          <t>Definir, validar e manter: Fonte</t>
        </is>
      </c>
      <c r="F1062" s="10" t="n"/>
      <c r="G1062" s="10" t="b">
        <v>1</v>
      </c>
      <c r="H1062" s="10" t="b">
        <v>1</v>
      </c>
      <c r="I1062" s="10" t="inlineStr">
        <is>
          <t>DERIVED</t>
        </is>
      </c>
      <c r="J1062" s="10" t="inlineStr">
        <is>
          <t>PROPOSED</t>
        </is>
      </c>
      <c r="K1062" s="10" t="inlineStr">
        <is>
          <t>DERIVED</t>
        </is>
      </c>
      <c r="L1062" s="10" t="inlineStr">
        <is>
          <t>baixa</t>
        </is>
      </c>
      <c r="M1062" s="10" t="inlineStr">
        <is>
          <t>["D21-DOC-PWB-001.EVIDENCE.FONTE"]</t>
        </is>
      </c>
    </row>
    <row r="1063">
      <c r="A1063" s="10" t="inlineStr">
        <is>
          <t>D21-DOC-PWB-001.EVIDENCE.RASTREABILIDADE</t>
        </is>
      </c>
      <c r="B1063" s="10" t="inlineStr">
        <is>
          <t>D21-DOC-PWB-001</t>
        </is>
      </c>
      <c r="C1063" s="10" t="inlineStr">
        <is>
          <t>D21-DOC-PWB-001-T15</t>
        </is>
      </c>
      <c r="D1063" s="10" t="inlineStr">
        <is>
          <t>rastreabilidade</t>
        </is>
      </c>
      <c r="E1063" s="10" t="inlineStr">
        <is>
          <t>Definir, validar e manter: Rastreabilidade</t>
        </is>
      </c>
      <c r="F1063" s="10" t="n"/>
      <c r="G1063" s="10" t="b">
        <v>1</v>
      </c>
      <c r="H1063" s="10" t="b">
        <v>1</v>
      </c>
      <c r="I1063" s="10" t="inlineStr">
        <is>
          <t>DERIVED</t>
        </is>
      </c>
      <c r="J1063" s="10" t="inlineStr">
        <is>
          <t>PROPOSED</t>
        </is>
      </c>
      <c r="K1063" s="10" t="inlineStr">
        <is>
          <t>DERIVED</t>
        </is>
      </c>
      <c r="L1063" s="10" t="inlineStr">
        <is>
          <t>baixa</t>
        </is>
      </c>
      <c r="M1063" s="10" t="inlineStr">
        <is>
          <t>["D21-DOC-PWB-001.EVIDENCE.RASTREABILIDADE"]</t>
        </is>
      </c>
    </row>
    <row r="1064">
      <c r="A1064" s="10" t="inlineStr">
        <is>
          <t>D22-DOC-DRL-001.SCHEMA.DECISION_ID</t>
        </is>
      </c>
      <c r="B1064" s="10" t="inlineStr">
        <is>
          <t>D22-DOC-DRL-001</t>
        </is>
      </c>
      <c r="C1064" s="10" t="inlineStr">
        <is>
          <t>D22-DOC-DRL-001-T01</t>
        </is>
      </c>
      <c r="D1064" s="10" t="inlineStr">
        <is>
          <t>decision_id</t>
        </is>
      </c>
      <c r="E1064" s="10" t="inlineStr">
        <is>
          <t>Definir, validar e manter: Decision ID</t>
        </is>
      </c>
      <c r="F1064" s="10" t="n"/>
      <c r="G1064" s="10" t="b">
        <v>1</v>
      </c>
      <c r="H1064" s="10" t="b">
        <v>1</v>
      </c>
      <c r="I1064" s="10" t="inlineStr">
        <is>
          <t>DERIVED</t>
        </is>
      </c>
      <c r="J1064" s="10" t="inlineStr">
        <is>
          <t>PROPOSED</t>
        </is>
      </c>
      <c r="K1064" s="10" t="inlineStr">
        <is>
          <t>DERIVED</t>
        </is>
      </c>
      <c r="L1064" s="10" t="inlineStr">
        <is>
          <t>baixa</t>
        </is>
      </c>
      <c r="M1064" s="10" t="inlineStr">
        <is>
          <t>["D22-DOC-DRL-001.SCHEMA.DECISION_ID"]</t>
        </is>
      </c>
    </row>
    <row r="1065">
      <c r="A1065" s="10" t="inlineStr">
        <is>
          <t>D22-DOC-DRL-001.SCHEMA.TITLE</t>
        </is>
      </c>
      <c r="B1065" s="10" t="inlineStr">
        <is>
          <t>D22-DOC-DRL-001</t>
        </is>
      </c>
      <c r="C1065" s="10" t="inlineStr">
        <is>
          <t>D22-DOC-DRL-001-T01</t>
        </is>
      </c>
      <c r="D1065" s="10" t="inlineStr">
        <is>
          <t>title</t>
        </is>
      </c>
      <c r="E1065" s="10" t="inlineStr">
        <is>
          <t>Definir, validar e manter: Title</t>
        </is>
      </c>
      <c r="F1065" s="10" t="n"/>
      <c r="G1065" s="10" t="b">
        <v>1</v>
      </c>
      <c r="H1065" s="10" t="b">
        <v>1</v>
      </c>
      <c r="I1065" s="10" t="inlineStr">
        <is>
          <t>DERIVED</t>
        </is>
      </c>
      <c r="J1065" s="10" t="inlineStr">
        <is>
          <t>PROPOSED</t>
        </is>
      </c>
      <c r="K1065" s="10" t="inlineStr">
        <is>
          <t>DERIVED</t>
        </is>
      </c>
      <c r="L1065" s="10" t="inlineStr">
        <is>
          <t>baixa</t>
        </is>
      </c>
      <c r="M1065" s="10" t="inlineStr">
        <is>
          <t>["D22-DOC-DRL-001.SCHEMA.TITLE"]</t>
        </is>
      </c>
    </row>
    <row r="1066">
      <c r="A1066" s="10" t="inlineStr">
        <is>
          <t>D22-DOC-DRL-001.SCHEMA.DOMAIN</t>
        </is>
      </c>
      <c r="B1066" s="10" t="inlineStr">
        <is>
          <t>D22-DOC-DRL-001</t>
        </is>
      </c>
      <c r="C1066" s="10" t="inlineStr">
        <is>
          <t>D22-DOC-DRL-001-T01</t>
        </is>
      </c>
      <c r="D1066" s="10" t="inlineStr">
        <is>
          <t>domain</t>
        </is>
      </c>
      <c r="E1066" s="10" t="inlineStr">
        <is>
          <t>Definir, validar e manter: Domain</t>
        </is>
      </c>
      <c r="F1066" s="10" t="n"/>
      <c r="G1066" s="10" t="b">
        <v>1</v>
      </c>
      <c r="H1066" s="10" t="b">
        <v>1</v>
      </c>
      <c r="I1066" s="10" t="inlineStr">
        <is>
          <t>DERIVED</t>
        </is>
      </c>
      <c r="J1066" s="10" t="inlineStr">
        <is>
          <t>PROPOSED</t>
        </is>
      </c>
      <c r="K1066" s="10" t="inlineStr">
        <is>
          <t>DERIVED</t>
        </is>
      </c>
      <c r="L1066" s="10" t="inlineStr">
        <is>
          <t>baixa</t>
        </is>
      </c>
      <c r="M1066" s="10" t="inlineStr">
        <is>
          <t>["D22-DOC-DRL-001.SCHEMA.DOMAIN"]</t>
        </is>
      </c>
    </row>
    <row r="1067">
      <c r="A1067" s="10" t="inlineStr">
        <is>
          <t>D22-DOC-DRL-001.SCHEMA.CONTEXT</t>
        </is>
      </c>
      <c r="B1067" s="10" t="inlineStr">
        <is>
          <t>D22-DOC-DRL-001</t>
        </is>
      </c>
      <c r="C1067" s="10" t="inlineStr">
        <is>
          <t>D22-DOC-DRL-001-T01</t>
        </is>
      </c>
      <c r="D1067" s="10" t="inlineStr">
        <is>
          <t>context</t>
        </is>
      </c>
      <c r="E1067" s="10" t="inlineStr">
        <is>
          <t>Definir, validar e manter: Context</t>
        </is>
      </c>
      <c r="F1067" s="10" t="n"/>
      <c r="G1067" s="10" t="b">
        <v>1</v>
      </c>
      <c r="H1067" s="10" t="b">
        <v>1</v>
      </c>
      <c r="I1067" s="10" t="inlineStr">
        <is>
          <t>DERIVED</t>
        </is>
      </c>
      <c r="J1067" s="10" t="inlineStr">
        <is>
          <t>PROPOSED</t>
        </is>
      </c>
      <c r="K1067" s="10" t="inlineStr">
        <is>
          <t>DERIVED</t>
        </is>
      </c>
      <c r="L1067" s="10" t="inlineStr">
        <is>
          <t>baixa</t>
        </is>
      </c>
      <c r="M1067" s="10" t="inlineStr">
        <is>
          <t>["D22-DOC-DRL-001.SCHEMA.CONTEXT"]</t>
        </is>
      </c>
    </row>
    <row r="1068">
      <c r="A1068" s="10" t="inlineStr">
        <is>
          <t>D22-DOC-DRL-001.SCHEMA.PROBLEM</t>
        </is>
      </c>
      <c r="B1068" s="10" t="inlineStr">
        <is>
          <t>D22-DOC-DRL-001</t>
        </is>
      </c>
      <c r="C1068" s="10" t="inlineStr">
        <is>
          <t>D22-DOC-DRL-001-T01</t>
        </is>
      </c>
      <c r="D1068" s="10" t="inlineStr">
        <is>
          <t>problem</t>
        </is>
      </c>
      <c r="E1068" s="10" t="inlineStr">
        <is>
          <t>Definir, validar e manter: Problem</t>
        </is>
      </c>
      <c r="F1068" s="10" t="n"/>
      <c r="G1068" s="10" t="b">
        <v>1</v>
      </c>
      <c r="H1068" s="10" t="b">
        <v>1</v>
      </c>
      <c r="I1068" s="10" t="inlineStr">
        <is>
          <t>DERIVED</t>
        </is>
      </c>
      <c r="J1068" s="10" t="inlineStr">
        <is>
          <t>PROPOSED</t>
        </is>
      </c>
      <c r="K1068" s="10" t="inlineStr">
        <is>
          <t>DERIVED</t>
        </is>
      </c>
      <c r="L1068" s="10" t="inlineStr">
        <is>
          <t>baixa</t>
        </is>
      </c>
      <c r="M1068" s="10" t="inlineStr">
        <is>
          <t>["D22-DOC-DRL-001.SCHEMA.PROBLEM"]</t>
        </is>
      </c>
    </row>
    <row r="1069">
      <c r="A1069" s="10" t="inlineStr">
        <is>
          <t>D22-DOC-DRL-001.SCHEMA.DECISION_REQUIRED</t>
        </is>
      </c>
      <c r="B1069" s="10" t="inlineStr">
        <is>
          <t>D22-DOC-DRL-001</t>
        </is>
      </c>
      <c r="C1069" s="10" t="inlineStr">
        <is>
          <t>D22-DOC-DRL-001-T01</t>
        </is>
      </c>
      <c r="D1069" s="10" t="inlineStr">
        <is>
          <t>decision_required</t>
        </is>
      </c>
      <c r="E1069" s="10" t="inlineStr">
        <is>
          <t>Definir, validar e manter: Decision Required</t>
        </is>
      </c>
      <c r="F1069" s="10" t="n"/>
      <c r="G1069" s="10" t="b">
        <v>1</v>
      </c>
      <c r="H1069" s="10" t="b">
        <v>1</v>
      </c>
      <c r="I1069" s="10" t="inlineStr">
        <is>
          <t>DERIVED</t>
        </is>
      </c>
      <c r="J1069" s="10" t="inlineStr">
        <is>
          <t>PROPOSED</t>
        </is>
      </c>
      <c r="K1069" s="10" t="inlineStr">
        <is>
          <t>DERIVED</t>
        </is>
      </c>
      <c r="L1069" s="10" t="inlineStr">
        <is>
          <t>baixa</t>
        </is>
      </c>
      <c r="M1069" s="10" t="inlineStr">
        <is>
          <t>["D22-DOC-DRL-001.SCHEMA.DECISION_REQUIRED"]</t>
        </is>
      </c>
    </row>
    <row r="1070">
      <c r="A1070" s="10" t="inlineStr">
        <is>
          <t>D22-DOC-DRL-001.SCHEMA.OPTIONS_CONSIDERED</t>
        </is>
      </c>
      <c r="B1070" s="10" t="inlineStr">
        <is>
          <t>D22-DOC-DRL-001</t>
        </is>
      </c>
      <c r="C1070" s="10" t="inlineStr">
        <is>
          <t>D22-DOC-DRL-001-T01</t>
        </is>
      </c>
      <c r="D1070" s="10" t="inlineStr">
        <is>
          <t>options_considered</t>
        </is>
      </c>
      <c r="E1070" s="10" t="inlineStr">
        <is>
          <t>Definir, validar e manter: Options Considered</t>
        </is>
      </c>
      <c r="F1070" s="10" t="n"/>
      <c r="G1070" s="10" t="b">
        <v>1</v>
      </c>
      <c r="H1070" s="10" t="b">
        <v>1</v>
      </c>
      <c r="I1070" s="10" t="inlineStr">
        <is>
          <t>DERIVED</t>
        </is>
      </c>
      <c r="J1070" s="10" t="inlineStr">
        <is>
          <t>PROPOSED</t>
        </is>
      </c>
      <c r="K1070" s="10" t="inlineStr">
        <is>
          <t>DERIVED</t>
        </is>
      </c>
      <c r="L1070" s="10" t="inlineStr">
        <is>
          <t>baixa</t>
        </is>
      </c>
      <c r="M1070" s="10" t="inlineStr">
        <is>
          <t>["D22-DOC-DRL-001.SCHEMA.OPTIONS_CONSIDERED"]</t>
        </is>
      </c>
    </row>
    <row r="1071">
      <c r="A1071" s="10" t="inlineStr">
        <is>
          <t>D22-DOC-DRL-001.SCHEMA.EVALUATION_CRITERIA</t>
        </is>
      </c>
      <c r="B1071" s="10" t="inlineStr">
        <is>
          <t>D22-DOC-DRL-001</t>
        </is>
      </c>
      <c r="C1071" s="10" t="inlineStr">
        <is>
          <t>D22-DOC-DRL-001-T01</t>
        </is>
      </c>
      <c r="D1071" s="10" t="inlineStr">
        <is>
          <t>evaluation_criteria</t>
        </is>
      </c>
      <c r="E1071" s="10" t="inlineStr">
        <is>
          <t>Definir, validar e manter: Evaluation Criteria</t>
        </is>
      </c>
      <c r="F1071" s="10" t="n"/>
      <c r="G1071" s="10" t="b">
        <v>1</v>
      </c>
      <c r="H1071" s="10" t="b">
        <v>1</v>
      </c>
      <c r="I1071" s="10" t="inlineStr">
        <is>
          <t>DERIVED</t>
        </is>
      </c>
      <c r="J1071" s="10" t="inlineStr">
        <is>
          <t>PROPOSED</t>
        </is>
      </c>
      <c r="K1071" s="10" t="inlineStr">
        <is>
          <t>DERIVED</t>
        </is>
      </c>
      <c r="L1071" s="10" t="inlineStr">
        <is>
          <t>baixa</t>
        </is>
      </c>
      <c r="M1071" s="10" t="inlineStr">
        <is>
          <t>["D22-DOC-DRL-001.SCHEMA.EVALUATION_CRITERIA"]</t>
        </is>
      </c>
    </row>
    <row r="1072">
      <c r="A1072" s="10" t="inlineStr">
        <is>
          <t>D22-DOC-DRL-001.SCHEMA.SELECTED_OPTION</t>
        </is>
      </c>
      <c r="B1072" s="10" t="inlineStr">
        <is>
          <t>D22-DOC-DRL-001</t>
        </is>
      </c>
      <c r="C1072" s="10" t="inlineStr">
        <is>
          <t>D22-DOC-DRL-001-T01</t>
        </is>
      </c>
      <c r="D1072" s="10" t="inlineStr">
        <is>
          <t>selected_option</t>
        </is>
      </c>
      <c r="E1072" s="10" t="inlineStr">
        <is>
          <t>Definir, validar e manter: Selected Option</t>
        </is>
      </c>
      <c r="F1072" s="10" t="n"/>
      <c r="G1072" s="10" t="b">
        <v>1</v>
      </c>
      <c r="H1072" s="10" t="b">
        <v>1</v>
      </c>
      <c r="I1072" s="10" t="inlineStr">
        <is>
          <t>DERIVED</t>
        </is>
      </c>
      <c r="J1072" s="10" t="inlineStr">
        <is>
          <t>PROPOSED</t>
        </is>
      </c>
      <c r="K1072" s="10" t="inlineStr">
        <is>
          <t>DERIVED</t>
        </is>
      </c>
      <c r="L1072" s="10" t="inlineStr">
        <is>
          <t>baixa</t>
        </is>
      </c>
      <c r="M1072" s="10" t="inlineStr">
        <is>
          <t>["D22-DOC-DRL-001.SCHEMA.SELECTED_OPTION"]</t>
        </is>
      </c>
    </row>
    <row r="1073">
      <c r="A1073" s="10" t="inlineStr">
        <is>
          <t>D22-DOC-DRL-001.SCHEMA.RATIONALE</t>
        </is>
      </c>
      <c r="B1073" s="10" t="inlineStr">
        <is>
          <t>D22-DOC-DRL-001</t>
        </is>
      </c>
      <c r="C1073" s="10" t="inlineStr">
        <is>
          <t>D22-DOC-DRL-001-T01</t>
        </is>
      </c>
      <c r="D1073" s="10" t="inlineStr">
        <is>
          <t>rationale</t>
        </is>
      </c>
      <c r="E1073" s="10" t="inlineStr">
        <is>
          <t>Definir, validar e manter: Rationale</t>
        </is>
      </c>
      <c r="F1073" s="10" t="n"/>
      <c r="G1073" s="10" t="b">
        <v>1</v>
      </c>
      <c r="H1073" s="10" t="b">
        <v>1</v>
      </c>
      <c r="I1073" s="10" t="inlineStr">
        <is>
          <t>DERIVED</t>
        </is>
      </c>
      <c r="J1073" s="10" t="inlineStr">
        <is>
          <t>PROPOSED</t>
        </is>
      </c>
      <c r="K1073" s="10" t="inlineStr">
        <is>
          <t>DERIVED</t>
        </is>
      </c>
      <c r="L1073" s="10" t="inlineStr">
        <is>
          <t>baixa</t>
        </is>
      </c>
      <c r="M1073" s="10" t="inlineStr">
        <is>
          <t>["D22-DOC-DRL-001.SCHEMA.RATIONALE"]</t>
        </is>
      </c>
    </row>
    <row r="1074">
      <c r="A1074" s="10" t="inlineStr">
        <is>
          <t>D22-DOC-DRL-001.SCHEMA.EVIDENCE</t>
        </is>
      </c>
      <c r="B1074" s="10" t="inlineStr">
        <is>
          <t>D22-DOC-DRL-001</t>
        </is>
      </c>
      <c r="C1074" s="10" t="inlineStr">
        <is>
          <t>D22-DOC-DRL-001-T01</t>
        </is>
      </c>
      <c r="D1074" s="10" t="inlineStr">
        <is>
          <t>evidence</t>
        </is>
      </c>
      <c r="E1074" s="10" t="inlineStr">
        <is>
          <t>Definir, validar e manter: Evidence</t>
        </is>
      </c>
      <c r="F1074" s="10" t="n"/>
      <c r="G1074" s="10" t="b">
        <v>1</v>
      </c>
      <c r="H1074" s="10" t="b">
        <v>1</v>
      </c>
      <c r="I1074" s="10" t="inlineStr">
        <is>
          <t>DERIVED</t>
        </is>
      </c>
      <c r="J1074" s="10" t="inlineStr">
        <is>
          <t>PROPOSED</t>
        </is>
      </c>
      <c r="K1074" s="10" t="inlineStr">
        <is>
          <t>DERIVED</t>
        </is>
      </c>
      <c r="L1074" s="10" t="inlineStr">
        <is>
          <t>baixa</t>
        </is>
      </c>
      <c r="M1074" s="10" t="inlineStr">
        <is>
          <t>["D22-DOC-DRL-001.SCHEMA.EVIDENCE"]</t>
        </is>
      </c>
    </row>
    <row r="1075">
      <c r="A1075" s="10" t="inlineStr">
        <is>
          <t>D22-DOC-DRL-001.SCHEMA.OWNER</t>
        </is>
      </c>
      <c r="B1075" s="10" t="inlineStr">
        <is>
          <t>D22-DOC-DRL-001</t>
        </is>
      </c>
      <c r="C1075" s="10" t="inlineStr">
        <is>
          <t>D22-DOC-DRL-001-T01</t>
        </is>
      </c>
      <c r="D1075" s="10" t="inlineStr">
        <is>
          <t>owner</t>
        </is>
      </c>
      <c r="E1075" s="10" t="inlineStr">
        <is>
          <t>Definir, validar e manter: Owner</t>
        </is>
      </c>
      <c r="F1075" s="10" t="n"/>
      <c r="G1075" s="10" t="b">
        <v>1</v>
      </c>
      <c r="H1075" s="10" t="b">
        <v>1</v>
      </c>
      <c r="I1075" s="10" t="inlineStr">
        <is>
          <t>DERIVED</t>
        </is>
      </c>
      <c r="J1075" s="10" t="inlineStr">
        <is>
          <t>PROPOSED</t>
        </is>
      </c>
      <c r="K1075" s="10" t="inlineStr">
        <is>
          <t>DERIVED</t>
        </is>
      </c>
      <c r="L1075" s="10" t="inlineStr">
        <is>
          <t>baixa</t>
        </is>
      </c>
      <c r="M1075" s="10" t="inlineStr">
        <is>
          <t>["D22-DOC-DRL-001.SCHEMA.OWNER"]</t>
        </is>
      </c>
    </row>
    <row r="1076">
      <c r="A1076" s="10" t="inlineStr">
        <is>
          <t>D22-DOC-DRL-001.SCHEMA.DECISION_DATE</t>
        </is>
      </c>
      <c r="B1076" s="10" t="inlineStr">
        <is>
          <t>D22-DOC-DRL-001</t>
        </is>
      </c>
      <c r="C1076" s="10" t="inlineStr">
        <is>
          <t>D22-DOC-DRL-001-T01</t>
        </is>
      </c>
      <c r="D1076" s="10" t="inlineStr">
        <is>
          <t>decision_date</t>
        </is>
      </c>
      <c r="E1076" s="10" t="inlineStr">
        <is>
          <t>Definir, validar e manter: Decision Date</t>
        </is>
      </c>
      <c r="F1076" s="10" t="n"/>
      <c r="G1076" s="10" t="b">
        <v>1</v>
      </c>
      <c r="H1076" s="10" t="b">
        <v>1</v>
      </c>
      <c r="I1076" s="10" t="inlineStr">
        <is>
          <t>DERIVED</t>
        </is>
      </c>
      <c r="J1076" s="10" t="inlineStr">
        <is>
          <t>PROPOSED</t>
        </is>
      </c>
      <c r="K1076" s="10" t="inlineStr">
        <is>
          <t>DERIVED</t>
        </is>
      </c>
      <c r="L1076" s="10" t="inlineStr">
        <is>
          <t>baixa</t>
        </is>
      </c>
      <c r="M1076" s="10" t="inlineStr">
        <is>
          <t>["D22-DOC-DRL-001.SCHEMA.DECISION_DATE"]</t>
        </is>
      </c>
    </row>
    <row r="1077">
      <c r="A1077" s="10" t="inlineStr">
        <is>
          <t>D22-DOC-DRL-001.SCHEMA.EFFECTIVE_DATE</t>
        </is>
      </c>
      <c r="B1077" s="10" t="inlineStr">
        <is>
          <t>D22-DOC-DRL-001</t>
        </is>
      </c>
      <c r="C1077" s="10" t="inlineStr">
        <is>
          <t>D22-DOC-DRL-001-T01</t>
        </is>
      </c>
      <c r="D1077" s="10" t="inlineStr">
        <is>
          <t>effective_date</t>
        </is>
      </c>
      <c r="E1077" s="10" t="inlineStr">
        <is>
          <t>Definir, validar e manter: Effective Date</t>
        </is>
      </c>
      <c r="F1077" s="10" t="n"/>
      <c r="G1077" s="10" t="b">
        <v>1</v>
      </c>
      <c r="H1077" s="10" t="b">
        <v>1</v>
      </c>
      <c r="I1077" s="10" t="inlineStr">
        <is>
          <t>DERIVED</t>
        </is>
      </c>
      <c r="J1077" s="10" t="inlineStr">
        <is>
          <t>PROPOSED</t>
        </is>
      </c>
      <c r="K1077" s="10" t="inlineStr">
        <is>
          <t>DERIVED</t>
        </is>
      </c>
      <c r="L1077" s="10" t="inlineStr">
        <is>
          <t>baixa</t>
        </is>
      </c>
      <c r="M1077" s="10" t="inlineStr">
        <is>
          <t>["D22-DOC-DRL-001.SCHEMA.EFFECTIVE_DATE"]</t>
        </is>
      </c>
    </row>
    <row r="1078">
      <c r="A1078" s="10" t="inlineStr">
        <is>
          <t>D22-DOC-DRL-001.SCHEMA.STATUS</t>
        </is>
      </c>
      <c r="B1078" s="10" t="inlineStr">
        <is>
          <t>D22-DOC-DRL-001</t>
        </is>
      </c>
      <c r="C1078" s="10" t="inlineStr">
        <is>
          <t>D22-DOC-DRL-001-T01</t>
        </is>
      </c>
      <c r="D1078" s="10" t="inlineStr">
        <is>
          <t>status</t>
        </is>
      </c>
      <c r="E1078" s="10" t="inlineStr">
        <is>
          <t>Definir, validar e manter: Status</t>
        </is>
      </c>
      <c r="F1078" s="10" t="n"/>
      <c r="G1078" s="10" t="b">
        <v>1</v>
      </c>
      <c r="H1078" s="10" t="b">
        <v>1</v>
      </c>
      <c r="I1078" s="10" t="inlineStr">
        <is>
          <t>DERIVED</t>
        </is>
      </c>
      <c r="J1078" s="10" t="inlineStr">
        <is>
          <t>PROPOSED</t>
        </is>
      </c>
      <c r="K1078" s="10" t="inlineStr">
        <is>
          <t>DERIVED</t>
        </is>
      </c>
      <c r="L1078" s="10" t="inlineStr">
        <is>
          <t>baixa</t>
        </is>
      </c>
      <c r="M1078" s="10" t="inlineStr">
        <is>
          <t>["D22-DOC-DRL-001.SCHEMA.STATUS"]</t>
        </is>
      </c>
    </row>
    <row r="1079">
      <c r="A1079" s="10" t="inlineStr">
        <is>
          <t>D22-DOC-DRL-001.SCHEMA.DEPENDENCIES</t>
        </is>
      </c>
      <c r="B1079" s="10" t="inlineStr">
        <is>
          <t>D22-DOC-DRL-001</t>
        </is>
      </c>
      <c r="C1079" s="10" t="inlineStr">
        <is>
          <t>D22-DOC-DRL-001-T01</t>
        </is>
      </c>
      <c r="D1079" s="10" t="inlineStr">
        <is>
          <t>dependencies</t>
        </is>
      </c>
      <c r="E1079" s="10" t="inlineStr">
        <is>
          <t>Definir, validar e manter: Dependencies</t>
        </is>
      </c>
      <c r="F1079" s="10" t="n"/>
      <c r="G1079" s="10" t="b">
        <v>1</v>
      </c>
      <c r="H1079" s="10" t="b">
        <v>1</v>
      </c>
      <c r="I1079" s="10" t="inlineStr">
        <is>
          <t>DERIVED</t>
        </is>
      </c>
      <c r="J1079" s="10" t="inlineStr">
        <is>
          <t>PROPOSED</t>
        </is>
      </c>
      <c r="K1079" s="10" t="inlineStr">
        <is>
          <t>DERIVED</t>
        </is>
      </c>
      <c r="L1079" s="10" t="inlineStr">
        <is>
          <t>baixa</t>
        </is>
      </c>
      <c r="M1079" s="10" t="inlineStr">
        <is>
          <t>["D22-DOC-DRL-001.SCHEMA.DEPENDENCIES"]</t>
        </is>
      </c>
    </row>
    <row r="1080">
      <c r="A1080" s="10" t="inlineStr">
        <is>
          <t>D22-DOC-DRL-001.SCHEMA.BLOCKS</t>
        </is>
      </c>
      <c r="B1080" s="10" t="inlineStr">
        <is>
          <t>D22-DOC-DRL-001</t>
        </is>
      </c>
      <c r="C1080" s="10" t="inlineStr">
        <is>
          <t>D22-DOC-DRL-001-T01</t>
        </is>
      </c>
      <c r="D1080" s="10" t="inlineStr">
        <is>
          <t>blocks</t>
        </is>
      </c>
      <c r="E1080" s="10" t="inlineStr">
        <is>
          <t>Definir, validar e manter: Blocks</t>
        </is>
      </c>
      <c r="F1080" s="10" t="n"/>
      <c r="G1080" s="10" t="b">
        <v>1</v>
      </c>
      <c r="H1080" s="10" t="b">
        <v>1</v>
      </c>
      <c r="I1080" s="10" t="inlineStr">
        <is>
          <t>DERIVED</t>
        </is>
      </c>
      <c r="J1080" s="10" t="inlineStr">
        <is>
          <t>PROPOSED</t>
        </is>
      </c>
      <c r="K1080" s="10" t="inlineStr">
        <is>
          <t>DERIVED</t>
        </is>
      </c>
      <c r="L1080" s="10" t="inlineStr">
        <is>
          <t>baixa</t>
        </is>
      </c>
      <c r="M1080" s="10" t="inlineStr">
        <is>
          <t>["D22-DOC-DRL-001.SCHEMA.BLOCKS"]</t>
        </is>
      </c>
    </row>
    <row r="1081">
      <c r="A1081" s="10" t="inlineStr">
        <is>
          <t>D22-DOC-DRL-001.SCHEMA.CONSEQUENCES</t>
        </is>
      </c>
      <c r="B1081" s="10" t="inlineStr">
        <is>
          <t>D22-DOC-DRL-001</t>
        </is>
      </c>
      <c r="C1081" s="10" t="inlineStr">
        <is>
          <t>D22-DOC-DRL-001-T01</t>
        </is>
      </c>
      <c r="D1081" s="10" t="inlineStr">
        <is>
          <t>consequences</t>
        </is>
      </c>
      <c r="E1081" s="10" t="inlineStr">
        <is>
          <t>Definir, validar e manter: Consequences</t>
        </is>
      </c>
      <c r="F1081" s="10" t="n"/>
      <c r="G1081" s="10" t="b">
        <v>1</v>
      </c>
      <c r="H1081" s="10" t="b">
        <v>1</v>
      </c>
      <c r="I1081" s="10" t="inlineStr">
        <is>
          <t>DERIVED</t>
        </is>
      </c>
      <c r="J1081" s="10" t="inlineStr">
        <is>
          <t>PROPOSED</t>
        </is>
      </c>
      <c r="K1081" s="10" t="inlineStr">
        <is>
          <t>DERIVED</t>
        </is>
      </c>
      <c r="L1081" s="10" t="inlineStr">
        <is>
          <t>baixa</t>
        </is>
      </c>
      <c r="M1081" s="10" t="inlineStr">
        <is>
          <t>["D22-DOC-DRL-001.SCHEMA.CONSEQUENCES"]</t>
        </is>
      </c>
    </row>
    <row r="1082">
      <c r="A1082" s="10" t="inlineStr">
        <is>
          <t>D22-DOC-DRL-001.SCHEMA.RISKS</t>
        </is>
      </c>
      <c r="B1082" s="10" t="inlineStr">
        <is>
          <t>D22-DOC-DRL-001</t>
        </is>
      </c>
      <c r="C1082" s="10" t="inlineStr">
        <is>
          <t>D22-DOC-DRL-001-T01</t>
        </is>
      </c>
      <c r="D1082" s="10" t="inlineStr">
        <is>
          <t>risks</t>
        </is>
      </c>
      <c r="E1082" s="10" t="inlineStr">
        <is>
          <t>Definir, validar e manter: Risks</t>
        </is>
      </c>
      <c r="F1082" s="10" t="n"/>
      <c r="G1082" s="10" t="b">
        <v>1</v>
      </c>
      <c r="H1082" s="10" t="b">
        <v>1</v>
      </c>
      <c r="I1082" s="10" t="inlineStr">
        <is>
          <t>DERIVED</t>
        </is>
      </c>
      <c r="J1082" s="10" t="inlineStr">
        <is>
          <t>PROPOSED</t>
        </is>
      </c>
      <c r="K1082" s="10" t="inlineStr">
        <is>
          <t>DERIVED</t>
        </is>
      </c>
      <c r="L1082" s="10" t="inlineStr">
        <is>
          <t>baixa</t>
        </is>
      </c>
      <c r="M1082" s="10" t="inlineStr">
        <is>
          <t>["D22-DOC-DRL-001.SCHEMA.RISKS"]</t>
        </is>
      </c>
    </row>
    <row r="1083">
      <c r="A1083" s="10" t="inlineStr">
        <is>
          <t>D22-DOC-DRL-001.SCHEMA.REVERSIBILITY</t>
        </is>
      </c>
      <c r="B1083" s="10" t="inlineStr">
        <is>
          <t>D22-DOC-DRL-001</t>
        </is>
      </c>
      <c r="C1083" s="10" t="inlineStr">
        <is>
          <t>D22-DOC-DRL-001-T01</t>
        </is>
      </c>
      <c r="D1083" s="10" t="inlineStr">
        <is>
          <t>reversibility</t>
        </is>
      </c>
      <c r="E1083" s="10" t="inlineStr">
        <is>
          <t>Definir, validar e manter: Reversibility</t>
        </is>
      </c>
      <c r="F1083" s="10" t="n"/>
      <c r="G1083" s="10" t="b">
        <v>1</v>
      </c>
      <c r="H1083" s="10" t="b">
        <v>1</v>
      </c>
      <c r="I1083" s="10" t="inlineStr">
        <is>
          <t>DERIVED</t>
        </is>
      </c>
      <c r="J1083" s="10" t="inlineStr">
        <is>
          <t>PROPOSED</t>
        </is>
      </c>
      <c r="K1083" s="10" t="inlineStr">
        <is>
          <t>DERIVED</t>
        </is>
      </c>
      <c r="L1083" s="10" t="inlineStr">
        <is>
          <t>baixa</t>
        </is>
      </c>
      <c r="M1083" s="10" t="inlineStr">
        <is>
          <t>["D22-DOC-DRL-001.SCHEMA.REVERSIBILITY"]</t>
        </is>
      </c>
    </row>
    <row r="1084">
      <c r="A1084" s="10" t="inlineStr">
        <is>
          <t>D22-DOC-DRL-001.SCHEMA.REVIEW_DATE</t>
        </is>
      </c>
      <c r="B1084" s="10" t="inlineStr">
        <is>
          <t>D22-DOC-DRL-001</t>
        </is>
      </c>
      <c r="C1084" s="10" t="inlineStr">
        <is>
          <t>D22-DOC-DRL-001-T01</t>
        </is>
      </c>
      <c r="D1084" s="10" t="inlineStr">
        <is>
          <t>review_date</t>
        </is>
      </c>
      <c r="E1084" s="10" t="inlineStr">
        <is>
          <t>Definir, validar e manter: Review Date</t>
        </is>
      </c>
      <c r="F1084" s="10" t="n"/>
      <c r="G1084" s="10" t="b">
        <v>1</v>
      </c>
      <c r="H1084" s="10" t="b">
        <v>1</v>
      </c>
      <c r="I1084" s="10" t="inlineStr">
        <is>
          <t>DERIVED</t>
        </is>
      </c>
      <c r="J1084" s="10" t="inlineStr">
        <is>
          <t>PROPOSED</t>
        </is>
      </c>
      <c r="K1084" s="10" t="inlineStr">
        <is>
          <t>DERIVED</t>
        </is>
      </c>
      <c r="L1084" s="10" t="inlineStr">
        <is>
          <t>baixa</t>
        </is>
      </c>
      <c r="M1084" s="10" t="inlineStr">
        <is>
          <t>["D22-DOC-DRL-001.SCHEMA.REVIEW_DATE"]</t>
        </is>
      </c>
    </row>
    <row r="1085">
      <c r="A1085" s="10" t="inlineStr">
        <is>
          <t>D22-DOC-DRL-001.SCHEMA.SUPERSEDES</t>
        </is>
      </c>
      <c r="B1085" s="10" t="inlineStr">
        <is>
          <t>D22-DOC-DRL-001</t>
        </is>
      </c>
      <c r="C1085" s="10" t="inlineStr">
        <is>
          <t>D22-DOC-DRL-001-T01</t>
        </is>
      </c>
      <c r="D1085" s="10" t="inlineStr">
        <is>
          <t>supersedes</t>
        </is>
      </c>
      <c r="E1085" s="10" t="inlineStr">
        <is>
          <t>Definir, validar e manter: Supersedes</t>
        </is>
      </c>
      <c r="F1085" s="10" t="n"/>
      <c r="G1085" s="10" t="b">
        <v>1</v>
      </c>
      <c r="H1085" s="10" t="b">
        <v>1</v>
      </c>
      <c r="I1085" s="10" t="inlineStr">
        <is>
          <t>DERIVED</t>
        </is>
      </c>
      <c r="J1085" s="10" t="inlineStr">
        <is>
          <t>PROPOSED</t>
        </is>
      </c>
      <c r="K1085" s="10" t="inlineStr">
        <is>
          <t>DERIVED</t>
        </is>
      </c>
      <c r="L1085" s="10" t="inlineStr">
        <is>
          <t>baixa</t>
        </is>
      </c>
      <c r="M1085" s="10" t="inlineStr">
        <is>
          <t>["D22-DOC-DRL-001.SCHEMA.SUPERSEDES"]</t>
        </is>
      </c>
    </row>
    <row r="1086">
      <c r="A1086" s="10" t="inlineStr">
        <is>
          <t>D22-DOC-DRL-001.SCHEMA.SUPERSEDED_BY</t>
        </is>
      </c>
      <c r="B1086" s="10" t="inlineStr">
        <is>
          <t>D22-DOC-DRL-001</t>
        </is>
      </c>
      <c r="C1086" s="10" t="inlineStr">
        <is>
          <t>D22-DOC-DRL-001-T01</t>
        </is>
      </c>
      <c r="D1086" s="10" t="inlineStr">
        <is>
          <t>superseded_by</t>
        </is>
      </c>
      <c r="E1086" s="10" t="inlineStr">
        <is>
          <t>Definir, validar e manter: Superseded By</t>
        </is>
      </c>
      <c r="F1086" s="10" t="n"/>
      <c r="G1086" s="10" t="b">
        <v>1</v>
      </c>
      <c r="H1086" s="10" t="b">
        <v>1</v>
      </c>
      <c r="I1086" s="10" t="inlineStr">
        <is>
          <t>DERIVED</t>
        </is>
      </c>
      <c r="J1086" s="10" t="inlineStr">
        <is>
          <t>PROPOSED</t>
        </is>
      </c>
      <c r="K1086" s="10" t="inlineStr">
        <is>
          <t>DERIVED</t>
        </is>
      </c>
      <c r="L1086" s="10" t="inlineStr">
        <is>
          <t>baixa</t>
        </is>
      </c>
      <c r="M1086" s="10" t="inlineStr">
        <is>
          <t>["D22-DOC-DRL-001.SCHEMA.SUPERSEDED_BY"]</t>
        </is>
      </c>
    </row>
    <row r="1087">
      <c r="A1087" s="10" t="inlineStr">
        <is>
          <t>D23-DOC-PBL-001.BLUEPRINT_CATALOG.BLUEPRINT_ID</t>
        </is>
      </c>
      <c r="B1087" s="10" t="inlineStr">
        <is>
          <t>D23-DOC-PBL-001</t>
        </is>
      </c>
      <c r="C1087" s="10" t="inlineStr">
        <is>
          <t>D23-DOC-PBL-001-T01</t>
        </is>
      </c>
      <c r="D1087" s="10" t="inlineStr">
        <is>
          <t>blueprint_id</t>
        </is>
      </c>
      <c r="E1087" s="10" t="inlineStr">
        <is>
          <t>Definir, validar e manter: Blueprint ID</t>
        </is>
      </c>
      <c r="F1087" s="10" t="n"/>
      <c r="G1087" s="10" t="b">
        <v>1</v>
      </c>
      <c r="H1087" s="10" t="b">
        <v>1</v>
      </c>
      <c r="I1087" s="10" t="inlineStr">
        <is>
          <t>DERIVED</t>
        </is>
      </c>
      <c r="J1087" s="10" t="inlineStr">
        <is>
          <t>PROPOSED</t>
        </is>
      </c>
      <c r="K1087" s="10" t="inlineStr">
        <is>
          <t>DERIVED</t>
        </is>
      </c>
      <c r="L1087" s="10" t="inlineStr">
        <is>
          <t>baixa</t>
        </is>
      </c>
      <c r="M1087" s="10" t="inlineStr">
        <is>
          <t>["D23-DOC-PBL-001.BLUEPRINT_CATALOG.BLUEPRINT_ID"]</t>
        </is>
      </c>
    </row>
    <row r="1088">
      <c r="A1088" s="10" t="inlineStr">
        <is>
          <t>D23-DOC-PBL-001.BLUEPRINT_CATALOG.NOME</t>
        </is>
      </c>
      <c r="B1088" s="10" t="inlineStr">
        <is>
          <t>D23-DOC-PBL-001</t>
        </is>
      </c>
      <c r="C1088" s="10" t="inlineStr">
        <is>
          <t>D23-DOC-PBL-001-T01</t>
        </is>
      </c>
      <c r="D1088" s="10" t="inlineStr">
        <is>
          <t>nome</t>
        </is>
      </c>
      <c r="E1088" s="10" t="inlineStr">
        <is>
          <t>Definir, validar e manter: Nome</t>
        </is>
      </c>
      <c r="F1088" s="10" t="n"/>
      <c r="G1088" s="10" t="b">
        <v>1</v>
      </c>
      <c r="H1088" s="10" t="b">
        <v>1</v>
      </c>
      <c r="I1088" s="10" t="inlineStr">
        <is>
          <t>DERIVED</t>
        </is>
      </c>
      <c r="J1088" s="10" t="inlineStr">
        <is>
          <t>PROPOSED</t>
        </is>
      </c>
      <c r="K1088" s="10" t="inlineStr">
        <is>
          <t>DERIVED</t>
        </is>
      </c>
      <c r="L1088" s="10" t="inlineStr">
        <is>
          <t>baixa</t>
        </is>
      </c>
      <c r="M1088" s="10" t="inlineStr">
        <is>
          <t>["D23-DOC-PBL-001.BLUEPRINT_CATALOG.NOME"]</t>
        </is>
      </c>
    </row>
    <row r="1089">
      <c r="A1089" s="10" t="inlineStr">
        <is>
          <t>D23-DOC-PBL-001.BLUEPRINT_CATALOG.DOMINIO</t>
        </is>
      </c>
      <c r="B1089" s="10" t="inlineStr">
        <is>
          <t>D23-DOC-PBL-001</t>
        </is>
      </c>
      <c r="C1089" s="10" t="inlineStr">
        <is>
          <t>D23-DOC-PBL-001-T01</t>
        </is>
      </c>
      <c r="D1089" s="10" t="inlineStr">
        <is>
          <t>dominio</t>
        </is>
      </c>
      <c r="E1089" s="10" t="inlineStr">
        <is>
          <t>Definir, validar e manter: Dominio</t>
        </is>
      </c>
      <c r="F1089" s="10" t="n"/>
      <c r="G1089" s="10" t="b">
        <v>1</v>
      </c>
      <c r="H1089" s="10" t="b">
        <v>1</v>
      </c>
      <c r="I1089" s="10" t="inlineStr">
        <is>
          <t>DERIVED</t>
        </is>
      </c>
      <c r="J1089" s="10" t="inlineStr">
        <is>
          <t>PROPOSED</t>
        </is>
      </c>
      <c r="K1089" s="10" t="inlineStr">
        <is>
          <t>DERIVED</t>
        </is>
      </c>
      <c r="L1089" s="10" t="inlineStr">
        <is>
          <t>baixa</t>
        </is>
      </c>
      <c r="M1089" s="10" t="inlineStr">
        <is>
          <t>["D23-DOC-PBL-001.BLUEPRINT_CATALOG.DOMINIO"]</t>
        </is>
      </c>
    </row>
    <row r="1090">
      <c r="A1090" s="10" t="inlineStr">
        <is>
          <t>D23-DOC-PBL-001.PROBLEM.PROBLEMA</t>
        </is>
      </c>
      <c r="B1090" s="10" t="inlineStr">
        <is>
          <t>D23-DOC-PBL-001</t>
        </is>
      </c>
      <c r="C1090" s="10" t="inlineStr">
        <is>
          <t>D23-DOC-PBL-001-T02</t>
        </is>
      </c>
      <c r="D1090" s="10" t="inlineStr">
        <is>
          <t>problema</t>
        </is>
      </c>
      <c r="E1090" s="10" t="inlineStr">
        <is>
          <t>Definir, validar e manter: Problema</t>
        </is>
      </c>
      <c r="F1090" s="10" t="n"/>
      <c r="G1090" s="10" t="b">
        <v>1</v>
      </c>
      <c r="H1090" s="10" t="b">
        <v>1</v>
      </c>
      <c r="I1090" s="10" t="inlineStr">
        <is>
          <t>DERIVED</t>
        </is>
      </c>
      <c r="J1090" s="10" t="inlineStr">
        <is>
          <t>PROPOSED</t>
        </is>
      </c>
      <c r="K1090" s="10" t="inlineStr">
        <is>
          <t>DERIVED</t>
        </is>
      </c>
      <c r="L1090" s="10" t="inlineStr">
        <is>
          <t>baixa</t>
        </is>
      </c>
      <c r="M1090" s="10" t="inlineStr">
        <is>
          <t>["D23-DOC-PBL-001.PROBLEM.PROBLEMA"]</t>
        </is>
      </c>
    </row>
    <row r="1091">
      <c r="A1091" s="10" t="inlineStr">
        <is>
          <t>D23-DOC-PBL-001.PROBLEM.EVIDENCIA</t>
        </is>
      </c>
      <c r="B1091" s="10" t="inlineStr">
        <is>
          <t>D23-DOC-PBL-001</t>
        </is>
      </c>
      <c r="C1091" s="10" t="inlineStr">
        <is>
          <t>D23-DOC-PBL-001-T02</t>
        </is>
      </c>
      <c r="D1091" s="10" t="inlineStr">
        <is>
          <t>evidencia</t>
        </is>
      </c>
      <c r="E1091" s="10" t="inlineStr">
        <is>
          <t>Definir, validar e manter: Evidencia</t>
        </is>
      </c>
      <c r="F1091" s="10" t="n"/>
      <c r="G1091" s="10" t="b">
        <v>1</v>
      </c>
      <c r="H1091" s="10" t="b">
        <v>1</v>
      </c>
      <c r="I1091" s="10" t="inlineStr">
        <is>
          <t>DERIVED</t>
        </is>
      </c>
      <c r="J1091" s="10" t="inlineStr">
        <is>
          <t>PROPOSED</t>
        </is>
      </c>
      <c r="K1091" s="10" t="inlineStr">
        <is>
          <t>DERIVED</t>
        </is>
      </c>
      <c r="L1091" s="10" t="inlineStr">
        <is>
          <t>baixa</t>
        </is>
      </c>
      <c r="M1091" s="10" t="inlineStr">
        <is>
          <t>["D23-DOC-PBL-001.PROBLEM.EVIDENCIA"]</t>
        </is>
      </c>
    </row>
    <row r="1092">
      <c r="A1092" s="10" t="inlineStr">
        <is>
          <t>D23-DOC-PBL-001.OBJECTIVE.RESULTADO_ESPERADO</t>
        </is>
      </c>
      <c r="B1092" s="10" t="inlineStr">
        <is>
          <t>D23-DOC-PBL-001</t>
        </is>
      </c>
      <c r="C1092" s="10" t="inlineStr">
        <is>
          <t>D23-DOC-PBL-001-T03</t>
        </is>
      </c>
      <c r="D1092" s="10" t="inlineStr">
        <is>
          <t>resultado_esperado</t>
        </is>
      </c>
      <c r="E1092" s="10" t="inlineStr">
        <is>
          <t>Definir, validar e manter: Resultado Esperado</t>
        </is>
      </c>
      <c r="F1092" s="10" t="n"/>
      <c r="G1092" s="10" t="b">
        <v>1</v>
      </c>
      <c r="H1092" s="10" t="b">
        <v>1</v>
      </c>
      <c r="I1092" s="10" t="inlineStr">
        <is>
          <t>DERIVED</t>
        </is>
      </c>
      <c r="J1092" s="10" t="inlineStr">
        <is>
          <t>PROPOSED</t>
        </is>
      </c>
      <c r="K1092" s="10" t="inlineStr">
        <is>
          <t>DERIVED</t>
        </is>
      </c>
      <c r="L1092" s="10" t="inlineStr">
        <is>
          <t>baixa</t>
        </is>
      </c>
      <c r="M1092" s="10" t="inlineStr">
        <is>
          <t>["D23-DOC-PBL-001.OBJECTIVE.RESULTADO_ESPERADO"]</t>
        </is>
      </c>
    </row>
    <row r="1093">
      <c r="A1093" s="10" t="inlineStr">
        <is>
          <t>D23-DOC-PBL-001.SCOPE.INCLUIDO</t>
        </is>
      </c>
      <c r="B1093" s="10" t="inlineStr">
        <is>
          <t>D23-DOC-PBL-001</t>
        </is>
      </c>
      <c r="C1093" s="10" t="inlineStr">
        <is>
          <t>D23-DOC-PBL-001-T04</t>
        </is>
      </c>
      <c r="D1093" s="10" t="inlineStr">
        <is>
          <t>incluido</t>
        </is>
      </c>
      <c r="E1093" s="10" t="inlineStr">
        <is>
          <t>Definir, validar e manter: Incluido</t>
        </is>
      </c>
      <c r="F1093" s="10" t="n"/>
      <c r="G1093" s="10" t="b">
        <v>1</v>
      </c>
      <c r="H1093" s="10" t="b">
        <v>1</v>
      </c>
      <c r="I1093" s="10" t="inlineStr">
        <is>
          <t>DERIVED</t>
        </is>
      </c>
      <c r="J1093" s="10" t="inlineStr">
        <is>
          <t>PROPOSED</t>
        </is>
      </c>
      <c r="K1093" s="10" t="inlineStr">
        <is>
          <t>DERIVED</t>
        </is>
      </c>
      <c r="L1093" s="10" t="inlineStr">
        <is>
          <t>baixa</t>
        </is>
      </c>
      <c r="M1093" s="10" t="inlineStr">
        <is>
          <t>["D23-DOC-PBL-001.SCOPE.INCLUIDO"]</t>
        </is>
      </c>
    </row>
    <row r="1094">
      <c r="A1094" s="10" t="inlineStr">
        <is>
          <t>D23-DOC-PBL-001.SCOPE.EXCLUIDO</t>
        </is>
      </c>
      <c r="B1094" s="10" t="inlineStr">
        <is>
          <t>D23-DOC-PBL-001</t>
        </is>
      </c>
      <c r="C1094" s="10" t="inlineStr">
        <is>
          <t>D23-DOC-PBL-001-T04</t>
        </is>
      </c>
      <c r="D1094" s="10" t="inlineStr">
        <is>
          <t>excluido</t>
        </is>
      </c>
      <c r="E1094" s="10" t="inlineStr">
        <is>
          <t>Definir, validar e manter: Excluido</t>
        </is>
      </c>
      <c r="F1094" s="10" t="n"/>
      <c r="G1094" s="10" t="b">
        <v>1</v>
      </c>
      <c r="H1094" s="10" t="b">
        <v>1</v>
      </c>
      <c r="I1094" s="10" t="inlineStr">
        <is>
          <t>DERIVED</t>
        </is>
      </c>
      <c r="J1094" s="10" t="inlineStr">
        <is>
          <t>PROPOSED</t>
        </is>
      </c>
      <c r="K1094" s="10" t="inlineStr">
        <is>
          <t>DERIVED</t>
        </is>
      </c>
      <c r="L1094" s="10" t="inlineStr">
        <is>
          <t>baixa</t>
        </is>
      </c>
      <c r="M1094" s="10" t="inlineStr">
        <is>
          <t>["D23-DOC-PBL-001.SCOPE.EXCLUIDO"]</t>
        </is>
      </c>
    </row>
    <row r="1095">
      <c r="A1095" s="10" t="inlineStr">
        <is>
          <t>D23-DOC-PBL-001.ARCHITECTURE.COMPONENTES</t>
        </is>
      </c>
      <c r="B1095" s="10" t="inlineStr">
        <is>
          <t>D23-DOC-PBL-001</t>
        </is>
      </c>
      <c r="C1095" s="10" t="inlineStr">
        <is>
          <t>D23-DOC-PBL-001-T05</t>
        </is>
      </c>
      <c r="D1095" s="10" t="inlineStr">
        <is>
          <t>componentes</t>
        </is>
      </c>
      <c r="E1095" s="10" t="inlineStr">
        <is>
          <t>Definir, validar e manter: Componentes</t>
        </is>
      </c>
      <c r="F1095" s="10" t="n"/>
      <c r="G1095" s="10" t="b">
        <v>1</v>
      </c>
      <c r="H1095" s="10" t="b">
        <v>1</v>
      </c>
      <c r="I1095" s="10" t="inlineStr">
        <is>
          <t>DERIVED</t>
        </is>
      </c>
      <c r="J1095" s="10" t="inlineStr">
        <is>
          <t>PROPOSED</t>
        </is>
      </c>
      <c r="K1095" s="10" t="inlineStr">
        <is>
          <t>DERIVED</t>
        </is>
      </c>
      <c r="L1095" s="10" t="inlineStr">
        <is>
          <t>baixa</t>
        </is>
      </c>
      <c r="M1095" s="10" t="inlineStr">
        <is>
          <t>["D23-DOC-PBL-001.ARCHITECTURE.COMPONENTES"]</t>
        </is>
      </c>
    </row>
    <row r="1096">
      <c r="A1096" s="10" t="inlineStr">
        <is>
          <t>D23-DOC-PBL-001.ARCHITECTURE.RELACOES</t>
        </is>
      </c>
      <c r="B1096" s="10" t="inlineStr">
        <is>
          <t>D23-DOC-PBL-001</t>
        </is>
      </c>
      <c r="C1096" s="10" t="inlineStr">
        <is>
          <t>D23-DOC-PBL-001-T05</t>
        </is>
      </c>
      <c r="D1096" s="10" t="inlineStr">
        <is>
          <t>relacoes</t>
        </is>
      </c>
      <c r="E1096" s="10" t="inlineStr">
        <is>
          <t>Definir, validar e manter: Relacoes</t>
        </is>
      </c>
      <c r="F1096" s="10" t="n"/>
      <c r="G1096" s="10" t="b">
        <v>1</v>
      </c>
      <c r="H1096" s="10" t="b">
        <v>1</v>
      </c>
      <c r="I1096" s="10" t="inlineStr">
        <is>
          <t>DERIVED</t>
        </is>
      </c>
      <c r="J1096" s="10" t="inlineStr">
        <is>
          <t>PROPOSED</t>
        </is>
      </c>
      <c r="K1096" s="10" t="inlineStr">
        <is>
          <t>DERIVED</t>
        </is>
      </c>
      <c r="L1096" s="10" t="inlineStr">
        <is>
          <t>baixa</t>
        </is>
      </c>
      <c r="M1096" s="10" t="inlineStr">
        <is>
          <t>["D23-DOC-PBL-001.ARCHITECTURE.RELACOES"]</t>
        </is>
      </c>
    </row>
    <row r="1097">
      <c r="A1097" s="10" t="inlineStr">
        <is>
          <t>D23-DOC-PBL-001.WORKFLOW.ENTRADA</t>
        </is>
      </c>
      <c r="B1097" s="10" t="inlineStr">
        <is>
          <t>D23-DOC-PBL-001</t>
        </is>
      </c>
      <c r="C1097" s="10" t="inlineStr">
        <is>
          <t>D23-DOC-PBL-001-T06</t>
        </is>
      </c>
      <c r="D1097" s="10" t="inlineStr">
        <is>
          <t>entrada</t>
        </is>
      </c>
      <c r="E1097" s="10" t="inlineStr">
        <is>
          <t>Definir, validar e manter: Entrada</t>
        </is>
      </c>
      <c r="F1097" s="10" t="n"/>
      <c r="G1097" s="10" t="b">
        <v>1</v>
      </c>
      <c r="H1097" s="10" t="b">
        <v>1</v>
      </c>
      <c r="I1097" s="10" t="inlineStr">
        <is>
          <t>DERIVED</t>
        </is>
      </c>
      <c r="J1097" s="10" t="inlineStr">
        <is>
          <t>PROPOSED</t>
        </is>
      </c>
      <c r="K1097" s="10" t="inlineStr">
        <is>
          <t>DERIVED</t>
        </is>
      </c>
      <c r="L1097" s="10" t="inlineStr">
        <is>
          <t>baixa</t>
        </is>
      </c>
      <c r="M1097" s="10" t="inlineStr">
        <is>
          <t>["D23-DOC-PBL-001.WORKFLOW.ENTRADA"]</t>
        </is>
      </c>
    </row>
    <row r="1098">
      <c r="A1098" s="10" t="inlineStr">
        <is>
          <t>D23-DOC-PBL-001.WORKFLOW.ETAPAS</t>
        </is>
      </c>
      <c r="B1098" s="10" t="inlineStr">
        <is>
          <t>D23-DOC-PBL-001</t>
        </is>
      </c>
      <c r="C1098" s="10" t="inlineStr">
        <is>
          <t>D23-DOC-PBL-001-T06</t>
        </is>
      </c>
      <c r="D1098" s="10" t="inlineStr">
        <is>
          <t>etapas</t>
        </is>
      </c>
      <c r="E1098" s="10" t="inlineStr">
        <is>
          <t>Definir, validar e manter: Etapas</t>
        </is>
      </c>
      <c r="F1098" s="10" t="n"/>
      <c r="G1098" s="10" t="b">
        <v>1</v>
      </c>
      <c r="H1098" s="10" t="b">
        <v>1</v>
      </c>
      <c r="I1098" s="10" t="inlineStr">
        <is>
          <t>DERIVED</t>
        </is>
      </c>
      <c r="J1098" s="10" t="inlineStr">
        <is>
          <t>PROPOSED</t>
        </is>
      </c>
      <c r="K1098" s="10" t="inlineStr">
        <is>
          <t>DERIVED</t>
        </is>
      </c>
      <c r="L1098" s="10" t="inlineStr">
        <is>
          <t>baixa</t>
        </is>
      </c>
      <c r="M1098" s="10" t="inlineStr">
        <is>
          <t>["D23-DOC-PBL-001.WORKFLOW.ETAPAS"]</t>
        </is>
      </c>
    </row>
    <row r="1099">
      <c r="A1099" s="10" t="inlineStr">
        <is>
          <t>D23-DOC-PBL-001.WORKFLOW.SAIDA</t>
        </is>
      </c>
      <c r="B1099" s="10" t="inlineStr">
        <is>
          <t>D23-DOC-PBL-001</t>
        </is>
      </c>
      <c r="C1099" s="10" t="inlineStr">
        <is>
          <t>D23-DOC-PBL-001-T06</t>
        </is>
      </c>
      <c r="D1099" s="10" t="inlineStr">
        <is>
          <t>saida</t>
        </is>
      </c>
      <c r="E1099" s="10" t="inlineStr">
        <is>
          <t>Definir, validar e manter: Saida</t>
        </is>
      </c>
      <c r="F1099" s="10" t="n"/>
      <c r="G1099" s="10" t="b">
        <v>1</v>
      </c>
      <c r="H1099" s="10" t="b">
        <v>1</v>
      </c>
      <c r="I1099" s="10" t="inlineStr">
        <is>
          <t>DERIVED</t>
        </is>
      </c>
      <c r="J1099" s="10" t="inlineStr">
        <is>
          <t>PROPOSED</t>
        </is>
      </c>
      <c r="K1099" s="10" t="inlineStr">
        <is>
          <t>DERIVED</t>
        </is>
      </c>
      <c r="L1099" s="10" t="inlineStr">
        <is>
          <t>baixa</t>
        </is>
      </c>
      <c r="M1099" s="10" t="inlineStr">
        <is>
          <t>["D23-DOC-PBL-001.WORKFLOW.SAIDA"]</t>
        </is>
      </c>
    </row>
    <row r="1100">
      <c r="A1100" s="10" t="inlineStr">
        <is>
          <t>D23-DOC-PBL-001.USER_FLOW.ATOR</t>
        </is>
      </c>
      <c r="B1100" s="10" t="inlineStr">
        <is>
          <t>D23-DOC-PBL-001</t>
        </is>
      </c>
      <c r="C1100" s="10" t="inlineStr">
        <is>
          <t>D23-DOC-PBL-001-T07</t>
        </is>
      </c>
      <c r="D1100" s="10" t="inlineStr">
        <is>
          <t>ator</t>
        </is>
      </c>
      <c r="E1100" s="10" t="inlineStr">
        <is>
          <t>Definir, validar e manter: Ator</t>
        </is>
      </c>
      <c r="F1100" s="10" t="n"/>
      <c r="G1100" s="10" t="b">
        <v>1</v>
      </c>
      <c r="H1100" s="10" t="b">
        <v>1</v>
      </c>
      <c r="I1100" s="10" t="inlineStr">
        <is>
          <t>DERIVED</t>
        </is>
      </c>
      <c r="J1100" s="10" t="inlineStr">
        <is>
          <t>PROPOSED</t>
        </is>
      </c>
      <c r="K1100" s="10" t="inlineStr">
        <is>
          <t>DERIVED</t>
        </is>
      </c>
      <c r="L1100" s="10" t="inlineStr">
        <is>
          <t>baixa</t>
        </is>
      </c>
      <c r="M1100" s="10" t="inlineStr">
        <is>
          <t>["D23-DOC-PBL-001.USER_FLOW.ATOR"]</t>
        </is>
      </c>
    </row>
    <row r="1101">
      <c r="A1101" s="10" t="inlineStr">
        <is>
          <t>D23-DOC-PBL-001.USER_FLOW.ACAO</t>
        </is>
      </c>
      <c r="B1101" s="10" t="inlineStr">
        <is>
          <t>D23-DOC-PBL-001</t>
        </is>
      </c>
      <c r="C1101" s="10" t="inlineStr">
        <is>
          <t>D23-DOC-PBL-001-T07</t>
        </is>
      </c>
      <c r="D1101" s="10" t="inlineStr">
        <is>
          <t>acao</t>
        </is>
      </c>
      <c r="E1101" s="10" t="inlineStr">
        <is>
          <t>Definir, validar e manter: Acao</t>
        </is>
      </c>
      <c r="F1101" s="10" t="n"/>
      <c r="G1101" s="10" t="b">
        <v>1</v>
      </c>
      <c r="H1101" s="10" t="b">
        <v>1</v>
      </c>
      <c r="I1101" s="10" t="inlineStr">
        <is>
          <t>DERIVED</t>
        </is>
      </c>
      <c r="J1101" s="10" t="inlineStr">
        <is>
          <t>PROPOSED</t>
        </is>
      </c>
      <c r="K1101" s="10" t="inlineStr">
        <is>
          <t>DERIVED</t>
        </is>
      </c>
      <c r="L1101" s="10" t="inlineStr">
        <is>
          <t>baixa</t>
        </is>
      </c>
      <c r="M1101" s="10" t="inlineStr">
        <is>
          <t>["D23-DOC-PBL-001.USER_FLOW.ACAO"]</t>
        </is>
      </c>
    </row>
    <row r="1102">
      <c r="A1102" s="10" t="inlineStr">
        <is>
          <t>D23-DOC-PBL-001.USER_FLOW.ESTADO</t>
        </is>
      </c>
      <c r="B1102" s="10" t="inlineStr">
        <is>
          <t>D23-DOC-PBL-001</t>
        </is>
      </c>
      <c r="C1102" s="10" t="inlineStr">
        <is>
          <t>D23-DOC-PBL-001-T07</t>
        </is>
      </c>
      <c r="D1102" s="10" t="inlineStr">
        <is>
          <t>estado</t>
        </is>
      </c>
      <c r="E1102" s="10" t="inlineStr">
        <is>
          <t>Definir, validar e manter: Estado</t>
        </is>
      </c>
      <c r="F1102" s="10" t="n"/>
      <c r="G1102" s="10" t="b">
        <v>1</v>
      </c>
      <c r="H1102" s="10" t="b">
        <v>1</v>
      </c>
      <c r="I1102" s="10" t="inlineStr">
        <is>
          <t>DERIVED</t>
        </is>
      </c>
      <c r="J1102" s="10" t="inlineStr">
        <is>
          <t>PROPOSED</t>
        </is>
      </c>
      <c r="K1102" s="10" t="inlineStr">
        <is>
          <t>DERIVED</t>
        </is>
      </c>
      <c r="L1102" s="10" t="inlineStr">
        <is>
          <t>baixa</t>
        </is>
      </c>
      <c r="M1102" s="10" t="inlineStr">
        <is>
          <t>["D23-DOC-PBL-001.USER_FLOW.ESTADO"]</t>
        </is>
      </c>
    </row>
    <row r="1103">
      <c r="A1103" s="10" t="inlineStr">
        <is>
          <t>D23-DOC-PBL-001.DATA.ENTIDADES</t>
        </is>
      </c>
      <c r="B1103" s="10" t="inlineStr">
        <is>
          <t>D23-DOC-PBL-001</t>
        </is>
      </c>
      <c r="C1103" s="10" t="inlineStr">
        <is>
          <t>D23-DOC-PBL-001-T08</t>
        </is>
      </c>
      <c r="D1103" s="10" t="inlineStr">
        <is>
          <t>entidades</t>
        </is>
      </c>
      <c r="E1103" s="10" t="inlineStr">
        <is>
          <t>Definir, validar e manter: Entidades</t>
        </is>
      </c>
      <c r="F1103" s="10" t="n"/>
      <c r="G1103" s="10" t="b">
        <v>1</v>
      </c>
      <c r="H1103" s="10" t="b">
        <v>1</v>
      </c>
      <c r="I1103" s="10" t="inlineStr">
        <is>
          <t>DERIVED</t>
        </is>
      </c>
      <c r="J1103" s="10" t="inlineStr">
        <is>
          <t>PROPOSED</t>
        </is>
      </c>
      <c r="K1103" s="10" t="inlineStr">
        <is>
          <t>DERIVED</t>
        </is>
      </c>
      <c r="L1103" s="10" t="inlineStr">
        <is>
          <t>baixa</t>
        </is>
      </c>
      <c r="M1103" s="10" t="inlineStr">
        <is>
          <t>["D23-DOC-PBL-001.DATA.ENTIDADES"]</t>
        </is>
      </c>
    </row>
    <row r="1104">
      <c r="A1104" s="10" t="inlineStr">
        <is>
          <t>D23-DOC-PBL-001.DATA.EVENTOS</t>
        </is>
      </c>
      <c r="B1104" s="10" t="inlineStr">
        <is>
          <t>D23-DOC-PBL-001</t>
        </is>
      </c>
      <c r="C1104" s="10" t="inlineStr">
        <is>
          <t>D23-DOC-PBL-001-T08</t>
        </is>
      </c>
      <c r="D1104" s="10" t="inlineStr">
        <is>
          <t>eventos</t>
        </is>
      </c>
      <c r="E1104" s="10" t="inlineStr">
        <is>
          <t>Definir, validar e manter: Eventos</t>
        </is>
      </c>
      <c r="F1104" s="10" t="n"/>
      <c r="G1104" s="10" t="b">
        <v>1</v>
      </c>
      <c r="H1104" s="10" t="b">
        <v>1</v>
      </c>
      <c r="I1104" s="10" t="inlineStr">
        <is>
          <t>DERIVED</t>
        </is>
      </c>
      <c r="J1104" s="10" t="inlineStr">
        <is>
          <t>PROPOSED</t>
        </is>
      </c>
      <c r="K1104" s="10" t="inlineStr">
        <is>
          <t>DERIVED</t>
        </is>
      </c>
      <c r="L1104" s="10" t="inlineStr">
        <is>
          <t>baixa</t>
        </is>
      </c>
      <c r="M1104" s="10" t="inlineStr">
        <is>
          <t>["D23-DOC-PBL-001.DATA.EVENTOS"]</t>
        </is>
      </c>
    </row>
    <row r="1105">
      <c r="A1105" s="10" t="inlineStr">
        <is>
          <t>D23-DOC-PBL-001.INTERFACES.API</t>
        </is>
      </c>
      <c r="B1105" s="10" t="inlineStr">
        <is>
          <t>D23-DOC-PBL-001</t>
        </is>
      </c>
      <c r="C1105" s="10" t="inlineStr">
        <is>
          <t>D23-DOC-PBL-001-T09</t>
        </is>
      </c>
      <c r="D1105" s="10" t="inlineStr">
        <is>
          <t>api</t>
        </is>
      </c>
      <c r="E1105" s="10" t="inlineStr">
        <is>
          <t>Definir, validar e manter: API</t>
        </is>
      </c>
      <c r="F1105" s="10" t="n"/>
      <c r="G1105" s="10" t="b">
        <v>1</v>
      </c>
      <c r="H1105" s="10" t="b">
        <v>1</v>
      </c>
      <c r="I1105" s="10" t="inlineStr">
        <is>
          <t>DERIVED</t>
        </is>
      </c>
      <c r="J1105" s="10" t="inlineStr">
        <is>
          <t>PROPOSED</t>
        </is>
      </c>
      <c r="K1105" s="10" t="inlineStr">
        <is>
          <t>DERIVED</t>
        </is>
      </c>
      <c r="L1105" s="10" t="inlineStr">
        <is>
          <t>baixa</t>
        </is>
      </c>
      <c r="M1105" s="10" t="inlineStr">
        <is>
          <t>["D23-DOC-PBL-001.INTERFACES.API"]</t>
        </is>
      </c>
    </row>
    <row r="1106">
      <c r="A1106" s="10" t="inlineStr">
        <is>
          <t>D23-DOC-PBL-001.INTERFACES.UI</t>
        </is>
      </c>
      <c r="B1106" s="10" t="inlineStr">
        <is>
          <t>D23-DOC-PBL-001</t>
        </is>
      </c>
      <c r="C1106" s="10" t="inlineStr">
        <is>
          <t>D23-DOC-PBL-001-T09</t>
        </is>
      </c>
      <c r="D1106" s="10" t="inlineStr">
        <is>
          <t>ui</t>
        </is>
      </c>
      <c r="E1106" s="10" t="inlineStr">
        <is>
          <t>Definir, validar e manter: UI</t>
        </is>
      </c>
      <c r="F1106" s="10" t="n"/>
      <c r="G1106" s="10" t="b">
        <v>1</v>
      </c>
      <c r="H1106" s="10" t="b">
        <v>1</v>
      </c>
      <c r="I1106" s="10" t="inlineStr">
        <is>
          <t>DERIVED</t>
        </is>
      </c>
      <c r="J1106" s="10" t="inlineStr">
        <is>
          <t>PROPOSED</t>
        </is>
      </c>
      <c r="K1106" s="10" t="inlineStr">
        <is>
          <t>DERIVED</t>
        </is>
      </c>
      <c r="L1106" s="10" t="inlineStr">
        <is>
          <t>baixa</t>
        </is>
      </c>
      <c r="M1106" s="10" t="inlineStr">
        <is>
          <t>["D23-DOC-PBL-001.INTERFACES.UI"]</t>
        </is>
      </c>
    </row>
    <row r="1107">
      <c r="A1107" s="10" t="inlineStr">
        <is>
          <t>D23-DOC-PBL-001.INTERFACES.INTEGRACAO</t>
        </is>
      </c>
      <c r="B1107" s="10" t="inlineStr">
        <is>
          <t>D23-DOC-PBL-001</t>
        </is>
      </c>
      <c r="C1107" s="10" t="inlineStr">
        <is>
          <t>D23-DOC-PBL-001-T09</t>
        </is>
      </c>
      <c r="D1107" s="10" t="inlineStr">
        <is>
          <t>integracao</t>
        </is>
      </c>
      <c r="E1107" s="10" t="inlineStr">
        <is>
          <t>Definir, validar e manter: Integracao</t>
        </is>
      </c>
      <c r="F1107" s="10" t="n"/>
      <c r="G1107" s="10" t="b">
        <v>1</v>
      </c>
      <c r="H1107" s="10" t="b">
        <v>1</v>
      </c>
      <c r="I1107" s="10" t="inlineStr">
        <is>
          <t>DERIVED</t>
        </is>
      </c>
      <c r="J1107" s="10" t="inlineStr">
        <is>
          <t>PROPOSED</t>
        </is>
      </c>
      <c r="K1107" s="10" t="inlineStr">
        <is>
          <t>DERIVED</t>
        </is>
      </c>
      <c r="L1107" s="10" t="inlineStr">
        <is>
          <t>baixa</t>
        </is>
      </c>
      <c r="M1107" s="10" t="inlineStr">
        <is>
          <t>["D23-DOC-PBL-001.INTERFACES.INTEGRACAO"]</t>
        </is>
      </c>
    </row>
    <row r="1108">
      <c r="A1108" s="10" t="inlineStr">
        <is>
          <t>D23-DOC-PBL-001.DEPENDENCIES.TECNICAS</t>
        </is>
      </c>
      <c r="B1108" s="10" t="inlineStr">
        <is>
          <t>D23-DOC-PBL-001</t>
        </is>
      </c>
      <c r="C1108" s="10" t="inlineStr">
        <is>
          <t>D23-DOC-PBL-001-T10</t>
        </is>
      </c>
      <c r="D1108" s="10" t="inlineStr">
        <is>
          <t>tecnicas</t>
        </is>
      </c>
      <c r="E1108" s="10" t="inlineStr">
        <is>
          <t>Definir, validar e manter: Tecnicas</t>
        </is>
      </c>
      <c r="F1108" s="10" t="n"/>
      <c r="G1108" s="10" t="b">
        <v>1</v>
      </c>
      <c r="H1108" s="10" t="b">
        <v>1</v>
      </c>
      <c r="I1108" s="10" t="inlineStr">
        <is>
          <t>DERIVED</t>
        </is>
      </c>
      <c r="J1108" s="10" t="inlineStr">
        <is>
          <t>PROPOSED</t>
        </is>
      </c>
      <c r="K1108" s="10" t="inlineStr">
        <is>
          <t>DERIVED</t>
        </is>
      </c>
      <c r="L1108" s="10" t="inlineStr">
        <is>
          <t>baixa</t>
        </is>
      </c>
      <c r="M1108" s="10" t="inlineStr">
        <is>
          <t>["D23-DOC-PBL-001.DEPENDENCIES.TECNICAS"]</t>
        </is>
      </c>
    </row>
    <row r="1109">
      <c r="A1109" s="10" t="inlineStr">
        <is>
          <t>D23-DOC-PBL-001.DEPENDENCIES.OPERACIONAIS</t>
        </is>
      </c>
      <c r="B1109" s="10" t="inlineStr">
        <is>
          <t>D23-DOC-PBL-001</t>
        </is>
      </c>
      <c r="C1109" s="10" t="inlineStr">
        <is>
          <t>D23-DOC-PBL-001-T10</t>
        </is>
      </c>
      <c r="D1109" s="10" t="inlineStr">
        <is>
          <t>operacionais</t>
        </is>
      </c>
      <c r="E1109" s="10" t="inlineStr">
        <is>
          <t>Definir, validar e manter: Operacionais</t>
        </is>
      </c>
      <c r="F1109" s="10" t="n"/>
      <c r="G1109" s="10" t="b">
        <v>1</v>
      </c>
      <c r="H1109" s="10" t="b">
        <v>1</v>
      </c>
      <c r="I1109" s="10" t="inlineStr">
        <is>
          <t>EXTERNAL</t>
        </is>
      </c>
      <c r="J1109" s="10" t="inlineStr">
        <is>
          <t>EXTERNAL_EVIDENCE</t>
        </is>
      </c>
      <c r="K1109" s="10" t="inlineStr">
        <is>
          <t>EXTERNAL</t>
        </is>
      </c>
      <c r="L1109" s="10" t="inlineStr">
        <is>
          <t>media</t>
        </is>
      </c>
      <c r="M1109" s="10" t="inlineStr">
        <is>
          <t>["D23-DOC-PBL-001.DEPENDENCIES.OPERACIONAIS"]</t>
        </is>
      </c>
    </row>
    <row r="1110">
      <c r="A1110" s="10" t="inlineStr">
        <is>
          <t>D23-DOC-PBL-001.CONSTRAINTS.TECNICAS</t>
        </is>
      </c>
      <c r="B1110" s="10" t="inlineStr">
        <is>
          <t>D23-DOC-PBL-001</t>
        </is>
      </c>
      <c r="C1110" s="10" t="inlineStr">
        <is>
          <t>D23-DOC-PBL-001-T11</t>
        </is>
      </c>
      <c r="D1110" s="10" t="inlineStr">
        <is>
          <t>tecnicas</t>
        </is>
      </c>
      <c r="E1110" s="10" t="inlineStr">
        <is>
          <t>Definir, validar e manter: Tecnicas</t>
        </is>
      </c>
      <c r="F1110" s="10" t="n"/>
      <c r="G1110" s="10" t="b">
        <v>1</v>
      </c>
      <c r="H1110" s="10" t="b">
        <v>1</v>
      </c>
      <c r="I1110" s="10" t="inlineStr">
        <is>
          <t>DERIVED</t>
        </is>
      </c>
      <c r="J1110" s="10" t="inlineStr">
        <is>
          <t>PROPOSED</t>
        </is>
      </c>
      <c r="K1110" s="10" t="inlineStr">
        <is>
          <t>DERIVED</t>
        </is>
      </c>
      <c r="L1110" s="10" t="inlineStr">
        <is>
          <t>baixa</t>
        </is>
      </c>
      <c r="M1110" s="10" t="inlineStr">
        <is>
          <t>["D23-DOC-PBL-001.CONSTRAINTS.TECNICAS"]</t>
        </is>
      </c>
    </row>
    <row r="1111">
      <c r="A1111" s="10" t="inlineStr">
        <is>
          <t>D23-DOC-PBL-001.CONSTRAINTS.LEGAIS</t>
        </is>
      </c>
      <c r="B1111" s="10" t="inlineStr">
        <is>
          <t>D23-DOC-PBL-001</t>
        </is>
      </c>
      <c r="C1111" s="10" t="inlineStr">
        <is>
          <t>D23-DOC-PBL-001-T11</t>
        </is>
      </c>
      <c r="D1111" s="10" t="inlineStr">
        <is>
          <t>legais</t>
        </is>
      </c>
      <c r="E1111" s="10" t="inlineStr">
        <is>
          <t>Definir, validar e manter: Legais</t>
        </is>
      </c>
      <c r="F1111" s="10" t="n"/>
      <c r="G1111" s="10" t="b">
        <v>1</v>
      </c>
      <c r="H1111" s="10" t="b">
        <v>1</v>
      </c>
      <c r="I1111" s="10" t="inlineStr">
        <is>
          <t>DERIVED</t>
        </is>
      </c>
      <c r="J1111" s="10" t="inlineStr">
        <is>
          <t>PROPOSED</t>
        </is>
      </c>
      <c r="K1111" s="10" t="inlineStr">
        <is>
          <t>DERIVED</t>
        </is>
      </c>
      <c r="L1111" s="10" t="inlineStr">
        <is>
          <t>baixa</t>
        </is>
      </c>
      <c r="M1111" s="10" t="inlineStr">
        <is>
          <t>["D23-DOC-PBL-001.CONSTRAINTS.LEGAIS"]</t>
        </is>
      </c>
    </row>
    <row r="1112">
      <c r="A1112" s="10" t="inlineStr">
        <is>
          <t>D23-DOC-PBL-001.CONSTRAINTS.UX</t>
        </is>
      </c>
      <c r="B1112" s="10" t="inlineStr">
        <is>
          <t>D23-DOC-PBL-001</t>
        </is>
      </c>
      <c r="C1112" s="10" t="inlineStr">
        <is>
          <t>D23-DOC-PBL-001-T11</t>
        </is>
      </c>
      <c r="D1112" s="10" t="inlineStr">
        <is>
          <t>ux</t>
        </is>
      </c>
      <c r="E1112" s="10" t="inlineStr">
        <is>
          <t>Definir, validar e manter: UX</t>
        </is>
      </c>
      <c r="F1112" s="10" t="n"/>
      <c r="G1112" s="10" t="b">
        <v>1</v>
      </c>
      <c r="H1112" s="10" t="b">
        <v>1</v>
      </c>
      <c r="I1112" s="10" t="inlineStr">
        <is>
          <t>DERIVED</t>
        </is>
      </c>
      <c r="J1112" s="10" t="inlineStr">
        <is>
          <t>PROPOSED</t>
        </is>
      </c>
      <c r="K1112" s="10" t="inlineStr">
        <is>
          <t>DERIVED</t>
        </is>
      </c>
      <c r="L1112" s="10" t="inlineStr">
        <is>
          <t>baixa</t>
        </is>
      </c>
      <c r="M1112" s="10" t="inlineStr">
        <is>
          <t>["D23-DOC-PBL-001.CONSTRAINTS.UX"]</t>
        </is>
      </c>
    </row>
    <row r="1113">
      <c r="A1113" s="10" t="inlineStr">
        <is>
          <t>D23-DOC-PBL-001.CONTRACTS.SCHEMAS</t>
        </is>
      </c>
      <c r="B1113" s="10" t="inlineStr">
        <is>
          <t>D23-DOC-PBL-001</t>
        </is>
      </c>
      <c r="C1113" s="10" t="inlineStr">
        <is>
          <t>D23-DOC-PBL-001-T12</t>
        </is>
      </c>
      <c r="D1113" s="10" t="inlineStr">
        <is>
          <t>schemas</t>
        </is>
      </c>
      <c r="E1113" s="10" t="inlineStr">
        <is>
          <t>Definir, validar e manter: Schemas</t>
        </is>
      </c>
      <c r="F1113" s="10" t="n"/>
      <c r="G1113" s="10" t="b">
        <v>1</v>
      </c>
      <c r="H1113" s="10" t="b">
        <v>1</v>
      </c>
      <c r="I1113" s="10" t="inlineStr">
        <is>
          <t>DERIVED</t>
        </is>
      </c>
      <c r="J1113" s="10" t="inlineStr">
        <is>
          <t>PROPOSED</t>
        </is>
      </c>
      <c r="K1113" s="10" t="inlineStr">
        <is>
          <t>DERIVED</t>
        </is>
      </c>
      <c r="L1113" s="10" t="inlineStr">
        <is>
          <t>baixa</t>
        </is>
      </c>
      <c r="M1113" s="10" t="inlineStr">
        <is>
          <t>["D23-DOC-PBL-001.CONTRACTS.SCHEMAS"]</t>
        </is>
      </c>
    </row>
    <row r="1114">
      <c r="A1114" s="10" t="inlineStr">
        <is>
          <t>D23-DOC-PBL-001.CONTRACTS.INTERFACES</t>
        </is>
      </c>
      <c r="B1114" s="10" t="inlineStr">
        <is>
          <t>D23-DOC-PBL-001</t>
        </is>
      </c>
      <c r="C1114" s="10" t="inlineStr">
        <is>
          <t>D23-DOC-PBL-001-T12</t>
        </is>
      </c>
      <c r="D1114" s="10" t="inlineStr">
        <is>
          <t>interfaces</t>
        </is>
      </c>
      <c r="E1114" s="10" t="inlineStr">
        <is>
          <t>Definir, validar e manter: Interfaces</t>
        </is>
      </c>
      <c r="F1114" s="10" t="n"/>
      <c r="G1114" s="10" t="b">
        <v>1</v>
      </c>
      <c r="H1114" s="10" t="b">
        <v>1</v>
      </c>
      <c r="I1114" s="10" t="inlineStr">
        <is>
          <t>DERIVED</t>
        </is>
      </c>
      <c r="J1114" s="10" t="inlineStr">
        <is>
          <t>PROPOSED</t>
        </is>
      </c>
      <c r="K1114" s="10" t="inlineStr">
        <is>
          <t>DERIVED</t>
        </is>
      </c>
      <c r="L1114" s="10" t="inlineStr">
        <is>
          <t>baixa</t>
        </is>
      </c>
      <c r="M1114" s="10" t="inlineStr">
        <is>
          <t>["D23-DOC-PBL-001.CONTRACTS.INTERFACES"]</t>
        </is>
      </c>
    </row>
    <row r="1115">
      <c r="A1115" s="10" t="inlineStr">
        <is>
          <t>D23-DOC-PBL-001.ACCEPTANCE.CRITERIOS</t>
        </is>
      </c>
      <c r="B1115" s="10" t="inlineStr">
        <is>
          <t>D23-DOC-PBL-001</t>
        </is>
      </c>
      <c r="C1115" s="10" t="inlineStr">
        <is>
          <t>D23-DOC-PBL-001-T13</t>
        </is>
      </c>
      <c r="D1115" s="10" t="inlineStr">
        <is>
          <t>criterios</t>
        </is>
      </c>
      <c r="E1115" s="10" t="inlineStr">
        <is>
          <t>Definir, validar e manter: Criterios</t>
        </is>
      </c>
      <c r="F1115" s="10" t="n"/>
      <c r="G1115" s="10" t="b">
        <v>1</v>
      </c>
      <c r="H1115" s="10" t="b">
        <v>1</v>
      </c>
      <c r="I1115" s="10" t="inlineStr">
        <is>
          <t>DERIVED</t>
        </is>
      </c>
      <c r="J1115" s="10" t="inlineStr">
        <is>
          <t>PROPOSED</t>
        </is>
      </c>
      <c r="K1115" s="10" t="inlineStr">
        <is>
          <t>DERIVED</t>
        </is>
      </c>
      <c r="L1115" s="10" t="inlineStr">
        <is>
          <t>baixa</t>
        </is>
      </c>
      <c r="M1115" s="10" t="inlineStr">
        <is>
          <t>["D23-DOC-PBL-001.ACCEPTANCE.CRITERIOS"]</t>
        </is>
      </c>
    </row>
    <row r="1116">
      <c r="A1116" s="10" t="inlineStr">
        <is>
          <t>D23-DOC-PBL-001.PROTOTYPE.ARTEFATO</t>
        </is>
      </c>
      <c r="B1116" s="10" t="inlineStr">
        <is>
          <t>D23-DOC-PBL-001</t>
        </is>
      </c>
      <c r="C1116" s="10" t="inlineStr">
        <is>
          <t>D23-DOC-PBL-001-T14</t>
        </is>
      </c>
      <c r="D1116" s="10" t="inlineStr">
        <is>
          <t>artefato</t>
        </is>
      </c>
      <c r="E1116" s="10" t="inlineStr">
        <is>
          <t>Definir, validar e manter: Artefato</t>
        </is>
      </c>
      <c r="F1116" s="10" t="n"/>
      <c r="G1116" s="10" t="b">
        <v>1</v>
      </c>
      <c r="H1116" s="10" t="b">
        <v>1</v>
      </c>
      <c r="I1116" s="10" t="inlineStr">
        <is>
          <t>DERIVED</t>
        </is>
      </c>
      <c r="J1116" s="10" t="inlineStr">
        <is>
          <t>PROPOSED</t>
        </is>
      </c>
      <c r="K1116" s="10" t="inlineStr">
        <is>
          <t>DERIVED</t>
        </is>
      </c>
      <c r="L1116" s="10" t="inlineStr">
        <is>
          <t>baixa</t>
        </is>
      </c>
      <c r="M1116" s="10" t="inlineStr">
        <is>
          <t>["D23-DOC-PBL-001.PROTOTYPE.ARTEFATO"]</t>
        </is>
      </c>
    </row>
    <row r="1117">
      <c r="A1117" s="10" t="inlineStr">
        <is>
          <t>D23-DOC-PBL-001.PROTOTYPE.LOCALIZACAO</t>
        </is>
      </c>
      <c r="B1117" s="10" t="inlineStr">
        <is>
          <t>D23-DOC-PBL-001</t>
        </is>
      </c>
      <c r="C1117" s="10" t="inlineStr">
        <is>
          <t>D23-DOC-PBL-001-T14</t>
        </is>
      </c>
      <c r="D1117" s="10" t="inlineStr">
        <is>
          <t>localizacao</t>
        </is>
      </c>
      <c r="E1117" s="10" t="inlineStr">
        <is>
          <t>Definir, validar e manter: Localizacao</t>
        </is>
      </c>
      <c r="F1117" s="10" t="n"/>
      <c r="G1117" s="10" t="b">
        <v>1</v>
      </c>
      <c r="H1117" s="10" t="b">
        <v>1</v>
      </c>
      <c r="I1117" s="10" t="inlineStr">
        <is>
          <t>DERIVED</t>
        </is>
      </c>
      <c r="J1117" s="10" t="inlineStr">
        <is>
          <t>PROPOSED</t>
        </is>
      </c>
      <c r="K1117" s="10" t="inlineStr">
        <is>
          <t>DERIVED</t>
        </is>
      </c>
      <c r="L1117" s="10" t="inlineStr">
        <is>
          <t>baixa</t>
        </is>
      </c>
      <c r="M1117" s="10" t="inlineStr">
        <is>
          <t>["D23-DOC-PBL-001.PROTOTYPE.LOCALIZACAO"]</t>
        </is>
      </c>
    </row>
    <row r="1118">
      <c r="A1118" s="10" t="inlineStr">
        <is>
          <t>D23-DOC-PBL-001.IMPLEMENTATION.REPOSITORIO</t>
        </is>
      </c>
      <c r="B1118" s="10" t="inlineStr">
        <is>
          <t>D23-DOC-PBL-001</t>
        </is>
      </c>
      <c r="C1118" s="10" t="inlineStr">
        <is>
          <t>D23-DOC-PBL-001-T15</t>
        </is>
      </c>
      <c r="D1118" s="10" t="inlineStr">
        <is>
          <t>repositorio</t>
        </is>
      </c>
      <c r="E1118" s="10" t="inlineStr">
        <is>
          <t>Definir, validar e manter: Repositorio</t>
        </is>
      </c>
      <c r="F1118" s="10" t="n"/>
      <c r="G1118" s="10" t="b">
        <v>1</v>
      </c>
      <c r="H1118" s="10" t="b">
        <v>1</v>
      </c>
      <c r="I1118" s="10" t="inlineStr">
        <is>
          <t>DERIVED</t>
        </is>
      </c>
      <c r="J1118" s="10" t="inlineStr">
        <is>
          <t>PROPOSED</t>
        </is>
      </c>
      <c r="K1118" s="10" t="inlineStr">
        <is>
          <t>DERIVED</t>
        </is>
      </c>
      <c r="L1118" s="10" t="inlineStr">
        <is>
          <t>baixa</t>
        </is>
      </c>
      <c r="M1118" s="10" t="inlineStr">
        <is>
          <t>["D23-DOC-PBL-001.IMPLEMENTATION.REPOSITORIO"]</t>
        </is>
      </c>
    </row>
    <row r="1119">
      <c r="A1119" s="10" t="inlineStr">
        <is>
          <t>D23-DOC-PBL-001.IMPLEMENTATION.PACOTE</t>
        </is>
      </c>
      <c r="B1119" s="10" t="inlineStr">
        <is>
          <t>D23-DOC-PBL-001</t>
        </is>
      </c>
      <c r="C1119" s="10" t="inlineStr">
        <is>
          <t>D23-DOC-PBL-001-T15</t>
        </is>
      </c>
      <c r="D1119" s="10" t="inlineStr">
        <is>
          <t>pacote</t>
        </is>
      </c>
      <c r="E1119" s="10" t="inlineStr">
        <is>
          <t>Definir, validar e manter: Pacote</t>
        </is>
      </c>
      <c r="F1119" s="10" t="n"/>
      <c r="G1119" s="10" t="b">
        <v>1</v>
      </c>
      <c r="H1119" s="10" t="b">
        <v>1</v>
      </c>
      <c r="I1119" s="10" t="inlineStr">
        <is>
          <t>DERIVED</t>
        </is>
      </c>
      <c r="J1119" s="10" t="inlineStr">
        <is>
          <t>PROPOSED</t>
        </is>
      </c>
      <c r="K1119" s="10" t="inlineStr">
        <is>
          <t>DERIVED</t>
        </is>
      </c>
      <c r="L1119" s="10" t="inlineStr">
        <is>
          <t>baixa</t>
        </is>
      </c>
      <c r="M1119" s="10" t="inlineStr">
        <is>
          <t>["D23-DOC-PBL-001.IMPLEMENTATION.PACOTE"]</t>
        </is>
      </c>
    </row>
    <row r="1120">
      <c r="A1120" s="10" t="inlineStr">
        <is>
          <t>D23-DOC-PBL-001.IMPLEMENTATION.ROTA</t>
        </is>
      </c>
      <c r="B1120" s="10" t="inlineStr">
        <is>
          <t>D23-DOC-PBL-001</t>
        </is>
      </c>
      <c r="C1120" s="10" t="inlineStr">
        <is>
          <t>D23-DOC-PBL-001-T15</t>
        </is>
      </c>
      <c r="D1120" s="10" t="inlineStr">
        <is>
          <t>rota</t>
        </is>
      </c>
      <c r="E1120" s="10" t="inlineStr">
        <is>
          <t>Definir, validar e manter: Rota</t>
        </is>
      </c>
      <c r="F1120" s="10" t="n"/>
      <c r="G1120" s="10" t="b">
        <v>1</v>
      </c>
      <c r="H1120" s="10" t="b">
        <v>1</v>
      </c>
      <c r="I1120" s="10" t="inlineStr">
        <is>
          <t>DERIVED</t>
        </is>
      </c>
      <c r="J1120" s="10" t="inlineStr">
        <is>
          <t>PROPOSED</t>
        </is>
      </c>
      <c r="K1120" s="10" t="inlineStr">
        <is>
          <t>DERIVED</t>
        </is>
      </c>
      <c r="L1120" s="10" t="inlineStr">
        <is>
          <t>baixa</t>
        </is>
      </c>
      <c r="M1120" s="10" t="inlineStr">
        <is>
          <t>["D23-DOC-PBL-001.IMPLEMENTATION.ROTA"]</t>
        </is>
      </c>
    </row>
    <row r="1121">
      <c r="A1121" s="10" t="inlineStr">
        <is>
          <t>D23-DOC-PBL-001.TESTS.TESTE</t>
        </is>
      </c>
      <c r="B1121" s="10" t="inlineStr">
        <is>
          <t>D23-DOC-PBL-001</t>
        </is>
      </c>
      <c r="C1121" s="10" t="inlineStr">
        <is>
          <t>D23-DOC-PBL-001-T16</t>
        </is>
      </c>
      <c r="D1121" s="10" t="inlineStr">
        <is>
          <t>teste</t>
        </is>
      </c>
      <c r="E1121" s="10" t="inlineStr">
        <is>
          <t>Definir, validar e manter: Teste</t>
        </is>
      </c>
      <c r="F1121" s="10" t="n"/>
      <c r="G1121" s="10" t="b">
        <v>1</v>
      </c>
      <c r="H1121" s="10" t="b">
        <v>1</v>
      </c>
      <c r="I1121" s="10" t="inlineStr">
        <is>
          <t>DERIVED</t>
        </is>
      </c>
      <c r="J1121" s="10" t="inlineStr">
        <is>
          <t>PROPOSED</t>
        </is>
      </c>
      <c r="K1121" s="10" t="inlineStr">
        <is>
          <t>DERIVED</t>
        </is>
      </c>
      <c r="L1121" s="10" t="inlineStr">
        <is>
          <t>baixa</t>
        </is>
      </c>
      <c r="M1121" s="10" t="inlineStr">
        <is>
          <t>["D23-DOC-PBL-001.TESTS.TESTE"]</t>
        </is>
      </c>
    </row>
    <row r="1122">
      <c r="A1122" s="10" t="inlineStr">
        <is>
          <t>D23-DOC-PBL-001.TESTS.RESULTADO</t>
        </is>
      </c>
      <c r="B1122" s="10" t="inlineStr">
        <is>
          <t>D23-DOC-PBL-001</t>
        </is>
      </c>
      <c r="C1122" s="10" t="inlineStr">
        <is>
          <t>D23-DOC-PBL-001-T16</t>
        </is>
      </c>
      <c r="D1122" s="10" t="inlineStr">
        <is>
          <t>resultado</t>
        </is>
      </c>
      <c r="E1122" s="10" t="inlineStr">
        <is>
          <t>Definir, validar e manter: Resultado</t>
        </is>
      </c>
      <c r="F1122" s="10" t="n"/>
      <c r="G1122" s="10" t="b">
        <v>1</v>
      </c>
      <c r="H1122" s="10" t="b">
        <v>1</v>
      </c>
      <c r="I1122" s="10" t="inlineStr">
        <is>
          <t>DERIVED</t>
        </is>
      </c>
      <c r="J1122" s="10" t="inlineStr">
        <is>
          <t>PROPOSED</t>
        </is>
      </c>
      <c r="K1122" s="10" t="inlineStr">
        <is>
          <t>DERIVED</t>
        </is>
      </c>
      <c r="L1122" s="10" t="inlineStr">
        <is>
          <t>baixa</t>
        </is>
      </c>
      <c r="M1122" s="10" t="inlineStr">
        <is>
          <t>["D23-DOC-PBL-001.TESTS.RESULTADO"]</t>
        </is>
      </c>
    </row>
    <row r="1123">
      <c r="A1123" s="10" t="inlineStr">
        <is>
          <t>D23-DOC-PBL-001.RELEASE_MAPPING.RELEASE</t>
        </is>
      </c>
      <c r="B1123" s="10" t="inlineStr">
        <is>
          <t>D23-DOC-PBL-001</t>
        </is>
      </c>
      <c r="C1123" s="10" t="inlineStr">
        <is>
          <t>D23-DOC-PBL-001-T17</t>
        </is>
      </c>
      <c r="D1123" s="10" t="inlineStr">
        <is>
          <t>release</t>
        </is>
      </c>
      <c r="E1123" s="10" t="inlineStr">
        <is>
          <t>Definir, validar e manter: Release</t>
        </is>
      </c>
      <c r="F1123" s="10" t="n"/>
      <c r="G1123" s="10" t="b">
        <v>1</v>
      </c>
      <c r="H1123" s="10" t="b">
        <v>1</v>
      </c>
      <c r="I1123" s="10" t="inlineStr">
        <is>
          <t>DERIVED</t>
        </is>
      </c>
      <c r="J1123" s="10" t="inlineStr">
        <is>
          <t>PROPOSED</t>
        </is>
      </c>
      <c r="K1123" s="10" t="inlineStr">
        <is>
          <t>DERIVED</t>
        </is>
      </c>
      <c r="L1123" s="10" t="inlineStr">
        <is>
          <t>baixa</t>
        </is>
      </c>
      <c r="M1123" s="10" t="inlineStr">
        <is>
          <t>["D23-DOC-PBL-001.RELEASE_MAPPING.RELEASE"]</t>
        </is>
      </c>
    </row>
    <row r="1124">
      <c r="A1124" s="10" t="inlineStr">
        <is>
          <t>D23-DOC-PBL-001.RELEASE_MAPPING.GATE</t>
        </is>
      </c>
      <c r="B1124" s="10" t="inlineStr">
        <is>
          <t>D23-DOC-PBL-001</t>
        </is>
      </c>
      <c r="C1124" s="10" t="inlineStr">
        <is>
          <t>D23-DOC-PBL-001-T17</t>
        </is>
      </c>
      <c r="D1124" s="10" t="inlineStr">
        <is>
          <t>gate</t>
        </is>
      </c>
      <c r="E1124" s="10" t="inlineStr">
        <is>
          <t>Definir, validar e manter: Gate</t>
        </is>
      </c>
      <c r="F1124" s="10" t="n"/>
      <c r="G1124" s="10" t="b">
        <v>1</v>
      </c>
      <c r="H1124" s="10" t="b">
        <v>1</v>
      </c>
      <c r="I1124" s="10" t="inlineStr">
        <is>
          <t>DERIVED</t>
        </is>
      </c>
      <c r="J1124" s="10" t="inlineStr">
        <is>
          <t>PROPOSED</t>
        </is>
      </c>
      <c r="K1124" s="10" t="inlineStr">
        <is>
          <t>DERIVED</t>
        </is>
      </c>
      <c r="L1124" s="10" t="inlineStr">
        <is>
          <t>baixa</t>
        </is>
      </c>
      <c r="M1124" s="10" t="inlineStr">
        <is>
          <t>["D23-DOC-PBL-001.RELEASE_MAPPING.GATE"]</t>
        </is>
      </c>
    </row>
    <row r="1125">
      <c r="A1125" s="10" t="inlineStr">
        <is>
          <t>D23-DOC-PBL-001.EVIDENCE.FONTES</t>
        </is>
      </c>
      <c r="B1125" s="10" t="inlineStr">
        <is>
          <t>D23-DOC-PBL-001</t>
        </is>
      </c>
      <c r="C1125" s="10" t="inlineStr">
        <is>
          <t>D23-DOC-PBL-001-T18</t>
        </is>
      </c>
      <c r="D1125" s="10" t="inlineStr">
        <is>
          <t>fontes</t>
        </is>
      </c>
      <c r="E1125" s="10" t="inlineStr">
        <is>
          <t>Definir, validar e manter: Fontes</t>
        </is>
      </c>
      <c r="F1125" s="10" t="n"/>
      <c r="G1125" s="10" t="b">
        <v>1</v>
      </c>
      <c r="H1125" s="10" t="b">
        <v>1</v>
      </c>
      <c r="I1125" s="10" t="inlineStr">
        <is>
          <t>DERIVED</t>
        </is>
      </c>
      <c r="J1125" s="10" t="inlineStr">
        <is>
          <t>PROPOSED</t>
        </is>
      </c>
      <c r="K1125" s="10" t="inlineStr">
        <is>
          <t>DERIVED</t>
        </is>
      </c>
      <c r="L1125" s="10" t="inlineStr">
        <is>
          <t>baixa</t>
        </is>
      </c>
      <c r="M1125" s="10" t="inlineStr">
        <is>
          <t>["D23-DOC-PBL-001.EVIDENCE.FONTES"]</t>
        </is>
      </c>
    </row>
    <row r="1126">
      <c r="A1126" s="10" t="inlineStr">
        <is>
          <t>D23-DOC-PBL-001.EVIDENCE.REGISTROS</t>
        </is>
      </c>
      <c r="B1126" s="10" t="inlineStr">
        <is>
          <t>D23-DOC-PBL-001</t>
        </is>
      </c>
      <c r="C1126" s="10" t="inlineStr">
        <is>
          <t>D23-DOC-PBL-001-T18</t>
        </is>
      </c>
      <c r="D1126" s="10" t="inlineStr">
        <is>
          <t>registros</t>
        </is>
      </c>
      <c r="E1126" s="10" t="inlineStr">
        <is>
          <t>Definir, validar e manter: Registros</t>
        </is>
      </c>
      <c r="F1126" s="10" t="n"/>
      <c r="G1126" s="10" t="b">
        <v>1</v>
      </c>
      <c r="H1126" s="10" t="b">
        <v>1</v>
      </c>
      <c r="I1126" s="10" t="inlineStr">
        <is>
          <t>DERIVED</t>
        </is>
      </c>
      <c r="J1126" s="10" t="inlineStr">
        <is>
          <t>PROPOSED</t>
        </is>
      </c>
      <c r="K1126" s="10" t="inlineStr">
        <is>
          <t>DERIVED</t>
        </is>
      </c>
      <c r="L1126" s="10" t="inlineStr">
        <is>
          <t>baixa</t>
        </is>
      </c>
      <c r="M1126" s="10" t="inlineStr">
        <is>
          <t>["D23-DOC-PBL-001.EVIDENCE.REGISTROS"]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12" customWidth="1" min="4" max="4"/>
    <col width="12" customWidth="1" min="5" max="5"/>
    <col width="12" customWidth="1" min="6" max="6"/>
    <col width="17" customWidth="1" min="7" max="7"/>
    <col width="12" customWidth="1" min="8" max="8"/>
  </cols>
  <sheetData>
    <row r="1">
      <c r="A1" s="5" t="inlineStr">
        <is>
          <t>dependency_id</t>
        </is>
      </c>
      <c r="B1" s="5" t="inlineStr">
        <is>
          <t>source_artifact_id</t>
        </is>
      </c>
      <c r="C1" s="5" t="inlineStr">
        <is>
          <t>target_artifact_id</t>
        </is>
      </c>
      <c r="D1" s="5" t="inlineStr">
        <is>
          <t>relation</t>
        </is>
      </c>
      <c r="E1" s="5" t="inlineStr">
        <is>
          <t>mandatory</t>
        </is>
      </c>
      <c r="F1" s="5" t="inlineStr">
        <is>
          <t>gate_id</t>
        </is>
      </c>
      <c r="G1" s="5" t="inlineStr">
        <is>
          <t>required_status</t>
        </is>
      </c>
      <c r="H1" s="5" t="inlineStr">
        <is>
          <t>status</t>
        </is>
      </c>
    </row>
    <row r="2"/>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25" customWidth="1" min="4" max="4"/>
    <col width="19" customWidth="1" min="5" max="5"/>
    <col width="12" customWidth="1" min="6" max="6"/>
    <col width="14" customWidth="1" min="7" max="7"/>
  </cols>
  <sheetData>
    <row r="1">
      <c r="A1" s="5" t="inlineStr">
        <is>
          <t>gate_id</t>
        </is>
      </c>
      <c r="B1" s="5" t="inlineStr">
        <is>
          <t>name</t>
        </is>
      </c>
      <c r="C1" s="5" t="inlineStr">
        <is>
          <t>scope</t>
        </is>
      </c>
      <c r="D1" s="5" t="inlineStr">
        <is>
          <t>required_artifact_types</t>
        </is>
      </c>
      <c r="E1" s="5" t="inlineStr">
        <is>
          <t>required_statuses</t>
        </is>
      </c>
      <c r="F1" s="5" t="inlineStr">
        <is>
          <t>decision</t>
        </is>
      </c>
      <c r="G1" s="5" t="inlineStr">
        <is>
          <t>evidence_ids</t>
        </is>
      </c>
    </row>
    <row r="2">
      <c r="A2" s="10" t="inlineStr">
        <is>
          <t>G00</t>
        </is>
      </c>
      <c r="B2" s="10" t="inlineStr">
        <is>
          <t>INITIATIVE_READY</t>
        </is>
      </c>
      <c r="C2" s="10" t="inlineStr">
        <is>
          <t>PROGRAM</t>
        </is>
      </c>
      <c r="D2" s="10" t="inlineStr">
        <is>
          <t>[]</t>
        </is>
      </c>
      <c r="E2" s="10" t="inlineStr">
        <is>
          <t>["APPROVED"]</t>
        </is>
      </c>
      <c r="F2" s="10" t="inlineStr">
        <is>
          <t>PENDING</t>
        </is>
      </c>
      <c r="G2" s="10" t="inlineStr">
        <is>
          <t>[]</t>
        </is>
      </c>
    </row>
    <row r="3">
      <c r="A3" s="10" t="inlineStr">
        <is>
          <t>G01</t>
        </is>
      </c>
      <c r="B3" s="10" t="inlineStr">
        <is>
          <t>BUSINESS_READY</t>
        </is>
      </c>
      <c r="C3" s="10" t="inlineStr">
        <is>
          <t>PROGRAM</t>
        </is>
      </c>
      <c r="D3" s="10" t="inlineStr">
        <is>
          <t>[]</t>
        </is>
      </c>
      <c r="E3" s="10" t="inlineStr">
        <is>
          <t>["APPROVED"]</t>
        </is>
      </c>
      <c r="F3" s="10" t="inlineStr">
        <is>
          <t>PENDING</t>
        </is>
      </c>
      <c r="G3" s="10" t="inlineStr">
        <is>
          <t>[]</t>
        </is>
      </c>
    </row>
    <row r="4">
      <c r="A4" s="10" t="inlineStr">
        <is>
          <t>G02</t>
        </is>
      </c>
      <c r="B4" s="10" t="inlineStr">
        <is>
          <t>PRODUCT_READY</t>
        </is>
      </c>
      <c r="C4" s="10" t="inlineStr">
        <is>
          <t>PROGRAM</t>
        </is>
      </c>
      <c r="D4" s="10" t="inlineStr">
        <is>
          <t>[]</t>
        </is>
      </c>
      <c r="E4" s="10" t="inlineStr">
        <is>
          <t>["APPROVED"]</t>
        </is>
      </c>
      <c r="F4" s="10" t="inlineStr">
        <is>
          <t>PENDING</t>
        </is>
      </c>
      <c r="G4" s="10" t="inlineStr">
        <is>
          <t>[]</t>
        </is>
      </c>
    </row>
    <row r="5">
      <c r="A5" s="10" t="inlineStr">
        <is>
          <t>G03</t>
        </is>
      </c>
      <c r="B5" s="10" t="inlineStr">
        <is>
          <t>DEVELOPMENT_READY</t>
        </is>
      </c>
      <c r="C5" s="10" t="inlineStr">
        <is>
          <t>PROGRAM</t>
        </is>
      </c>
      <c r="D5" s="10" t="inlineStr">
        <is>
          <t>[]</t>
        </is>
      </c>
      <c r="E5" s="10" t="inlineStr">
        <is>
          <t>["APPROVED"]</t>
        </is>
      </c>
      <c r="F5" s="10" t="inlineStr">
        <is>
          <t>PENDING</t>
        </is>
      </c>
      <c r="G5" s="10" t="inlineStr">
        <is>
          <t>[]</t>
        </is>
      </c>
    </row>
    <row r="6">
      <c r="A6" s="10" t="inlineStr">
        <is>
          <t>G04</t>
        </is>
      </c>
      <c r="B6" s="10" t="inlineStr">
        <is>
          <t>ENGINEERING_READY</t>
        </is>
      </c>
      <c r="C6" s="10" t="inlineStr">
        <is>
          <t>PROGRAM</t>
        </is>
      </c>
      <c r="D6" s="10" t="inlineStr">
        <is>
          <t>[]</t>
        </is>
      </c>
      <c r="E6" s="10" t="inlineStr">
        <is>
          <t>["APPROVED"]</t>
        </is>
      </c>
      <c r="F6" s="10" t="inlineStr">
        <is>
          <t>PENDING</t>
        </is>
      </c>
      <c r="G6" s="10" t="inlineStr">
        <is>
          <t>[]</t>
        </is>
      </c>
    </row>
    <row r="7">
      <c r="A7" s="10" t="inlineStr">
        <is>
          <t>G05</t>
        </is>
      </c>
      <c r="B7" s="10" t="inlineStr">
        <is>
          <t>RELEASE_READY</t>
        </is>
      </c>
      <c r="C7" s="10" t="inlineStr">
        <is>
          <t>PROGRAM</t>
        </is>
      </c>
      <c r="D7" s="10" t="inlineStr">
        <is>
          <t>[]</t>
        </is>
      </c>
      <c r="E7" s="10" t="inlineStr">
        <is>
          <t>["APPROVED"]</t>
        </is>
      </c>
      <c r="F7" s="10" t="inlineStr">
        <is>
          <t>PENDING</t>
        </is>
      </c>
      <c r="G7" s="10" t="inlineStr">
        <is>
          <t>[]</t>
        </is>
      </c>
    </row>
    <row r="8">
      <c r="A8" s="10" t="inlineStr">
        <is>
          <t>G06</t>
        </is>
      </c>
      <c r="B8" s="10" t="inlineStr">
        <is>
          <t>GO_LIVE</t>
        </is>
      </c>
      <c r="C8" s="10" t="inlineStr">
        <is>
          <t>PROGRAM</t>
        </is>
      </c>
      <c r="D8" s="10" t="inlineStr">
        <is>
          <t>[]</t>
        </is>
      </c>
      <c r="E8" s="10" t="inlineStr">
        <is>
          <t>["APPROVED"]</t>
        </is>
      </c>
      <c r="F8" s="10" t="inlineStr">
        <is>
          <t>PENDING</t>
        </is>
      </c>
      <c r="G8" s="10" t="inlineStr">
        <is>
          <t>[]</t>
        </is>
      </c>
    </row>
    <row r="9">
      <c r="A9" s="10" t="inlineStr">
        <is>
          <t>G07</t>
        </is>
      </c>
      <c r="B9" s="10" t="inlineStr">
        <is>
          <t>OPERATIONAL_READY</t>
        </is>
      </c>
      <c r="C9" s="10" t="inlineStr">
        <is>
          <t>PROGRAM</t>
        </is>
      </c>
      <c r="D9" s="10" t="inlineStr">
        <is>
          <t>[]</t>
        </is>
      </c>
      <c r="E9" s="10" t="inlineStr">
        <is>
          <t>["APPROVED"]</t>
        </is>
      </c>
      <c r="F9" s="10" t="inlineStr">
        <is>
          <t>PENDING</t>
        </is>
      </c>
      <c r="G9" s="10" t="inlineStr">
        <is>
          <t>[]</t>
        </is>
      </c>
    </row>
    <row r="10">
      <c r="A10" s="10" t="inlineStr">
        <is>
          <t>G08</t>
        </is>
      </c>
      <c r="B10" s="10" t="inlineStr">
        <is>
          <t>GTM_READY</t>
        </is>
      </c>
      <c r="C10" s="10" t="inlineStr">
        <is>
          <t>PROGRAM</t>
        </is>
      </c>
      <c r="D10" s="10" t="inlineStr">
        <is>
          <t>[]</t>
        </is>
      </c>
      <c r="E10" s="10" t="inlineStr">
        <is>
          <t>["APPROVED"]</t>
        </is>
      </c>
      <c r="F10" s="10" t="inlineStr">
        <is>
          <t>PENDING</t>
        </is>
      </c>
      <c r="G10" s="10" t="inlineStr">
        <is>
          <t>[]</t>
        </is>
      </c>
    </row>
    <row r="11">
      <c r="A11" s="10" t="inlineStr">
        <is>
          <t>G09</t>
        </is>
      </c>
      <c r="B11" s="10" t="inlineStr">
        <is>
          <t>MEASURED</t>
        </is>
      </c>
      <c r="C11" s="10" t="inlineStr">
        <is>
          <t>PROGRAM</t>
        </is>
      </c>
      <c r="D11" s="10" t="inlineStr">
        <is>
          <t>[]</t>
        </is>
      </c>
      <c r="E11" s="10" t="inlineStr">
        <is>
          <t>["APPROVED"]</t>
        </is>
      </c>
      <c r="F11" s="10" t="inlineStr">
        <is>
          <t>PENDING</t>
        </is>
      </c>
      <c r="G11" s="10" t="inlineStr">
        <is>
          <t>[]</t>
        </is>
      </c>
    </row>
    <row r="12">
      <c r="A12" s="10" t="inlineStr">
        <is>
          <t>G10</t>
        </is>
      </c>
      <c r="B12" s="10" t="inlineStr">
        <is>
          <t>LEARNING_CAPTURED</t>
        </is>
      </c>
      <c r="C12" s="10" t="inlineStr">
        <is>
          <t>PROGRAM</t>
        </is>
      </c>
      <c r="D12" s="10" t="inlineStr">
        <is>
          <t>[]</t>
        </is>
      </c>
      <c r="E12" s="10" t="inlineStr">
        <is>
          <t>["APPROVED"]</t>
        </is>
      </c>
      <c r="F12" s="10" t="inlineStr">
        <is>
          <t>PENDING</t>
        </is>
      </c>
      <c r="G12" s="10" t="inlineStr">
        <is>
          <t>[]</t>
        </is>
      </c>
    </row>
    <row r="13">
      <c r="A13" s="10" t="inlineStr">
        <is>
          <t>G11</t>
        </is>
      </c>
      <c r="B13" s="10" t="inlineStr">
        <is>
          <t>DOCUMENTED</t>
        </is>
      </c>
      <c r="C13" s="10" t="inlineStr">
        <is>
          <t>PROGRAM</t>
        </is>
      </c>
      <c r="D13" s="10" t="inlineStr">
        <is>
          <t>[]</t>
        </is>
      </c>
      <c r="E13" s="10" t="inlineStr">
        <is>
          <t>["APPROVED"]</t>
        </is>
      </c>
      <c r="F13" s="10" t="inlineStr">
        <is>
          <t>PENDING</t>
        </is>
      </c>
      <c r="G13" s="10" t="inlineStr">
        <is>
          <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4" customWidth="1" min="3" max="3"/>
    <col width="14" customWidth="1" min="4" max="4"/>
    <col width="16" customWidth="1" min="5" max="5"/>
    <col width="16" customWidth="1" min="6" max="6"/>
    <col width="12" customWidth="1" min="7" max="7"/>
    <col width="12" customWidth="1" min="8" max="8"/>
    <col width="18" customWidth="1" min="9" max="9"/>
    <col width="17" customWidth="1" min="10" max="10"/>
  </cols>
  <sheetData>
    <row r="1">
      <c r="A1" s="5" t="inlineStr">
        <is>
          <t>evidence_id</t>
        </is>
      </c>
      <c r="B1" s="5" t="inlineStr">
        <is>
          <t>artifact_id</t>
        </is>
      </c>
      <c r="C1" s="5" t="inlineStr">
        <is>
          <t>total_fields</t>
        </is>
      </c>
      <c r="D1" s="5" t="inlineStr">
        <is>
          <t>found_direct</t>
        </is>
      </c>
      <c r="E1" s="5" t="inlineStr">
        <is>
          <t>found_external</t>
        </is>
      </c>
      <c r="F1" s="5" t="inlineStr">
        <is>
          <t>found_proposed</t>
        </is>
      </c>
      <c r="G1" s="5" t="inlineStr">
        <is>
          <t>conflict</t>
        </is>
      </c>
      <c r="H1" s="5" t="inlineStr">
        <is>
          <t>not_found</t>
        </is>
      </c>
      <c r="I1" s="5" t="inlineStr">
        <is>
          <t>coverage_percent</t>
        </is>
      </c>
      <c r="J1" s="5" t="inlineStr">
        <is>
          <t>evidence_status</t>
        </is>
      </c>
    </row>
    <row r="2">
      <c r="A2" s="10" t="inlineStr">
        <is>
          <t>D01-DOC-DDE-001-EVD</t>
        </is>
      </c>
      <c r="B2" s="10" t="inlineStr">
        <is>
          <t>D01-DOC-DDE-001</t>
        </is>
      </c>
      <c r="C2" s="10" t="n">
        <v>44</v>
      </c>
      <c r="D2" s="10" t="n">
        <v>5</v>
      </c>
      <c r="E2" s="10" t="n">
        <v>1</v>
      </c>
      <c r="F2" s="10" t="n">
        <v>38</v>
      </c>
      <c r="G2" s="10" t="n">
        <v>0</v>
      </c>
      <c r="H2" s="10" t="n">
        <v>0</v>
      </c>
      <c r="I2" s="10" t="n">
        <v>100</v>
      </c>
      <c r="J2" s="10" t="inlineStr">
        <is>
          <t>DIRECT</t>
        </is>
      </c>
    </row>
    <row r="3">
      <c r="A3" s="10" t="inlineStr">
        <is>
          <t>D01-DOC-TAP-001-EVD</t>
        </is>
      </c>
      <c r="B3" s="10" t="inlineStr">
        <is>
          <t>D01-DOC-TAP-001</t>
        </is>
      </c>
      <c r="C3" s="10" t="n">
        <v>29</v>
      </c>
      <c r="D3" s="10" t="n">
        <v>0</v>
      </c>
      <c r="E3" s="10" t="n">
        <v>1</v>
      </c>
      <c r="F3" s="10" t="n">
        <v>28</v>
      </c>
      <c r="G3" s="10" t="n">
        <v>0</v>
      </c>
      <c r="H3" s="10" t="n">
        <v>0</v>
      </c>
      <c r="I3" s="10" t="n">
        <v>100</v>
      </c>
      <c r="J3" s="10" t="inlineStr">
        <is>
          <t>PROPOSED</t>
        </is>
      </c>
    </row>
    <row r="4">
      <c r="A4" s="10" t="inlineStr">
        <is>
          <t>D01-DOC-MNE-001-EVD</t>
        </is>
      </c>
      <c r="B4" s="10" t="inlineStr">
        <is>
          <t>D01-DOC-MNE-001</t>
        </is>
      </c>
      <c r="C4" s="10" t="n">
        <v>36</v>
      </c>
      <c r="D4" s="10" t="n">
        <v>0</v>
      </c>
      <c r="E4" s="10" t="n">
        <v>6</v>
      </c>
      <c r="F4" s="10" t="n">
        <v>30</v>
      </c>
      <c r="G4" s="10" t="n">
        <v>0</v>
      </c>
      <c r="H4" s="10" t="n">
        <v>0</v>
      </c>
      <c r="I4" s="10" t="n">
        <v>100</v>
      </c>
      <c r="J4" s="10" t="inlineStr">
        <is>
          <t>PROPOSED</t>
        </is>
      </c>
    </row>
    <row r="5">
      <c r="A5" s="10" t="inlineStr">
        <is>
          <t>D01-DOC-MRE-001-EVD</t>
        </is>
      </c>
      <c r="B5" s="10" t="inlineStr">
        <is>
          <t>D01-DOC-MRE-001</t>
        </is>
      </c>
      <c r="C5" s="10" t="n">
        <v>23</v>
      </c>
      <c r="D5" s="10" t="n">
        <v>0</v>
      </c>
      <c r="E5" s="10" t="n">
        <v>0</v>
      </c>
      <c r="F5" s="10" t="n">
        <v>23</v>
      </c>
      <c r="G5" s="10" t="n">
        <v>0</v>
      </c>
      <c r="H5" s="10" t="n">
        <v>0</v>
      </c>
      <c r="I5" s="10" t="n">
        <v>100</v>
      </c>
      <c r="J5" s="10" t="inlineStr">
        <is>
          <t>PROPOSED</t>
        </is>
      </c>
    </row>
    <row r="6">
      <c r="A6" s="10" t="inlineStr">
        <is>
          <t>D02-DOC-DGRC-001-EVD</t>
        </is>
      </c>
      <c r="B6" s="10" t="inlineStr">
        <is>
          <t>D02-DOC-DGRC-001</t>
        </is>
      </c>
      <c r="C6" s="10" t="n">
        <v>33</v>
      </c>
      <c r="D6" s="10" t="n">
        <v>0</v>
      </c>
      <c r="E6" s="10" t="n">
        <v>4</v>
      </c>
      <c r="F6" s="10" t="n">
        <v>29</v>
      </c>
      <c r="G6" s="10" t="n">
        <v>0</v>
      </c>
      <c r="H6" s="10" t="n">
        <v>0</v>
      </c>
      <c r="I6" s="10" t="n">
        <v>100</v>
      </c>
      <c r="J6" s="10" t="inlineStr">
        <is>
          <t>PROPOSED</t>
        </is>
      </c>
    </row>
    <row r="7">
      <c r="A7" s="10" t="inlineStr">
        <is>
          <t>D02-DOC-MRC-001-EVD</t>
        </is>
      </c>
      <c r="B7" s="10" t="inlineStr">
        <is>
          <t>D02-DOC-MRC-001</t>
        </is>
      </c>
      <c r="C7" s="10" t="n">
        <v>18</v>
      </c>
      <c r="D7" s="10" t="n">
        <v>0</v>
      </c>
      <c r="E7" s="10" t="n">
        <v>0</v>
      </c>
      <c r="F7" s="10" t="n">
        <v>18</v>
      </c>
      <c r="G7" s="10" t="n">
        <v>0</v>
      </c>
      <c r="H7" s="10" t="n">
        <v>0</v>
      </c>
      <c r="I7" s="10" t="n">
        <v>100</v>
      </c>
      <c r="J7" s="10" t="inlineStr">
        <is>
          <t>PROPOSED</t>
        </is>
      </c>
    </row>
    <row r="8">
      <c r="A8" s="10" t="inlineStr">
        <is>
          <t>D02-DOC-PPT-001-EVD</t>
        </is>
      </c>
      <c r="B8" s="10" t="inlineStr">
        <is>
          <t>D02-DOC-PPT-001</t>
        </is>
      </c>
      <c r="C8" s="10" t="n">
        <v>27</v>
      </c>
      <c r="D8" s="10" t="n">
        <v>0</v>
      </c>
      <c r="E8" s="10" t="n">
        <v>4</v>
      </c>
      <c r="F8" s="10" t="n">
        <v>23</v>
      </c>
      <c r="G8" s="10" t="n">
        <v>0</v>
      </c>
      <c r="H8" s="10" t="n">
        <v>0</v>
      </c>
      <c r="I8" s="10" t="n">
        <v>100</v>
      </c>
      <c r="J8" s="10" t="inlineStr">
        <is>
          <t>PROPOSED</t>
        </is>
      </c>
    </row>
    <row r="9">
      <c r="A9" s="10" t="inlineStr">
        <is>
          <t>D03-DOC-PFO-001-EVD</t>
        </is>
      </c>
      <c r="B9" s="10" t="inlineStr">
        <is>
          <t>D03-DOC-PFO-001</t>
        </is>
      </c>
      <c r="C9" s="10" t="n">
        <v>38</v>
      </c>
      <c r="D9" s="10" t="n">
        <v>2</v>
      </c>
      <c r="E9" s="10" t="n">
        <v>2</v>
      </c>
      <c r="F9" s="10" t="n">
        <v>34</v>
      </c>
      <c r="G9" s="10" t="n">
        <v>0</v>
      </c>
      <c r="H9" s="10" t="n">
        <v>0</v>
      </c>
      <c r="I9" s="10" t="n">
        <v>100</v>
      </c>
      <c r="J9" s="10" t="inlineStr">
        <is>
          <t>DIRECT</t>
        </is>
      </c>
    </row>
    <row r="10">
      <c r="A10" s="10" t="inlineStr">
        <is>
          <t>D03-DOC-MFO-001-EVD</t>
        </is>
      </c>
      <c r="B10" s="10" t="inlineStr">
        <is>
          <t>D03-DOC-MFO-001</t>
        </is>
      </c>
      <c r="C10" s="10" t="n">
        <v>27</v>
      </c>
      <c r="D10" s="10" t="n">
        <v>0</v>
      </c>
      <c r="E10" s="10" t="n">
        <v>7</v>
      </c>
      <c r="F10" s="10" t="n">
        <v>20</v>
      </c>
      <c r="G10" s="10" t="n">
        <v>0</v>
      </c>
      <c r="H10" s="10" t="n">
        <v>0</v>
      </c>
      <c r="I10" s="10" t="n">
        <v>100</v>
      </c>
      <c r="J10" s="10" t="inlineStr">
        <is>
          <t>PROPOSED</t>
        </is>
      </c>
    </row>
    <row r="11">
      <c r="A11" s="10" t="inlineStr">
        <is>
          <t>D04-DOC-PPC-001-EVD</t>
        </is>
      </c>
      <c r="B11" s="10" t="inlineStr">
        <is>
          <t>D04-DOC-PPC-001</t>
        </is>
      </c>
      <c r="C11" s="10" t="n">
        <v>39</v>
      </c>
      <c r="D11" s="10" t="n">
        <v>1</v>
      </c>
      <c r="E11" s="10" t="n">
        <v>5</v>
      </c>
      <c r="F11" s="10" t="n">
        <v>33</v>
      </c>
      <c r="G11" s="10" t="n">
        <v>1</v>
      </c>
      <c r="H11" s="10" t="n">
        <v>0</v>
      </c>
      <c r="I11" s="10" t="n">
        <v>100</v>
      </c>
      <c r="J11" s="10" t="inlineStr">
        <is>
          <t>DIRECT</t>
        </is>
      </c>
    </row>
    <row r="12">
      <c r="A12" s="10" t="inlineStr">
        <is>
          <t>D05-DOC-EPGD-001-EVD</t>
        </is>
      </c>
      <c r="B12" s="10" t="inlineStr">
        <is>
          <t>D05-DOC-EPGD-001</t>
        </is>
      </c>
      <c r="C12" s="10" t="n">
        <v>36</v>
      </c>
      <c r="D12" s="10" t="n">
        <v>0</v>
      </c>
      <c r="E12" s="10" t="n">
        <v>7</v>
      </c>
      <c r="F12" s="10" t="n">
        <v>29</v>
      </c>
      <c r="G12" s="10" t="n">
        <v>0</v>
      </c>
      <c r="H12" s="10" t="n">
        <v>0</v>
      </c>
      <c r="I12" s="10" t="n">
        <v>100</v>
      </c>
      <c r="J12" s="10" t="inlineStr">
        <is>
          <t>PROPOSED</t>
        </is>
      </c>
    </row>
    <row r="13">
      <c r="A13" s="10" t="inlineStr">
        <is>
          <t>D05-DOC-DCM-001-EVD</t>
        </is>
      </c>
      <c r="B13" s="10" t="inlineStr">
        <is>
          <t>D05-DOC-DCM-001</t>
        </is>
      </c>
      <c r="C13" s="10" t="n">
        <v>18</v>
      </c>
      <c r="D13" s="10" t="n">
        <v>0</v>
      </c>
      <c r="E13" s="10" t="n">
        <v>3</v>
      </c>
      <c r="F13" s="10" t="n">
        <v>15</v>
      </c>
      <c r="G13" s="10" t="n">
        <v>0</v>
      </c>
      <c r="H13" s="10" t="n">
        <v>0</v>
      </c>
      <c r="I13" s="10" t="n">
        <v>100</v>
      </c>
      <c r="J13" s="10" t="inlineStr">
        <is>
          <t>PROPOSED</t>
        </is>
      </c>
    </row>
    <row r="14">
      <c r="A14" s="10" t="inlineStr">
        <is>
          <t>D06-DOC-EGC-001-EVD</t>
        </is>
      </c>
      <c r="B14" s="10" t="inlineStr">
        <is>
          <t>D06-DOC-EGC-001</t>
        </is>
      </c>
      <c r="C14" s="10" t="n">
        <v>29</v>
      </c>
      <c r="D14" s="10" t="n">
        <v>5</v>
      </c>
      <c r="E14" s="10" t="n">
        <v>1</v>
      </c>
      <c r="F14" s="10" t="n">
        <v>23</v>
      </c>
      <c r="G14" s="10" t="n">
        <v>2</v>
      </c>
      <c r="H14" s="10" t="n">
        <v>0</v>
      </c>
      <c r="I14" s="10" t="n">
        <v>100</v>
      </c>
      <c r="J14" s="10" t="inlineStr">
        <is>
          <t>DIRECT</t>
        </is>
      </c>
    </row>
    <row r="15">
      <c r="A15" s="10" t="inlineStr">
        <is>
          <t>D06-DOC-RMI-001-EVD</t>
        </is>
      </c>
      <c r="B15" s="10" t="inlineStr">
        <is>
          <t>D06-DOC-RMI-001</t>
        </is>
      </c>
      <c r="C15" s="10" t="n">
        <v>19</v>
      </c>
      <c r="D15" s="10" t="n">
        <v>0</v>
      </c>
      <c r="E15" s="10" t="n">
        <v>0</v>
      </c>
      <c r="F15" s="10" t="n">
        <v>19</v>
      </c>
      <c r="G15" s="10" t="n">
        <v>0</v>
      </c>
      <c r="H15" s="10" t="n">
        <v>0</v>
      </c>
      <c r="I15" s="10" t="n">
        <v>100</v>
      </c>
      <c r="J15" s="10" t="inlineStr">
        <is>
          <t>PROPOSED</t>
        </is>
      </c>
    </row>
    <row r="16">
      <c r="A16" s="10" t="inlineStr">
        <is>
          <t>D07-DOC-PEX-001-EVD</t>
        </is>
      </c>
      <c r="B16" s="10" t="inlineStr">
        <is>
          <t>D07-DOC-PEX-001</t>
        </is>
      </c>
      <c r="C16" s="10" t="n">
        <v>32</v>
      </c>
      <c r="D16" s="10" t="n">
        <v>3</v>
      </c>
      <c r="E16" s="10" t="n">
        <v>2</v>
      </c>
      <c r="F16" s="10" t="n">
        <v>27</v>
      </c>
      <c r="G16" s="10" t="n">
        <v>0</v>
      </c>
      <c r="H16" s="10" t="n">
        <v>0</v>
      </c>
      <c r="I16" s="10" t="n">
        <v>100</v>
      </c>
      <c r="J16" s="10" t="inlineStr">
        <is>
          <t>DIRECT</t>
        </is>
      </c>
    </row>
    <row r="17">
      <c r="A17" s="10" t="inlineStr">
        <is>
          <t>D07-DOC-PIM-001-EVD</t>
        </is>
      </c>
      <c r="B17" s="10" t="inlineStr">
        <is>
          <t>D07-DOC-PIM-001</t>
        </is>
      </c>
      <c r="C17" s="10" t="n">
        <v>27</v>
      </c>
      <c r="D17" s="10" t="n">
        <v>1</v>
      </c>
      <c r="E17" s="10" t="n">
        <v>0</v>
      </c>
      <c r="F17" s="10" t="n">
        <v>26</v>
      </c>
      <c r="G17" s="10" t="n">
        <v>1</v>
      </c>
      <c r="H17" s="10" t="n">
        <v>0</v>
      </c>
      <c r="I17" s="10" t="n">
        <v>100</v>
      </c>
      <c r="J17" s="10" t="inlineStr">
        <is>
          <t>DIRECT</t>
        </is>
      </c>
    </row>
    <row r="18">
      <c r="A18" s="10" t="inlineStr">
        <is>
          <t>D08-DOC-MOP-001-EVD</t>
        </is>
      </c>
      <c r="B18" s="10" t="inlineStr">
        <is>
          <t>D08-DOC-MOP-001</t>
        </is>
      </c>
      <c r="C18" s="10" t="n">
        <v>27</v>
      </c>
      <c r="D18" s="10" t="n">
        <v>3</v>
      </c>
      <c r="E18" s="10" t="n">
        <v>3</v>
      </c>
      <c r="F18" s="10" t="n">
        <v>21</v>
      </c>
      <c r="G18" s="10" t="n">
        <v>0</v>
      </c>
      <c r="H18" s="10" t="n">
        <v>0</v>
      </c>
      <c r="I18" s="10" t="n">
        <v>100</v>
      </c>
      <c r="J18" s="10" t="inlineStr">
        <is>
          <t>DIRECT</t>
        </is>
      </c>
    </row>
    <row r="19">
      <c r="A19" s="10" t="inlineStr">
        <is>
          <t>D08-DOC-RUN-001-EVD</t>
        </is>
      </c>
      <c r="B19" s="10" t="inlineStr">
        <is>
          <t>D08-DOC-RUN-001</t>
        </is>
      </c>
      <c r="C19" s="10" t="n">
        <v>16</v>
      </c>
      <c r="D19" s="10" t="n">
        <v>1</v>
      </c>
      <c r="E19" s="10" t="n">
        <v>2</v>
      </c>
      <c r="F19" s="10" t="n">
        <v>13</v>
      </c>
      <c r="G19" s="10" t="n">
        <v>0</v>
      </c>
      <c r="H19" s="10" t="n">
        <v>0</v>
      </c>
      <c r="I19" s="10" t="n">
        <v>100</v>
      </c>
      <c r="J19" s="10" t="inlineStr">
        <is>
          <t>DIRECT</t>
        </is>
      </c>
    </row>
    <row r="20">
      <c r="A20" s="10" t="inlineStr">
        <is>
          <t>D09-DOC-PPE-001-EVD</t>
        </is>
      </c>
      <c r="B20" s="10" t="inlineStr">
        <is>
          <t>D09-DOC-PPE-001</t>
        </is>
      </c>
      <c r="C20" s="10" t="n">
        <v>24</v>
      </c>
      <c r="D20" s="10" t="n">
        <v>1</v>
      </c>
      <c r="E20" s="10" t="n">
        <v>0</v>
      </c>
      <c r="F20" s="10" t="n">
        <v>23</v>
      </c>
      <c r="G20" s="10" t="n">
        <v>0</v>
      </c>
      <c r="H20" s="10" t="n">
        <v>0</v>
      </c>
      <c r="I20" s="10" t="n">
        <v>100</v>
      </c>
      <c r="J20" s="10" t="inlineStr">
        <is>
          <t>DIRECT</t>
        </is>
      </c>
    </row>
    <row r="21">
      <c r="A21" s="10" t="inlineStr">
        <is>
          <t>D09-DOC-DEB-001-EVD</t>
        </is>
      </c>
      <c r="B21" s="10" t="inlineStr">
        <is>
          <t>D09-DOC-DEB-001</t>
        </is>
      </c>
      <c r="C21" s="10" t="n">
        <v>16</v>
      </c>
      <c r="D21" s="10" t="n">
        <v>1</v>
      </c>
      <c r="E21" s="10" t="n">
        <v>0</v>
      </c>
      <c r="F21" s="10" t="n">
        <v>15</v>
      </c>
      <c r="G21" s="10" t="n">
        <v>0</v>
      </c>
      <c r="H21" s="10" t="n">
        <v>0</v>
      </c>
      <c r="I21" s="10" t="n">
        <v>100</v>
      </c>
      <c r="J21" s="10" t="inlineStr">
        <is>
          <t>DIRECT</t>
        </is>
      </c>
    </row>
    <row r="22">
      <c r="A22" s="10" t="inlineStr">
        <is>
          <t>D10-DOC-DRP-001-EVD</t>
        </is>
      </c>
      <c r="B22" s="10" t="inlineStr">
        <is>
          <t>D10-DOC-DRP-001</t>
        </is>
      </c>
      <c r="C22" s="10" t="n">
        <v>28</v>
      </c>
      <c r="D22" s="10" t="n">
        <v>1</v>
      </c>
      <c r="E22" s="10" t="n">
        <v>0</v>
      </c>
      <c r="F22" s="10" t="n">
        <v>27</v>
      </c>
      <c r="G22" s="10" t="n">
        <v>0</v>
      </c>
      <c r="H22" s="10" t="n">
        <v>0</v>
      </c>
      <c r="I22" s="10" t="n">
        <v>100</v>
      </c>
      <c r="J22" s="10" t="inlineStr">
        <is>
          <t>DIRECT</t>
        </is>
      </c>
    </row>
    <row r="23">
      <c r="A23" s="10" t="inlineStr">
        <is>
          <t>D10-DOC-PRD-001-EVD</t>
        </is>
      </c>
      <c r="B23" s="10" t="inlineStr">
        <is>
          <t>D10-DOC-PRD-001</t>
        </is>
      </c>
      <c r="C23" s="10" t="n">
        <v>23</v>
      </c>
      <c r="D23" s="10" t="n">
        <v>0</v>
      </c>
      <c r="E23" s="10" t="n">
        <v>0</v>
      </c>
      <c r="F23" s="10" t="n">
        <v>23</v>
      </c>
      <c r="G23" s="10" t="n">
        <v>0</v>
      </c>
      <c r="H23" s="10" t="n">
        <v>0</v>
      </c>
      <c r="I23" s="10" t="n">
        <v>100</v>
      </c>
      <c r="J23" s="10" t="inlineStr">
        <is>
          <t>PROPOSED</t>
        </is>
      </c>
    </row>
    <row r="24">
      <c r="A24" s="10" t="inlineStr">
        <is>
          <t>D11-DOC-EEP-001-EVD</t>
        </is>
      </c>
      <c r="B24" s="10" t="inlineStr">
        <is>
          <t>D11-DOC-EEP-001</t>
        </is>
      </c>
      <c r="C24" s="10" t="n">
        <v>31</v>
      </c>
      <c r="D24" s="10" t="n">
        <v>1</v>
      </c>
      <c r="E24" s="10" t="n">
        <v>2</v>
      </c>
      <c r="F24" s="10" t="n">
        <v>28</v>
      </c>
      <c r="G24" s="10" t="n">
        <v>0</v>
      </c>
      <c r="H24" s="10" t="n">
        <v>0</v>
      </c>
      <c r="I24" s="10" t="n">
        <v>100</v>
      </c>
      <c r="J24" s="10" t="inlineStr">
        <is>
          <t>DIRECT</t>
        </is>
      </c>
    </row>
    <row r="25">
      <c r="A25" s="10" t="inlineStr">
        <is>
          <t>D11-DOC-DSI-001-EVD</t>
        </is>
      </c>
      <c r="B25" s="10" t="inlineStr">
        <is>
          <t>D11-DOC-DSI-001</t>
        </is>
      </c>
      <c r="C25" s="10" t="n">
        <v>31</v>
      </c>
      <c r="D25" s="10" t="n">
        <v>0</v>
      </c>
      <c r="E25" s="10" t="n">
        <v>3</v>
      </c>
      <c r="F25" s="10" t="n">
        <v>28</v>
      </c>
      <c r="G25" s="10" t="n">
        <v>0</v>
      </c>
      <c r="H25" s="10" t="n">
        <v>0</v>
      </c>
      <c r="I25" s="10" t="n">
        <v>100</v>
      </c>
      <c r="J25" s="10" t="inlineStr">
        <is>
          <t>PROPOSED</t>
        </is>
      </c>
    </row>
    <row r="26">
      <c r="A26" s="10" t="inlineStr">
        <is>
          <t>D12-DOC-ETE-001-EVD</t>
        </is>
      </c>
      <c r="B26" s="10" t="inlineStr">
        <is>
          <t>D12-DOC-ETE-001</t>
        </is>
      </c>
      <c r="C26" s="10" t="n">
        <v>48</v>
      </c>
      <c r="D26" s="10" t="n">
        <v>4</v>
      </c>
      <c r="E26" s="10" t="n">
        <v>0</v>
      </c>
      <c r="F26" s="10" t="n">
        <v>44</v>
      </c>
      <c r="G26" s="10" t="n">
        <v>0</v>
      </c>
      <c r="H26" s="10" t="n">
        <v>0</v>
      </c>
      <c r="I26" s="10" t="n">
        <v>100</v>
      </c>
      <c r="J26" s="10" t="inlineStr">
        <is>
          <t>DIRECT</t>
        </is>
      </c>
    </row>
    <row r="27">
      <c r="A27" s="10" t="inlineStr">
        <is>
          <t>D13-DOC-DRM-001-EVD</t>
        </is>
      </c>
      <c r="B27" s="10" t="inlineStr">
        <is>
          <t>D13-DOC-DRM-001</t>
        </is>
      </c>
      <c r="C27" s="10" t="n">
        <v>27</v>
      </c>
      <c r="D27" s="10" t="n">
        <v>2</v>
      </c>
      <c r="E27" s="10" t="n">
        <v>0</v>
      </c>
      <c r="F27" s="10" t="n">
        <v>25</v>
      </c>
      <c r="G27" s="10" t="n">
        <v>0</v>
      </c>
      <c r="H27" s="10" t="n">
        <v>0</v>
      </c>
      <c r="I27" s="10" t="n">
        <v>100</v>
      </c>
      <c r="J27" s="10" t="inlineStr">
        <is>
          <t>DIRECT</t>
        </is>
      </c>
    </row>
    <row r="28">
      <c r="A28" s="10" t="inlineStr">
        <is>
          <t>D13-DOC-GTM-001-EVD</t>
        </is>
      </c>
      <c r="B28" s="10" t="inlineStr">
        <is>
          <t>D13-DOC-GTM-001</t>
        </is>
      </c>
      <c r="C28" s="10" t="n">
        <v>32</v>
      </c>
      <c r="D28" s="10" t="n">
        <v>1</v>
      </c>
      <c r="E28" s="10" t="n">
        <v>0</v>
      </c>
      <c r="F28" s="10" t="n">
        <v>31</v>
      </c>
      <c r="G28" s="10" t="n">
        <v>0</v>
      </c>
      <c r="H28" s="10" t="n">
        <v>0</v>
      </c>
      <c r="I28" s="10" t="n">
        <v>100</v>
      </c>
      <c r="J28" s="10" t="inlineStr">
        <is>
          <t>DIRECT</t>
        </is>
      </c>
    </row>
    <row r="29">
      <c r="A29" s="10" t="inlineStr">
        <is>
          <t>D14-DOC-PCV-001-EVD</t>
        </is>
      </c>
      <c r="B29" s="10" t="inlineStr">
        <is>
          <t>D14-DOC-PCV-001</t>
        </is>
      </c>
      <c r="C29" s="10" t="n">
        <v>39</v>
      </c>
      <c r="D29" s="10" t="n">
        <v>4</v>
      </c>
      <c r="E29" s="10" t="n">
        <v>0</v>
      </c>
      <c r="F29" s="10" t="n">
        <v>35</v>
      </c>
      <c r="G29" s="10" t="n">
        <v>0</v>
      </c>
      <c r="H29" s="10" t="n">
        <v>0</v>
      </c>
      <c r="I29" s="10" t="n">
        <v>100</v>
      </c>
      <c r="J29" s="10" t="inlineStr">
        <is>
          <t>DIRECT</t>
        </is>
      </c>
    </row>
    <row r="30">
      <c r="A30" s="10" t="inlineStr">
        <is>
          <t>D15-DOC-PASC-001-EVD</t>
        </is>
      </c>
      <c r="B30" s="10" t="inlineStr">
        <is>
          <t>D15-DOC-PASC-001</t>
        </is>
      </c>
      <c r="C30" s="10" t="n">
        <v>32</v>
      </c>
      <c r="D30" s="10" t="n">
        <v>0</v>
      </c>
      <c r="E30" s="10" t="n">
        <v>5</v>
      </c>
      <c r="F30" s="10" t="n">
        <v>27</v>
      </c>
      <c r="G30" s="10" t="n">
        <v>0</v>
      </c>
      <c r="H30" s="10" t="n">
        <v>0</v>
      </c>
      <c r="I30" s="10" t="n">
        <v>100</v>
      </c>
      <c r="J30" s="10" t="inlineStr">
        <is>
          <t>PROPOSED</t>
        </is>
      </c>
    </row>
    <row r="31">
      <c r="A31" s="10" t="inlineStr">
        <is>
          <t>D16-DOC-PEM-001-EVD</t>
        </is>
      </c>
      <c r="B31" s="10" t="inlineStr">
        <is>
          <t>D16-DOC-PEM-001</t>
        </is>
      </c>
      <c r="C31" s="10" t="n">
        <v>36</v>
      </c>
      <c r="D31" s="10" t="n">
        <v>3</v>
      </c>
      <c r="E31" s="10" t="n">
        <v>0</v>
      </c>
      <c r="F31" s="10" t="n">
        <v>33</v>
      </c>
      <c r="G31" s="10" t="n">
        <v>0</v>
      </c>
      <c r="H31" s="10" t="n">
        <v>0</v>
      </c>
      <c r="I31" s="10" t="n">
        <v>100</v>
      </c>
      <c r="J31" s="10" t="inlineStr">
        <is>
          <t>DIRECT</t>
        </is>
      </c>
    </row>
    <row r="32">
      <c r="A32" s="10" t="inlineStr">
        <is>
          <t>D17-DOC-PEP-001-EVD</t>
        </is>
      </c>
      <c r="B32" s="10" t="inlineStr">
        <is>
          <t>D17-DOC-PEP-001</t>
        </is>
      </c>
      <c r="C32" s="10" t="n">
        <v>39</v>
      </c>
      <c r="D32" s="10" t="n">
        <v>0</v>
      </c>
      <c r="E32" s="10" t="n">
        <v>5</v>
      </c>
      <c r="F32" s="10" t="n">
        <v>34</v>
      </c>
      <c r="G32" s="10" t="n">
        <v>0</v>
      </c>
      <c r="H32" s="10" t="n">
        <v>0</v>
      </c>
      <c r="I32" s="10" t="n">
        <v>100</v>
      </c>
      <c r="J32" s="10" t="inlineStr">
        <is>
          <t>PROPOSED</t>
        </is>
      </c>
    </row>
    <row r="33">
      <c r="A33" s="10" t="inlineStr">
        <is>
          <t>D18-DOC-PCE-001-EVD</t>
        </is>
      </c>
      <c r="B33" s="10" t="inlineStr">
        <is>
          <t>D18-DOC-PCE-001</t>
        </is>
      </c>
      <c r="C33" s="10" t="n">
        <v>32</v>
      </c>
      <c r="D33" s="10" t="n">
        <v>1</v>
      </c>
      <c r="E33" s="10" t="n">
        <v>0</v>
      </c>
      <c r="F33" s="10" t="n">
        <v>31</v>
      </c>
      <c r="G33" s="10" t="n">
        <v>0</v>
      </c>
      <c r="H33" s="10" t="n">
        <v>0</v>
      </c>
      <c r="I33" s="10" t="n">
        <v>100</v>
      </c>
      <c r="J33" s="10" t="inlineStr">
        <is>
          <t>DIRECT</t>
        </is>
      </c>
    </row>
    <row r="34">
      <c r="A34" s="10" t="inlineStr">
        <is>
          <t>D19-DOC-PAC-001-EVD</t>
        </is>
      </c>
      <c r="B34" s="10" t="inlineStr">
        <is>
          <t>D19-DOC-PAC-001</t>
        </is>
      </c>
      <c r="C34" s="10" t="n">
        <v>37</v>
      </c>
      <c r="D34" s="10" t="n">
        <v>2</v>
      </c>
      <c r="E34" s="10" t="n">
        <v>1</v>
      </c>
      <c r="F34" s="10" t="n">
        <v>34</v>
      </c>
      <c r="G34" s="10" t="n">
        <v>0</v>
      </c>
      <c r="H34" s="10" t="n">
        <v>0</v>
      </c>
      <c r="I34" s="10" t="n">
        <v>100</v>
      </c>
      <c r="J34" s="10" t="inlineStr">
        <is>
          <t>DIRECT</t>
        </is>
      </c>
    </row>
    <row r="35">
      <c r="A35" s="10" t="inlineStr">
        <is>
          <t>D20-DOC-PPR-001-EVD</t>
        </is>
      </c>
      <c r="B35" s="10" t="inlineStr">
        <is>
          <t>D20-DOC-PPR-001</t>
        </is>
      </c>
      <c r="C35" s="10" t="n">
        <v>39</v>
      </c>
      <c r="D35" s="10" t="n">
        <v>1</v>
      </c>
      <c r="E35" s="10" t="n">
        <v>2</v>
      </c>
      <c r="F35" s="10" t="n">
        <v>36</v>
      </c>
      <c r="G35" s="10" t="n">
        <v>0</v>
      </c>
      <c r="H35" s="10" t="n">
        <v>0</v>
      </c>
      <c r="I35" s="10" t="n">
        <v>100</v>
      </c>
      <c r="J35" s="10" t="inlineStr">
        <is>
          <t>DIRECT</t>
        </is>
      </c>
    </row>
    <row r="36">
      <c r="A36" s="10" t="inlineStr">
        <is>
          <t>D21-DOC-PWB-001-EVD</t>
        </is>
      </c>
      <c r="B36" s="10" t="inlineStr">
        <is>
          <t>D21-DOC-PWB-001</t>
        </is>
      </c>
      <c r="C36" s="10" t="n">
        <v>30</v>
      </c>
      <c r="D36" s="10" t="n">
        <v>1</v>
      </c>
      <c r="E36" s="10" t="n">
        <v>1</v>
      </c>
      <c r="F36" s="10" t="n">
        <v>28</v>
      </c>
      <c r="G36" s="10" t="n">
        <v>0</v>
      </c>
      <c r="H36" s="10" t="n">
        <v>0</v>
      </c>
      <c r="I36" s="10" t="n">
        <v>100</v>
      </c>
      <c r="J36" s="10" t="inlineStr">
        <is>
          <t>DIRECT</t>
        </is>
      </c>
    </row>
    <row r="37">
      <c r="A37" s="10" t="inlineStr">
        <is>
          <t>D22-DOC-DRL-001-EVD</t>
        </is>
      </c>
      <c r="B37" s="10" t="inlineStr">
        <is>
          <t>D22-DOC-DRL-001</t>
        </is>
      </c>
      <c r="C37" s="10" t="n">
        <v>23</v>
      </c>
      <c r="D37" s="10" t="n">
        <v>0</v>
      </c>
      <c r="E37" s="10" t="n">
        <v>0</v>
      </c>
      <c r="F37" s="10" t="n">
        <v>23</v>
      </c>
      <c r="G37" s="10" t="n">
        <v>0</v>
      </c>
      <c r="H37" s="10" t="n">
        <v>0</v>
      </c>
      <c r="I37" s="10" t="n">
        <v>100</v>
      </c>
      <c r="J37" s="10" t="inlineStr">
        <is>
          <t>PROPOSED</t>
        </is>
      </c>
    </row>
    <row r="38">
      <c r="A38" s="10" t="inlineStr">
        <is>
          <t>D23-DOC-PBL-001-EVD</t>
        </is>
      </c>
      <c r="B38" s="10" t="inlineStr">
        <is>
          <t>D23-DOC-PBL-001</t>
        </is>
      </c>
      <c r="C38" s="10" t="n">
        <v>40</v>
      </c>
      <c r="D38" s="10" t="n">
        <v>0</v>
      </c>
      <c r="E38" s="10" t="n">
        <v>1</v>
      </c>
      <c r="F38" s="10" t="n">
        <v>39</v>
      </c>
      <c r="G38" s="10" t="n">
        <v>0</v>
      </c>
      <c r="H38" s="10" t="n">
        <v>0</v>
      </c>
      <c r="I38" s="10" t="n">
        <v>100</v>
      </c>
      <c r="J38" s="10" t="inlineStr">
        <is>
          <t>PROPOSED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3" customWidth="1" min="4" max="4"/>
    <col width="34" customWidth="1" min="5" max="5"/>
  </cols>
  <sheetData>
    <row r="1">
      <c r="A1" s="5" t="inlineStr">
        <is>
          <t>document_id</t>
        </is>
      </c>
      <c r="B1" s="5" t="inlineStr">
        <is>
          <t>level</t>
        </is>
      </c>
      <c r="C1" s="5" t="inlineStr">
        <is>
          <t>scope_id</t>
        </is>
      </c>
      <c r="D1" s="5" t="inlineStr">
        <is>
          <t>status</t>
        </is>
      </c>
      <c r="E1" s="5" t="inlineStr">
        <is>
          <t>derives_from</t>
        </is>
      </c>
    </row>
    <row r="2">
      <c r="A2" s="10" t="inlineStr">
        <is>
          <t>A00-FINAL-001</t>
        </is>
      </c>
      <c r="B2" s="10" t="inlineStr">
        <is>
          <t>MACROAREA</t>
        </is>
      </c>
      <c r="C2" s="10" t="inlineStr">
        <is>
          <t>A00</t>
        </is>
      </c>
      <c r="D2" s="10" t="inlineStr">
        <is>
          <t>NOT_CREATED</t>
        </is>
      </c>
      <c r="E2" s="10" t="inlineStr">
        <is>
          <t>artifacts of this macroarea</t>
        </is>
      </c>
    </row>
    <row r="3">
      <c r="A3" s="10" t="inlineStr">
        <is>
          <t>A01-FINAL-001</t>
        </is>
      </c>
      <c r="B3" s="10" t="inlineStr">
        <is>
          <t>MACROAREA</t>
        </is>
      </c>
      <c r="C3" s="10" t="inlineStr">
        <is>
          <t>A01</t>
        </is>
      </c>
      <c r="D3" s="10" t="inlineStr">
        <is>
          <t>NOT_CREATED</t>
        </is>
      </c>
      <c r="E3" s="10" t="inlineStr">
        <is>
          <t>artifacts of this macroarea</t>
        </is>
      </c>
    </row>
    <row r="4">
      <c r="A4" s="10" t="inlineStr">
        <is>
          <t>A02-FINAL-001</t>
        </is>
      </c>
      <c r="B4" s="10" t="inlineStr">
        <is>
          <t>MACROAREA</t>
        </is>
      </c>
      <c r="C4" s="10" t="inlineStr">
        <is>
          <t>A02</t>
        </is>
      </c>
      <c r="D4" s="10" t="inlineStr">
        <is>
          <t>NOT_CREATED</t>
        </is>
      </c>
      <c r="E4" s="10" t="inlineStr">
        <is>
          <t>artifacts of this macroarea</t>
        </is>
      </c>
    </row>
    <row r="5">
      <c r="A5" s="10" t="inlineStr">
        <is>
          <t>A03-FINAL-001</t>
        </is>
      </c>
      <c r="B5" s="10" t="inlineStr">
        <is>
          <t>MACROAREA</t>
        </is>
      </c>
      <c r="C5" s="10" t="inlineStr">
        <is>
          <t>A03</t>
        </is>
      </c>
      <c r="D5" s="10" t="inlineStr">
        <is>
          <t>NOT_CREATED</t>
        </is>
      </c>
      <c r="E5" s="10" t="inlineStr">
        <is>
          <t>artifacts of this macroarea</t>
        </is>
      </c>
    </row>
    <row r="6">
      <c r="A6" s="10" t="inlineStr">
        <is>
          <t>A04-FINAL-001</t>
        </is>
      </c>
      <c r="B6" s="10" t="inlineStr">
        <is>
          <t>MACROAREA</t>
        </is>
      </c>
      <c r="C6" s="10" t="inlineStr">
        <is>
          <t>A04</t>
        </is>
      </c>
      <c r="D6" s="10" t="inlineStr">
        <is>
          <t>NOT_CREATED</t>
        </is>
      </c>
      <c r="E6" s="10" t="inlineStr">
        <is>
          <t>artifacts of this macroarea</t>
        </is>
      </c>
    </row>
    <row r="7">
      <c r="A7" s="10" t="inlineStr">
        <is>
          <t>A05-FINAL-001</t>
        </is>
      </c>
      <c r="B7" s="10" t="inlineStr">
        <is>
          <t>MACROAREA</t>
        </is>
      </c>
      <c r="C7" s="10" t="inlineStr">
        <is>
          <t>A05</t>
        </is>
      </c>
      <c r="D7" s="10" t="inlineStr">
        <is>
          <t>NOT_CREATED</t>
        </is>
      </c>
      <c r="E7" s="10" t="inlineStr">
        <is>
          <t>artifacts of this macroarea</t>
        </is>
      </c>
    </row>
    <row r="8">
      <c r="A8" s="10" t="inlineStr">
        <is>
          <t>A06-FINAL-001</t>
        </is>
      </c>
      <c r="B8" s="10" t="inlineStr">
        <is>
          <t>MACROAREA</t>
        </is>
      </c>
      <c r="C8" s="10" t="inlineStr">
        <is>
          <t>A06</t>
        </is>
      </c>
      <c r="D8" s="10" t="inlineStr">
        <is>
          <t>NOT_CREATED</t>
        </is>
      </c>
      <c r="E8" s="10" t="inlineStr">
        <is>
          <t>artifacts of this macroarea</t>
        </is>
      </c>
    </row>
    <row r="9">
      <c r="A9" s="10" t="inlineStr">
        <is>
          <t>A07-FINAL-001</t>
        </is>
      </c>
      <c r="B9" s="10" t="inlineStr">
        <is>
          <t>MACROAREA</t>
        </is>
      </c>
      <c r="C9" s="10" t="inlineStr">
        <is>
          <t>A07</t>
        </is>
      </c>
      <c r="D9" s="10" t="inlineStr">
        <is>
          <t>NOT_CREATED</t>
        </is>
      </c>
      <c r="E9" s="10" t="inlineStr">
        <is>
          <t>artifacts of this macroarea</t>
        </is>
      </c>
    </row>
    <row r="10">
      <c r="A10" s="10" t="inlineStr">
        <is>
          <t>A08-FINAL-001</t>
        </is>
      </c>
      <c r="B10" s="10" t="inlineStr">
        <is>
          <t>MACROAREA</t>
        </is>
      </c>
      <c r="C10" s="10" t="inlineStr">
        <is>
          <t>A08</t>
        </is>
      </c>
      <c r="D10" s="10" t="inlineStr">
        <is>
          <t>NOT_CREATED</t>
        </is>
      </c>
      <c r="E10" s="10" t="inlineStr">
        <is>
          <t>artifacts of this macroarea</t>
        </is>
      </c>
    </row>
    <row r="11">
      <c r="A11" s="10" t="inlineStr">
        <is>
          <t>A09-FINAL-001</t>
        </is>
      </c>
      <c r="B11" s="10" t="inlineStr">
        <is>
          <t>MACROAREA</t>
        </is>
      </c>
      <c r="C11" s="10" t="inlineStr">
        <is>
          <t>A09</t>
        </is>
      </c>
      <c r="D11" s="10" t="inlineStr">
        <is>
          <t>NOT_CREATED</t>
        </is>
      </c>
      <c r="E11" s="10" t="inlineStr">
        <is>
          <t>artifacts of this macroarea</t>
        </is>
      </c>
    </row>
    <row r="12">
      <c r="A12" s="10" t="inlineStr">
        <is>
          <t>A10-FINAL-001</t>
        </is>
      </c>
      <c r="B12" s="10" t="inlineStr">
        <is>
          <t>MACROAREA</t>
        </is>
      </c>
      <c r="C12" s="10" t="inlineStr">
        <is>
          <t>A10</t>
        </is>
      </c>
      <c r="D12" s="10" t="inlineStr">
        <is>
          <t>NOT_CREATED</t>
        </is>
      </c>
      <c r="E12" s="10" t="inlineStr">
        <is>
          <t>artifacts of this macroarea</t>
        </is>
      </c>
    </row>
    <row r="13">
      <c r="A13" s="10" t="inlineStr">
        <is>
          <t>A11-FINAL-001</t>
        </is>
      </c>
      <c r="B13" s="10" t="inlineStr">
        <is>
          <t>MACROAREA</t>
        </is>
      </c>
      <c r="C13" s="10" t="inlineStr">
        <is>
          <t>A11</t>
        </is>
      </c>
      <c r="D13" s="10" t="inlineStr">
        <is>
          <t>NOT_CREATED</t>
        </is>
      </c>
      <c r="E13" s="10" t="inlineStr">
        <is>
          <t>artifacts of this macroarea</t>
        </is>
      </c>
    </row>
    <row r="14">
      <c r="A14" s="10" t="inlineStr">
        <is>
          <t>A12-FINAL-001</t>
        </is>
      </c>
      <c r="B14" s="10" t="inlineStr">
        <is>
          <t>MACROAREA</t>
        </is>
      </c>
      <c r="C14" s="10" t="inlineStr">
        <is>
          <t>A12</t>
        </is>
      </c>
      <c r="D14" s="10" t="inlineStr">
        <is>
          <t>NOT_CREATED</t>
        </is>
      </c>
      <c r="E14" s="10" t="inlineStr">
        <is>
          <t>artifacts of this macroarea</t>
        </is>
      </c>
    </row>
    <row r="15">
      <c r="A15" s="10" t="inlineStr">
        <is>
          <t>S0-FINAL-001</t>
        </is>
      </c>
      <c r="B15" s="10" t="inlineStr">
        <is>
          <t>PORTFOLIO</t>
        </is>
      </c>
      <c r="C15" s="10" t="inlineStr">
        <is>
          <t>S0</t>
        </is>
      </c>
      <c r="D15" s="10" t="inlineStr">
        <is>
          <t>NOT_CREATED</t>
        </is>
      </c>
      <c r="E15" s="10" t="inlineStr">
        <is>
          <t>artifacts of this portfolio item</t>
        </is>
      </c>
    </row>
    <row r="16">
      <c r="A16" s="10" t="inlineStr">
        <is>
          <t>M0-FINAL-001</t>
        </is>
      </c>
      <c r="B16" s="10" t="inlineStr">
        <is>
          <t>PORTFOLIO</t>
        </is>
      </c>
      <c r="C16" s="10" t="inlineStr">
        <is>
          <t>M0</t>
        </is>
      </c>
      <c r="D16" s="10" t="inlineStr">
        <is>
          <t>NOT_CREATED</t>
        </is>
      </c>
      <c r="E16" s="10" t="inlineStr">
        <is>
          <t>artifacts of this portfolio item</t>
        </is>
      </c>
    </row>
    <row r="17">
      <c r="A17" s="10" t="inlineStr">
        <is>
          <t>M1-FINAL-001</t>
        </is>
      </c>
      <c r="B17" s="10" t="inlineStr">
        <is>
          <t>PORTFOLIO</t>
        </is>
      </c>
      <c r="C17" s="10" t="inlineStr">
        <is>
          <t>M1</t>
        </is>
      </c>
      <c r="D17" s="10" t="inlineStr">
        <is>
          <t>NOT_CREATED</t>
        </is>
      </c>
      <c r="E17" s="10" t="inlineStr">
        <is>
          <t>artifacts of this portfolio item</t>
        </is>
      </c>
    </row>
    <row r="18">
      <c r="A18" s="10" t="inlineStr">
        <is>
          <t>M2-FINAL-001</t>
        </is>
      </c>
      <c r="B18" s="10" t="inlineStr">
        <is>
          <t>PORTFOLIO</t>
        </is>
      </c>
      <c r="C18" s="10" t="inlineStr">
        <is>
          <t>M2</t>
        </is>
      </c>
      <c r="D18" s="10" t="inlineStr">
        <is>
          <t>NOT_CREATED</t>
        </is>
      </c>
      <c r="E18" s="10" t="inlineStr">
        <is>
          <t>artifacts of this portfolio item</t>
        </is>
      </c>
    </row>
    <row r="19">
      <c r="A19" s="10" t="inlineStr">
        <is>
          <t>M2.1-FINAL-001</t>
        </is>
      </c>
      <c r="B19" s="10" t="inlineStr">
        <is>
          <t>PORTFOLIO</t>
        </is>
      </c>
      <c r="C19" s="10" t="inlineStr">
        <is>
          <t>M2.1</t>
        </is>
      </c>
      <c r="D19" s="10" t="inlineStr">
        <is>
          <t>NOT_CREATED</t>
        </is>
      </c>
      <c r="E19" s="10" t="inlineStr">
        <is>
          <t>artifacts of this portfolio item</t>
        </is>
      </c>
    </row>
    <row r="20">
      <c r="A20" s="10" t="inlineStr">
        <is>
          <t>M3-FINAL-001</t>
        </is>
      </c>
      <c r="B20" s="10" t="inlineStr">
        <is>
          <t>PORTFOLIO</t>
        </is>
      </c>
      <c r="C20" s="10" t="inlineStr">
        <is>
          <t>M3</t>
        </is>
      </c>
      <c r="D20" s="10" t="inlineStr">
        <is>
          <t>NOT_CREATED</t>
        </is>
      </c>
      <c r="E20" s="10" t="inlineStr">
        <is>
          <t>artifacts of this portfolio item</t>
        </is>
      </c>
    </row>
    <row r="21">
      <c r="A21" s="10" t="inlineStr">
        <is>
          <t>M4-FINAL-001</t>
        </is>
      </c>
      <c r="B21" s="10" t="inlineStr">
        <is>
          <t>PORTFOLIO</t>
        </is>
      </c>
      <c r="C21" s="10" t="inlineStr">
        <is>
          <t>M4</t>
        </is>
      </c>
      <c r="D21" s="10" t="inlineStr">
        <is>
          <t>NOT_CREATED</t>
        </is>
      </c>
      <c r="E21" s="10" t="inlineStr">
        <is>
          <t>artifacts of this portfolio item</t>
        </is>
      </c>
    </row>
    <row r="22">
      <c r="A22" s="10" t="inlineStr">
        <is>
          <t>M5-FINAL-001</t>
        </is>
      </c>
      <c r="B22" s="10" t="inlineStr">
        <is>
          <t>PORTFOLIO</t>
        </is>
      </c>
      <c r="C22" s="10" t="inlineStr">
        <is>
          <t>M5</t>
        </is>
      </c>
      <c r="D22" s="10" t="inlineStr">
        <is>
          <t>NOT_CREATED</t>
        </is>
      </c>
      <c r="E22" s="10" t="inlineStr">
        <is>
          <t>artifacts of this portfolio item</t>
        </is>
      </c>
    </row>
    <row r="23">
      <c r="A23" s="10" t="inlineStr">
        <is>
          <t>M6-FINAL-001</t>
        </is>
      </c>
      <c r="B23" s="10" t="inlineStr">
        <is>
          <t>PORTFOLIO</t>
        </is>
      </c>
      <c r="C23" s="10" t="inlineStr">
        <is>
          <t>M6</t>
        </is>
      </c>
      <c r="D23" s="10" t="inlineStr">
        <is>
          <t>NOT_CREATED</t>
        </is>
      </c>
      <c r="E23" s="10" t="inlineStr">
        <is>
          <t>artifacts of this portfolio item</t>
        </is>
      </c>
    </row>
    <row r="24">
      <c r="A24" s="10" t="inlineStr">
        <is>
          <t>M7-FINAL-001</t>
        </is>
      </c>
      <c r="B24" s="10" t="inlineStr">
        <is>
          <t>PORTFOLIO</t>
        </is>
      </c>
      <c r="C24" s="10" t="inlineStr">
        <is>
          <t>M7</t>
        </is>
      </c>
      <c r="D24" s="10" t="inlineStr">
        <is>
          <t>NOT_CREATED</t>
        </is>
      </c>
      <c r="E24" s="10" t="inlineStr">
        <is>
          <t>artifacts of this portfolio item</t>
        </is>
      </c>
    </row>
    <row r="25">
      <c r="A25" s="10" t="inlineStr">
        <is>
          <t>M7.1-FINAL-001</t>
        </is>
      </c>
      <c r="B25" s="10" t="inlineStr">
        <is>
          <t>PORTFOLIO</t>
        </is>
      </c>
      <c r="C25" s="10" t="inlineStr">
        <is>
          <t>M7.1</t>
        </is>
      </c>
      <c r="D25" s="10" t="inlineStr">
        <is>
          <t>NOT_CREATED</t>
        </is>
      </c>
      <c r="E25" s="10" t="inlineStr">
        <is>
          <t>artifacts of this portfolio item</t>
        </is>
      </c>
    </row>
    <row r="26">
      <c r="A26" s="10" t="inlineStr">
        <is>
          <t>M8-FINAL-001</t>
        </is>
      </c>
      <c r="B26" s="10" t="inlineStr">
        <is>
          <t>PORTFOLIO</t>
        </is>
      </c>
      <c r="C26" s="10" t="inlineStr">
        <is>
          <t>M8</t>
        </is>
      </c>
      <c r="D26" s="10" t="inlineStr">
        <is>
          <t>NOT_CREATED</t>
        </is>
      </c>
      <c r="E26" s="10" t="inlineStr">
        <is>
          <t>artifacts of this portfolio item</t>
        </is>
      </c>
    </row>
    <row r="27">
      <c r="A27" s="10" t="inlineStr">
        <is>
          <t>M9-FINAL-001</t>
        </is>
      </c>
      <c r="B27" s="10" t="inlineStr">
        <is>
          <t>PORTFOLIO</t>
        </is>
      </c>
      <c r="C27" s="10" t="inlineStr">
        <is>
          <t>M9</t>
        </is>
      </c>
      <c r="D27" s="10" t="inlineStr">
        <is>
          <t>NOT_CREATED</t>
        </is>
      </c>
      <c r="E27" s="10" t="inlineStr">
        <is>
          <t>artifacts of this portfolio item</t>
        </is>
      </c>
    </row>
    <row r="28">
      <c r="A28" s="10" t="inlineStr">
        <is>
          <t>M10-FINAL-001</t>
        </is>
      </c>
      <c r="B28" s="10" t="inlineStr">
        <is>
          <t>PORTFOLIO</t>
        </is>
      </c>
      <c r="C28" s="10" t="inlineStr">
        <is>
          <t>M10</t>
        </is>
      </c>
      <c r="D28" s="10" t="inlineStr">
        <is>
          <t>NOT_CREATED</t>
        </is>
      </c>
      <c r="E28" s="10" t="inlineStr">
        <is>
          <t>artifacts of this portfolio item</t>
        </is>
      </c>
    </row>
    <row r="29">
      <c r="A29" s="10" t="inlineStr">
        <is>
          <t>M11-FINAL-001</t>
        </is>
      </c>
      <c r="B29" s="10" t="inlineStr">
        <is>
          <t>PORTFOLIO</t>
        </is>
      </c>
      <c r="C29" s="10" t="inlineStr">
        <is>
          <t>M11</t>
        </is>
      </c>
      <c r="D29" s="10" t="inlineStr">
        <is>
          <t>NOT_CREATED</t>
        </is>
      </c>
      <c r="E29" s="10" t="inlineStr">
        <is>
          <t>artifacts of this portfolio item</t>
        </is>
      </c>
    </row>
    <row r="30">
      <c r="A30" s="10" t="inlineStr">
        <is>
          <t>M12-FINAL-001</t>
        </is>
      </c>
      <c r="B30" s="10" t="inlineStr">
        <is>
          <t>PORTFOLIO</t>
        </is>
      </c>
      <c r="C30" s="10" t="inlineStr">
        <is>
          <t>M12</t>
        </is>
      </c>
      <c r="D30" s="10" t="inlineStr">
        <is>
          <t>NOT_CREATED</t>
        </is>
      </c>
      <c r="E30" s="10" t="inlineStr">
        <is>
          <t>artifacts of this portfolio item</t>
        </is>
      </c>
    </row>
    <row r="31">
      <c r="A31" s="10" t="inlineStr">
        <is>
          <t>M13-FINAL-001</t>
        </is>
      </c>
      <c r="B31" s="10" t="inlineStr">
        <is>
          <t>PORTFOLIO</t>
        </is>
      </c>
      <c r="C31" s="10" t="inlineStr">
        <is>
          <t>M13</t>
        </is>
      </c>
      <c r="D31" s="10" t="inlineStr">
        <is>
          <t>NOT_CREATED</t>
        </is>
      </c>
      <c r="E31" s="10" t="inlineStr">
        <is>
          <t>artifacts of this portfolio item</t>
        </is>
      </c>
    </row>
    <row r="32">
      <c r="A32" s="10" t="inlineStr">
        <is>
          <t>M14-FINAL-001</t>
        </is>
      </c>
      <c r="B32" s="10" t="inlineStr">
        <is>
          <t>PORTFOLIO</t>
        </is>
      </c>
      <c r="C32" s="10" t="inlineStr">
        <is>
          <t>M14</t>
        </is>
      </c>
      <c r="D32" s="10" t="inlineStr">
        <is>
          <t>NOT_CREATED</t>
        </is>
      </c>
      <c r="E32" s="10" t="inlineStr">
        <is>
          <t>artifacts of this portfolio item</t>
        </is>
      </c>
    </row>
    <row r="33">
      <c r="A33" s="10" t="inlineStr">
        <is>
          <t>M15-FINAL-001</t>
        </is>
      </c>
      <c r="B33" s="10" t="inlineStr">
        <is>
          <t>PORTFOLIO</t>
        </is>
      </c>
      <c r="C33" s="10" t="inlineStr">
        <is>
          <t>M15</t>
        </is>
      </c>
      <c r="D33" s="10" t="inlineStr">
        <is>
          <t>NOT_CREATED</t>
        </is>
      </c>
      <c r="E33" s="10" t="inlineStr">
        <is>
          <t>artifacts of this portfolio item</t>
        </is>
      </c>
    </row>
    <row r="34">
      <c r="A34" s="10" t="inlineStr">
        <is>
          <t>M16-FINAL-001</t>
        </is>
      </c>
      <c r="B34" s="10" t="inlineStr">
        <is>
          <t>PORTFOLIO</t>
        </is>
      </c>
      <c r="C34" s="10" t="inlineStr">
        <is>
          <t>M16</t>
        </is>
      </c>
      <c r="D34" s="10" t="inlineStr">
        <is>
          <t>NOT_CREATED</t>
        </is>
      </c>
      <c r="E34" s="10" t="inlineStr">
        <is>
          <t>artifacts of this portfolio item</t>
        </is>
      </c>
    </row>
    <row r="35">
      <c r="A35" s="10" t="inlineStr">
        <is>
          <t>EXECUTAR-FINAL-001</t>
        </is>
      </c>
      <c r="B35" s="10" t="inlineStr">
        <is>
          <t>PROGRAM</t>
        </is>
      </c>
      <c r="C35" s="10" t="inlineStr">
        <is>
          <t>EXECUTAR</t>
        </is>
      </c>
      <c r="D35" s="10" t="inlineStr">
        <is>
          <t>NOT_CREATED</t>
        </is>
      </c>
      <c r="E35" s="10" t="inlineStr">
        <is>
          <t>all macroareas + portfolio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3" customWidth="1" min="3" max="3"/>
    <col width="60" customWidth="1" min="4" max="4"/>
    <col width="18" customWidth="1" min="5" max="5"/>
    <col width="27" customWidth="1" min="6" max="6"/>
    <col width="22" customWidth="1" min="7" max="7"/>
  </cols>
  <sheetData>
    <row r="1">
      <c r="A1" s="5" t="inlineStr">
        <is>
          <t>decision_id</t>
        </is>
      </c>
      <c r="B1" s="5" t="inlineStr">
        <is>
          <t>topic</t>
        </is>
      </c>
      <c r="C1" s="5" t="inlineStr">
        <is>
          <t>decision</t>
        </is>
      </c>
      <c r="D1" s="5" t="inlineStr">
        <is>
          <t>rationale</t>
        </is>
      </c>
      <c r="E1" s="5" t="inlineStr">
        <is>
          <t>status</t>
        </is>
      </c>
      <c r="F1" s="5" t="inlineStr">
        <is>
          <t>requires_human_validation</t>
        </is>
      </c>
      <c r="G1" s="5" t="inlineStr">
        <is>
          <t>adr_ref</t>
        </is>
      </c>
    </row>
    <row r="2">
      <c r="A2" s="10" t="inlineStr">
        <is>
          <t>DEC-MACRO-D01</t>
        </is>
      </c>
      <c r="B2" s="10" t="inlineStr">
        <is>
          <t>Atribuição de macroárea para D01 (Gestão Empresarial)</t>
        </is>
      </c>
      <c r="C2" s="10" t="inlineStr">
        <is>
          <t>D01 -&gt; A00</t>
        </is>
      </c>
      <c r="D2" s="10" t="inlineStr">
        <is>
          <t>Mapeamento semântico nome-do-domínio -&gt; macroárea alvo do ADR-EXECUTAR-HUB-001, Fase 2 (Reconciliation). Não há atribuição explícita nas fontes originais; decisão registrada para revisão humana.</t>
        </is>
      </c>
      <c r="E2" s="10" t="inlineStr">
        <is>
          <t>PROPOSED</t>
        </is>
      </c>
      <c r="F2" s="10" t="b">
        <v>1</v>
      </c>
      <c r="G2" s="10" t="inlineStr">
        <is>
          <t>ADR-EXECUTAR-HUB-001</t>
        </is>
      </c>
    </row>
    <row r="3">
      <c r="A3" s="10" t="inlineStr">
        <is>
          <t>DEC-MACRO-D02</t>
        </is>
      </c>
      <c r="B3" s="10" t="inlineStr">
        <is>
          <t>Atribuição de macroárea para D02 (Jurídico, Riscos e Conformidade)</t>
        </is>
      </c>
      <c r="C3" s="10" t="inlineStr">
        <is>
          <t>D02 -&gt; A00</t>
        </is>
      </c>
      <c r="D3" s="10" t="inlineStr">
        <is>
          <t>Mapeamento semântico nome-do-domínio -&gt; macroárea alvo do ADR-EXECUTAR-HUB-001, Fase 2 (Reconciliation). Não há atribuição explícita nas fontes originais; decisão registrada para revisão humana.</t>
        </is>
      </c>
      <c r="E3" s="10" t="inlineStr">
        <is>
          <t>PROPOSED</t>
        </is>
      </c>
      <c r="F3" s="10" t="b">
        <v>1</v>
      </c>
      <c r="G3" s="10" t="inlineStr">
        <is>
          <t>ADR-EXECUTAR-HUB-001</t>
        </is>
      </c>
    </row>
    <row r="4">
      <c r="A4" s="10" t="inlineStr">
        <is>
          <t>DEC-MACRO-D03</t>
        </is>
      </c>
      <c r="B4" s="10" t="inlineStr">
        <is>
          <t>Atribuição de macroárea para D03 (Finanças)</t>
        </is>
      </c>
      <c r="C4" s="10" t="inlineStr">
        <is>
          <t>D03 -&gt; A00</t>
        </is>
      </c>
      <c r="D4" s="10" t="inlineStr">
        <is>
          <t>Mapeamento semântico nome-do-domínio -&gt; macroárea alvo do ADR-EXECUTAR-HUB-001, Fase 2 (Reconciliation). Não há atribuição explícita nas fontes originais; decisão registrada para revisão humana.</t>
        </is>
      </c>
      <c r="E4" s="10" t="inlineStr">
        <is>
          <t>PROPOSED</t>
        </is>
      </c>
      <c r="F4" s="10" t="b">
        <v>1</v>
      </c>
      <c r="G4" s="10" t="inlineStr">
        <is>
          <t>ADR-EXECUTAR-HUB-001</t>
        </is>
      </c>
    </row>
    <row r="5">
      <c r="A5" s="10" t="inlineStr">
        <is>
          <t>DEC-MACRO-D04</t>
        </is>
      </c>
      <c r="B5" s="10" t="inlineStr">
        <is>
          <t>Atribuição de macroárea para D04 (Pessoas e Recursos Humanos)</t>
        </is>
      </c>
      <c r="C5" s="10" t="inlineStr">
        <is>
          <t>D04 -&gt; A07</t>
        </is>
      </c>
      <c r="D5" s="10" t="inlineStr">
        <is>
          <t>Mapeamento semântico nome-do-domínio -&gt; macroárea alvo do ADR-EXECUTAR-HUB-001, Fase 2 (Reconciliation). Não há atribuição explícita nas fontes originais; decisão registrada para revisão humana.</t>
        </is>
      </c>
      <c r="E5" s="10" t="inlineStr">
        <is>
          <t>PROPOSED</t>
        </is>
      </c>
      <c r="F5" s="10" t="b">
        <v>1</v>
      </c>
      <c r="G5" s="10" t="inlineStr">
        <is>
          <t>ADR-EXECUTAR-HUB-001</t>
        </is>
      </c>
    </row>
    <row r="6">
      <c r="A6" s="10" t="inlineStr">
        <is>
          <t>DEC-MACRO-D05</t>
        </is>
      </c>
      <c r="B6" s="10" t="inlineStr">
        <is>
          <t>Atribuição de macroárea para D05 (Dados)</t>
        </is>
      </c>
      <c r="C6" s="10" t="inlineStr">
        <is>
          <t>D05 -&gt; A06</t>
        </is>
      </c>
      <c r="D6" s="10" t="inlineStr">
        <is>
          <t>Mapeamento semântico nome-do-domínio -&gt; macroárea alvo do ADR-EXECUTAR-HUB-001, Fase 2 (Reconciliation). Não há atribuição explícita nas fontes originais; decisão registrada para revisão humana.</t>
        </is>
      </c>
      <c r="E6" s="10" t="inlineStr">
        <is>
          <t>PROPOSED</t>
        </is>
      </c>
      <c r="F6" s="10" t="b">
        <v>1</v>
      </c>
      <c r="G6" s="10" t="inlineStr">
        <is>
          <t>ADR-EXECUTAR-HUB-001</t>
        </is>
      </c>
    </row>
    <row r="7">
      <c r="A7" s="10" t="inlineStr">
        <is>
          <t>DEC-MACRO-D06</t>
        </is>
      </c>
      <c r="B7" s="10" t="inlineStr">
        <is>
          <t>Atribuição de macroárea para D06 (Conhecimento e Busca Corporativa)</t>
        </is>
      </c>
      <c r="C7" s="10" t="inlineStr">
        <is>
          <t>D06 -&gt; A06</t>
        </is>
      </c>
      <c r="D7" s="10" t="inlineStr">
        <is>
          <t>Mapeamento semântico nome-do-domínio -&gt; macroárea alvo do ADR-EXECUTAR-HUB-001, Fase 2 (Reconciliation). Não há atribuição explícita nas fontes originais; decisão registrada para revisão humana.</t>
        </is>
      </c>
      <c r="E7" s="10" t="inlineStr">
        <is>
          <t>PROPOSED</t>
        </is>
      </c>
      <c r="F7" s="10" t="b">
        <v>1</v>
      </c>
      <c r="G7" s="10" t="inlineStr">
        <is>
          <t>ADR-EXECUTAR-HUB-001</t>
        </is>
      </c>
    </row>
    <row r="8">
      <c r="A8" s="10" t="inlineStr">
        <is>
          <t>DEC-MACRO-D07</t>
        </is>
      </c>
      <c r="B8" s="10" t="inlineStr">
        <is>
          <t>Atribuição de macroárea para D07 (Produtividade e Execução)</t>
        </is>
      </c>
      <c r="C8" s="10" t="inlineStr">
        <is>
          <t>D07 -&gt; A09</t>
        </is>
      </c>
      <c r="D8" s="10" t="inlineStr">
        <is>
          <t>Mapeamento semântico nome-do-domínio -&gt; macroárea alvo do ADR-EXECUTAR-HUB-001, Fase 2 (Reconciliation). Não há atribuição explícita nas fontes originais; decisão registrada para revisão humana.</t>
        </is>
      </c>
      <c r="E8" s="10" t="inlineStr">
        <is>
          <t>PROPOSED</t>
        </is>
      </c>
      <c r="F8" s="10" t="b">
        <v>1</v>
      </c>
      <c r="G8" s="10" t="inlineStr">
        <is>
          <t>ADR-EXECUTAR-HUB-001</t>
        </is>
      </c>
    </row>
    <row r="9">
      <c r="A9" s="10" t="inlineStr">
        <is>
          <t>DEC-MACRO-D08</t>
        </is>
      </c>
      <c r="B9" s="10" t="inlineStr">
        <is>
          <t>Atribuição de macroárea para D08 (Operações)</t>
        </is>
      </c>
      <c r="C9" s="10" t="inlineStr">
        <is>
          <t>D08 -&gt; A05</t>
        </is>
      </c>
      <c r="D9" s="10" t="inlineStr">
        <is>
          <t>Mapeamento semântico nome-do-domínio -&gt; macroárea alvo do ADR-EXECUTAR-HUB-001, Fase 2 (Reconciliation). Não há atribuição explícita nas fontes originais; decisão registrada para revisão humana.</t>
        </is>
      </c>
      <c r="E9" s="10" t="inlineStr">
        <is>
          <t>PROPOSED</t>
        </is>
      </c>
      <c r="F9" s="10" t="b">
        <v>1</v>
      </c>
      <c r="G9" s="10" t="inlineStr">
        <is>
          <t>ADR-EXECUTAR-HUB-001</t>
        </is>
      </c>
    </row>
    <row r="10">
      <c r="A10" s="10" t="inlineStr">
        <is>
          <t>DEC-MACRO-D09</t>
        </is>
      </c>
      <c r="B10" s="10" t="inlineStr">
        <is>
          <t>Atribuição de macroárea para D09 (Pesquisa e Inovação)</t>
        </is>
      </c>
      <c r="C10" s="10" t="inlineStr">
        <is>
          <t>D09 -&gt; A06</t>
        </is>
      </c>
      <c r="D10" s="10" t="inlineStr">
        <is>
          <t>Mapeamento semântico nome-do-domínio -&gt; macroárea alvo do ADR-EXECUTAR-HUB-001, Fase 2 (Reconciliation). Não há atribuição explícita nas fontes originais; decisão registrada para revisão humana.</t>
        </is>
      </c>
      <c r="E10" s="10" t="inlineStr">
        <is>
          <t>PROPOSED</t>
        </is>
      </c>
      <c r="F10" s="10" t="b">
        <v>1</v>
      </c>
      <c r="G10" s="10" t="inlineStr">
        <is>
          <t>ADR-EXECUTAR-HUB-001</t>
        </is>
      </c>
    </row>
    <row r="11">
      <c r="A11" s="10" t="inlineStr">
        <is>
          <t>DEC-MACRO-D10</t>
        </is>
      </c>
      <c r="B11" s="10" t="inlineStr">
        <is>
          <t>Atribuição de macroárea para D10 (Gestão de Produto)</t>
        </is>
      </c>
      <c r="C11" s="10" t="inlineStr">
        <is>
          <t>D10 -&gt; A02</t>
        </is>
      </c>
      <c r="D11" s="10" t="inlineStr">
        <is>
          <t>Mapeamento semântico nome-do-domínio -&gt; macroárea alvo do ADR-EXECUTAR-HUB-001, Fase 2 (Reconciliation). Não há atribuição explícita nas fontes originais; decisão registrada para revisão humana.</t>
        </is>
      </c>
      <c r="E11" s="10" t="inlineStr">
        <is>
          <t>PROPOSED</t>
        </is>
      </c>
      <c r="F11" s="10" t="b">
        <v>1</v>
      </c>
      <c r="G11" s="10" t="inlineStr">
        <is>
          <t>ADR-EXECUTAR-HUB-001</t>
        </is>
      </c>
    </row>
    <row r="12">
      <c r="A12" s="10" t="inlineStr">
        <is>
          <t>DEC-MACRO-D11</t>
        </is>
      </c>
      <c r="B12" s="10" t="inlineStr">
        <is>
          <t>Atribuição de macroárea para D11 (Experiência e Projeto)</t>
        </is>
      </c>
      <c r="C12" s="10" t="inlineStr">
        <is>
          <t>D11 -&gt; A02</t>
        </is>
      </c>
      <c r="D12" s="10" t="inlineStr">
        <is>
          <t>Mapeamento semântico nome-do-domínio -&gt; macroárea alvo do ADR-EXECUTAR-HUB-001, Fase 2 (Reconciliation). Não há atribuição explícita nas fontes originais; decisão registrada para revisão humana.</t>
        </is>
      </c>
      <c r="E12" s="10" t="inlineStr">
        <is>
          <t>PROPOSED</t>
        </is>
      </c>
      <c r="F12" s="10" t="b">
        <v>1</v>
      </c>
      <c r="G12" s="10" t="inlineStr">
        <is>
          <t>ADR-EXECUTAR-HUB-001</t>
        </is>
      </c>
    </row>
    <row r="13">
      <c r="A13" s="10" t="inlineStr">
        <is>
          <t>DEC-MACRO-D12</t>
        </is>
      </c>
      <c r="B13" s="10" t="inlineStr">
        <is>
          <t>Atribuição de macroárea para D12 (Engenharia)</t>
        </is>
      </c>
      <c r="C13" s="10" t="inlineStr">
        <is>
          <t>D12 -&gt; A04</t>
        </is>
      </c>
      <c r="D13" s="10" t="inlineStr">
        <is>
          <t>Mapeamento semântico nome-do-domínio -&gt; macroárea alvo do ADR-EXECUTAR-HUB-001, Fase 2 (Reconciliation). Não há atribuição explícita nas fontes originais; decisão registrada para revisão humana.</t>
        </is>
      </c>
      <c r="E13" s="10" t="inlineStr">
        <is>
          <t>PROPOSED</t>
        </is>
      </c>
      <c r="F13" s="10" t="b">
        <v>1</v>
      </c>
      <c r="G13" s="10" t="inlineStr">
        <is>
          <t>ADR-EXECUTAR-HUB-001</t>
        </is>
      </c>
    </row>
    <row r="14">
      <c r="A14" s="10" t="inlineStr">
        <is>
          <t>DEC-MACRO-D13</t>
        </is>
      </c>
      <c r="B14" s="10" t="inlineStr">
        <is>
          <t>Atribuição de macroárea para D13 (Mercado e Geração de Demanda)</t>
        </is>
      </c>
      <c r="C14" s="10" t="inlineStr">
        <is>
          <t>D13 -&gt; A01</t>
        </is>
      </c>
      <c r="D14" s="10" t="inlineStr">
        <is>
          <t>Mapeamento semântico nome-do-domínio -&gt; macroárea alvo do ADR-EXECUTAR-HUB-001, Fase 2 (Reconciliation). Não há atribuição explícita nas fontes originais; decisão registrada para revisão humana.</t>
        </is>
      </c>
      <c r="E14" s="10" t="inlineStr">
        <is>
          <t>PROPOSED</t>
        </is>
      </c>
      <c r="F14" s="10" t="b">
        <v>1</v>
      </c>
      <c r="G14" s="10" t="inlineStr">
        <is>
          <t>ADR-EXECUTAR-HUB-001</t>
        </is>
      </c>
    </row>
    <row r="15">
      <c r="A15" s="10" t="inlineStr">
        <is>
          <t>DEC-MACRO-D14</t>
        </is>
      </c>
      <c r="B15" s="10" t="inlineStr">
        <is>
          <t>Atribuição de macroárea para D14 (Vendas)</t>
        </is>
      </c>
      <c r="C15" s="10" t="inlineStr">
        <is>
          <t>D14 -&gt; A01</t>
        </is>
      </c>
      <c r="D15" s="10" t="inlineStr">
        <is>
          <t>Mapeamento semântico nome-do-domínio -&gt; macroárea alvo do ADR-EXECUTAR-HUB-001, Fase 2 (Reconciliation). Não há atribuição explícita nas fontes originais; decisão registrada para revisão humana.</t>
        </is>
      </c>
      <c r="E15" s="10" t="inlineStr">
        <is>
          <t>PROPOSED</t>
        </is>
      </c>
      <c r="F15" s="10" t="b">
        <v>1</v>
      </c>
      <c r="G15" s="10" t="inlineStr">
        <is>
          <t>ADR-EXECUTAR-HUB-001</t>
        </is>
      </c>
    </row>
    <row r="16">
      <c r="A16" s="10" t="inlineStr">
        <is>
          <t>DEC-MACRO-D15</t>
        </is>
      </c>
      <c r="B16" s="10" t="inlineStr">
        <is>
          <t>Atribuição de macroárea para D15 (Atendimento e Sucesso do Cliente)</t>
        </is>
      </c>
      <c r="C16" s="10" t="inlineStr">
        <is>
          <t>D15 -&gt; A01</t>
        </is>
      </c>
      <c r="D16" s="10" t="inlineStr">
        <is>
          <t>Mapeamento semântico nome-do-domínio -&gt; macroárea alvo do ADR-EXECUTAR-HUB-001, Fase 2 (Reconciliation). Não há atribuição explícita nas fontes originais; decisão registrada para revisão humana.</t>
        </is>
      </c>
      <c r="E16" s="10" t="inlineStr">
        <is>
          <t>PROPOSED</t>
        </is>
      </c>
      <c r="F16" s="10" t="b">
        <v>1</v>
      </c>
      <c r="G16" s="10" t="inlineStr">
        <is>
          <t>ADR-EXECUTAR-HUB-001</t>
        </is>
      </c>
    </row>
    <row r="17">
      <c r="A17" s="10" t="inlineStr">
        <is>
          <t>DEC-MACRO-D16</t>
        </is>
      </c>
      <c r="B17" s="10" t="inlineStr">
        <is>
          <t>Atribuição de macroárea para D16 (Mídias Sociais e Distribuição Digital (alias: Mídias Sociais e Estratégias))</t>
        </is>
      </c>
      <c r="C17" s="10" t="inlineStr">
        <is>
          <t>D16 -&gt; A08</t>
        </is>
      </c>
      <c r="D17" s="10" t="inlineStr">
        <is>
          <t>Mapeamento semântico nome-do-domínio -&gt; macroárea alvo do ADR-EXECUTAR-HUB-001, Fase 2 (Reconciliation). Não há atribuição explícita nas fontes originais; decisão registrada para revisão humana.</t>
        </is>
      </c>
      <c r="E17" s="10" t="inlineStr">
        <is>
          <t>PROPOSED</t>
        </is>
      </c>
      <c r="F17" s="10" t="b">
        <v>1</v>
      </c>
      <c r="G17" s="10" t="inlineStr">
        <is>
          <t>ADR-EXECUTAR-HUB-001</t>
        </is>
      </c>
    </row>
    <row r="18">
      <c r="A18" s="10" t="inlineStr">
        <is>
          <t>DEC-MACRO-D17</t>
        </is>
      </c>
      <c r="B18" s="10" t="inlineStr">
        <is>
          <t>Atribuição de macroárea para D17 (Emprego e Portfólio)</t>
        </is>
      </c>
      <c r="C18" s="10" t="inlineStr">
        <is>
          <t>D17 -&gt; A12</t>
        </is>
      </c>
      <c r="D18" s="10" t="inlineStr">
        <is>
          <t>Mapeamento semântico nome-do-domínio -&gt; macroárea alvo do ADR-EXECUTAR-HUB-001, Fase 2 (Reconciliation). Não há atribuição explícita nas fontes originais; decisão registrada para revisão humana.</t>
        </is>
      </c>
      <c r="E18" s="10" t="inlineStr">
        <is>
          <t>PROPOSED</t>
        </is>
      </c>
      <c r="F18" s="10" t="b">
        <v>1</v>
      </c>
      <c r="G18" s="10" t="inlineStr">
        <is>
          <t>ADR-EXECUTAR-HUB-001</t>
        </is>
      </c>
    </row>
    <row r="19">
      <c r="A19" s="10" t="inlineStr">
        <is>
          <t>DEC-MACRO-D18</t>
        </is>
      </c>
      <c r="B19" s="10" t="inlineStr">
        <is>
          <t>Atribuição de macroárea para D18 (Contratos e Esquemas (alias: Contratos e Schemas))</t>
        </is>
      </c>
      <c r="C19" s="10" t="inlineStr">
        <is>
          <t>D18 -&gt; A00</t>
        </is>
      </c>
      <c r="D19" s="10" t="inlineStr">
        <is>
          <t>Mapeamento semântico nome-do-domínio -&gt; macroárea alvo do ADR-EXECUTAR-HUB-001, Fase 2 (Reconciliation). Não há atribuição explícita nas fontes originais; decisão registrada para revisão humana.</t>
        </is>
      </c>
      <c r="E19" s="10" t="inlineStr">
        <is>
          <t>PROPOSED</t>
        </is>
      </c>
      <c r="F19" s="10" t="b">
        <v>1</v>
      </c>
      <c r="G19" s="10" t="inlineStr">
        <is>
          <t>ADR-EXECUTAR-HUB-001</t>
        </is>
      </c>
    </row>
    <row r="20">
      <c r="A20" s="10" t="inlineStr">
        <is>
          <t>DEC-MACRO-D19</t>
        </is>
      </c>
      <c r="B20" s="10" t="inlineStr">
        <is>
          <t>Atribuição de macroárea para D19 (Assets e CTAs)</t>
        </is>
      </c>
      <c r="C20" s="10" t="inlineStr">
        <is>
          <t>D19 -&gt; A11</t>
        </is>
      </c>
      <c r="D20" s="10" t="inlineStr">
        <is>
          <t>Mapeamento semântico nome-do-domínio -&gt; macroárea alvo do ADR-EXECUTAR-HUB-001, Fase 2 (Reconciliation). Não há atribuição explícita nas fontes originais; decisão registrada para revisão humana.</t>
        </is>
      </c>
      <c r="E20" s="10" t="inlineStr">
        <is>
          <t>PROPOSED</t>
        </is>
      </c>
      <c r="F20" s="10" t="b">
        <v>1</v>
      </c>
      <c r="G20" s="10" t="inlineStr">
        <is>
          <t>ADR-EXECUTAR-HUB-001</t>
        </is>
      </c>
    </row>
    <row r="21">
      <c r="A21" s="10" t="inlineStr">
        <is>
          <t>DEC-MACRO-D20</t>
        </is>
      </c>
      <c r="B21" s="10" t="inlineStr">
        <is>
          <t>Atribuição de macroárea para D20 (Plataformas e Repositórios)</t>
        </is>
      </c>
      <c r="C21" s="10" t="inlineStr">
        <is>
          <t>D20 -&gt; A11</t>
        </is>
      </c>
      <c r="D21" s="10" t="inlineStr">
        <is>
          <t>Mapeamento semântico nome-do-domínio -&gt; macroárea alvo do ADR-EXECUTAR-HUB-001, Fase 2 (Reconciliation). Não há atribuição explícita nas fontes originais; decisão registrada para revisão humana.</t>
        </is>
      </c>
      <c r="E21" s="10" t="inlineStr">
        <is>
          <t>PROPOSED</t>
        </is>
      </c>
      <c r="F21" s="10" t="b">
        <v>1</v>
      </c>
      <c r="G21" s="10" t="inlineStr">
        <is>
          <t>ADR-EXECUTAR-HUB-001</t>
        </is>
      </c>
    </row>
    <row r="22">
      <c r="A22" s="10" t="inlineStr">
        <is>
          <t>DEC-MACRO-D21</t>
        </is>
      </c>
      <c r="B22" s="10" t="inlineStr">
        <is>
          <t>Atribuição de macroárea para D21 (Workbook)</t>
        </is>
      </c>
      <c r="C22" s="10" t="inlineStr">
        <is>
          <t>D21 -&gt; A10</t>
        </is>
      </c>
      <c r="D22" s="10" t="inlineStr">
        <is>
          <t>Mapeamento semântico nome-do-domínio -&gt; macroárea alvo do ADR-EXECUTAR-HUB-001, Fase 2 (Reconciliation). Não há atribuição explícita nas fontes originais; decisão registrada para revisão humana.</t>
        </is>
      </c>
      <c r="E22" s="10" t="inlineStr">
        <is>
          <t>PROPOSED</t>
        </is>
      </c>
      <c r="F22" s="10" t="b">
        <v>1</v>
      </c>
      <c r="G22" s="10" t="inlineStr">
        <is>
          <t>ADR-EXECUTAR-HUB-001</t>
        </is>
      </c>
    </row>
    <row r="23">
      <c r="A23" s="10" t="inlineStr">
        <is>
          <t>DEC-MACRO-D22</t>
        </is>
      </c>
      <c r="B23" s="10" t="inlineStr">
        <is>
          <t>Atribuição de macroárea para D22 (Decision and Register Log)</t>
        </is>
      </c>
      <c r="C23" s="10" t="inlineStr">
        <is>
          <t>D22 -&gt; A10</t>
        </is>
      </c>
      <c r="D23" s="10" t="inlineStr">
        <is>
          <t>Mapeamento semântico nome-do-domínio -&gt; macroárea alvo do ADR-EXECUTAR-HUB-001, Fase 2 (Reconciliation). Não há atribuição explícita nas fontes originais; decisão registrada para revisão humana.</t>
        </is>
      </c>
      <c r="E23" s="10" t="inlineStr">
        <is>
          <t>PROPOSED</t>
        </is>
      </c>
      <c r="F23" s="10" t="b">
        <v>1</v>
      </c>
      <c r="G23" s="10" t="inlineStr">
        <is>
          <t>ADR-EXECUTAR-HUB-001</t>
        </is>
      </c>
    </row>
    <row r="24">
      <c r="A24" s="10" t="inlineStr">
        <is>
          <t>DEC-MACRO-D23</t>
        </is>
      </c>
      <c r="B24" s="10" t="inlineStr">
        <is>
          <t>Atribuição de macroárea para D23 (Blueprints)</t>
        </is>
      </c>
      <c r="C24" s="10" t="inlineStr">
        <is>
          <t>D23 -&gt; A10</t>
        </is>
      </c>
      <c r="D24" s="10" t="inlineStr">
        <is>
          <t>Mapeamento semântico nome-do-domínio -&gt; macroárea alvo do ADR-EXECUTAR-HUB-001, Fase 2 (Reconciliation). Não há atribuição explícita nas fontes originais; decisão registrada para revisão humana.</t>
        </is>
      </c>
      <c r="E24" s="10" t="inlineStr">
        <is>
          <t>PROPOSED</t>
        </is>
      </c>
      <c r="F24" s="10" t="b">
        <v>1</v>
      </c>
      <c r="G24" s="10" t="inlineStr">
        <is>
          <t>ADR-EXECUTAR-HUB-001</t>
        </is>
      </c>
    </row>
    <row r="25">
      <c r="A25" s="10" t="inlineStr">
        <is>
          <t>DEC-UX-01</t>
        </is>
      </c>
      <c r="B25" s="10" t="inlineStr">
        <is>
          <t>Split de 01_Formulario em 13 abas (uma por macroárea)</t>
        </is>
      </c>
      <c r="C25" s="10" t="inlineStr">
        <is>
          <t>01_Formulario_A00 ... 01_Formulario_A12</t>
        </is>
      </c>
      <c r="D25" s="10" t="inlineStr">
        <is>
          <t>Escala real (1125 campos vs 94 no original) tornaria uma única aba ilegível; mantém o mesmo padrão linear ID/Campo/Instrução/Resposta/Exemplo, só particionado por macroárea.</t>
        </is>
      </c>
      <c r="E25" s="10" t="inlineStr">
        <is>
          <t>APPROVED_BY_USER</t>
        </is>
      </c>
      <c r="F25" s="10" t="b">
        <v>0</v>
      </c>
      <c r="G25" s="10" t="inlineStr">
        <is>
          <t>ADR-EXECUTAR-HUB-001</t>
        </is>
      </c>
    </row>
    <row r="26">
      <c r="A26" s="10" t="inlineStr">
        <is>
          <t>DEC-UX-02</t>
        </is>
      </c>
      <c r="B26" s="10" t="inlineStr">
        <is>
          <t>09_Indice_IDs formula-driven (desvio do original estático)</t>
        </is>
      </c>
      <c r="C26" s="10" t="inlineStr">
        <is>
          <t>INDEX/MATCH sobre REG_Artefatos e REG_Legacy_ID_Map</t>
        </is>
      </c>
      <c r="D26" s="10" t="inlineStr">
        <is>
          <t>O original era digitado à mão (sem fórmula); o MASTER COMMAND exige 'sem referências quebradas', o que uma tabela estática não garante sozinha.</t>
        </is>
      </c>
      <c r="E26" s="10" t="inlineStr">
        <is>
          <t>APPROVED_BY_USER</t>
        </is>
      </c>
      <c r="F26" s="10" t="b">
        <v>0</v>
      </c>
      <c r="G26" s="10" t="inlineStr">
        <is>
          <t>ADR-EXECUTAR-HUB-001</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 width="12" customWidth="1" min="4" max="4"/>
    <col width="12" customWidth="1" min="5" max="5"/>
    <col width="60" customWidth="1" min="6" max="6"/>
    <col width="60" customWidth="1" min="7" max="7"/>
  </cols>
  <sheetData>
    <row r="1">
      <c r="A1" s="5" t="inlineStr">
        <is>
          <t>gap_id</t>
        </is>
      </c>
      <c r="B1" s="5" t="inlineStr">
        <is>
          <t>type</t>
        </is>
      </c>
      <c r="C1" s="5" t="inlineStr">
        <is>
          <t>description</t>
        </is>
      </c>
      <c r="D1" s="5" t="inlineStr">
        <is>
          <t>priority</t>
        </is>
      </c>
      <c r="E1" s="5" t="inlineStr">
        <is>
          <t>status</t>
        </is>
      </c>
      <c r="F1" s="5" t="inlineStr">
        <is>
          <t>source</t>
        </is>
      </c>
      <c r="G1" s="5" t="inlineStr">
        <is>
          <t>fields_afetados</t>
        </is>
      </c>
    </row>
    <row r="2">
      <c r="A2" s="10" t="inlineStr">
        <is>
          <t>NA-01</t>
        </is>
      </c>
      <c r="B2" s="10" t="inlineStr">
        <is>
          <t>NEXT_ACTION</t>
        </is>
      </c>
      <c r="C2" s="10" t="inlineStr">
        <is>
          <t>Validar com o owner de cada area os campos marcados PROPOSED (interpretacao logica de negocio) e substituir por dado real.</t>
        </is>
      </c>
      <c r="D2" s="10" t="inlineStr">
        <is>
          <t>alta</t>
        </is>
      </c>
      <c r="E2" s="10" t="inlineStr">
        <is>
          <t>OPEN</t>
        </is>
      </c>
      <c r="F2" s="10" t="inlineStr">
        <is>
          <t>EXECUTAR_CHECKLIST_D01-D23_GRANULAR.yaml#next_actions_register</t>
        </is>
      </c>
      <c r="G2" s="10" t="n"/>
    </row>
    <row r="3">
      <c r="A3" s="10" t="inlineStr">
        <is>
          <t>NA-02</t>
        </is>
      </c>
      <c r="B3" s="10" t="inlineStr">
        <is>
          <t>NEXT_ACTION</t>
        </is>
      </c>
      <c r="C3" s="10" t="inlineStr">
        <is>
          <t>Confirmar ou descartar os benchmarks EXTERNAL_EVIDENCE (LGPD, SaaS metrics, RACI, SLA, RTO/RPO, WCAG, data governance, portfolio) com dados proprios do ecossistema.</t>
        </is>
      </c>
      <c r="D3" s="10" t="inlineStr">
        <is>
          <t>alta</t>
        </is>
      </c>
      <c r="E3" s="10" t="inlineStr">
        <is>
          <t>OPEN</t>
        </is>
      </c>
      <c r="F3" s="10" t="inlineStr">
        <is>
          <t>EXECUTAR_CHECKLIST_D01-D23_GRANULAR.yaml#next_actions_register</t>
        </is>
      </c>
      <c r="G3" s="10" t="n"/>
    </row>
    <row r="4">
      <c r="A4" s="10" t="inlineStr">
        <is>
          <t>NA-03</t>
        </is>
      </c>
      <c r="B4" s="10" t="inlineStr">
        <is>
          <t>NEXT_ACTION</t>
        </is>
      </c>
      <c r="C4" s="10" t="inlineStr">
        <is>
          <t>Executar PF-24 (reconciliacao cruzada) preenchendo depends_on/blocks entre areas.</t>
        </is>
      </c>
      <c r="D4" s="10" t="inlineStr">
        <is>
          <t>alta</t>
        </is>
      </c>
      <c r="E4" s="10" t="inlineStr">
        <is>
          <t>OPEN</t>
        </is>
      </c>
      <c r="F4" s="10" t="inlineStr">
        <is>
          <t>EXECUTAR_CHECKLIST_D01-D23_GRANULAR.yaml#next_actions_register</t>
        </is>
      </c>
      <c r="G4" s="10" t="n"/>
    </row>
    <row r="5">
      <c r="A5" s="10" t="inlineStr">
        <is>
          <t>NA-04</t>
        </is>
      </c>
      <c r="B5" s="10" t="inlineStr">
        <is>
          <t>NEXT_ACTION</t>
        </is>
      </c>
      <c r="C5" s="10" t="inlineStr">
        <is>
          <t>Resolver CONFLICT_REGISTER (11 itens), comecando por contagem de documentos (37 vs 46) e identidade de 'Vera' (produto/agente vs pessoa fisica).</t>
        </is>
      </c>
      <c r="D5" s="10" t="inlineStr">
        <is>
          <t>alta</t>
        </is>
      </c>
      <c r="E5" s="10" t="inlineStr">
        <is>
          <t>OPEN</t>
        </is>
      </c>
      <c r="F5" s="10" t="inlineStr">
        <is>
          <t>EXECUTAR_CHECKLIST_D01-D23_GRANULAR.yaml#next_actions_register</t>
        </is>
      </c>
      <c r="G5" s="10" t="n"/>
    </row>
    <row r="6">
      <c r="A6" s="10" t="inlineStr">
        <is>
          <t>NA-05</t>
        </is>
      </c>
      <c r="B6" s="10" t="inlineStr">
        <is>
          <t>NEXT_ACTION</t>
        </is>
      </c>
      <c r="C6" s="10" t="inlineStr">
        <is>
          <t>Ler campo a campo os pacotes de skill/SDK do Workflow.zip e os blocos B03/B05/B06 do GOV-SPEC ainda nao lidos linha a linha, para promover mais campos PROPOSED/EXTERNAL para FOUND/DIRECT.</t>
        </is>
      </c>
      <c r="D6" s="10" t="inlineStr">
        <is>
          <t>media</t>
        </is>
      </c>
      <c r="E6" s="10" t="inlineStr">
        <is>
          <t>OPEN</t>
        </is>
      </c>
      <c r="F6" s="10" t="inlineStr">
        <is>
          <t>EXECUTAR_CHECKLIST_D01-D23_GRANULAR.yaml#next_actions_register</t>
        </is>
      </c>
      <c r="G6" s="10" t="n"/>
    </row>
    <row r="7">
      <c r="A7" s="10" t="inlineStr">
        <is>
          <t>UAR-01</t>
        </is>
      </c>
      <c r="B7" s="10" t="inlineStr">
        <is>
          <t>USER_ACTION_REQUIRED</t>
        </is>
      </c>
      <c r="C7" s="10" t="inlineStr">
        <is>
          <t>Qual numero de documentos prevalece: 37 (Handoff.md) ou 46 (GOVERNANCA)?</t>
        </is>
      </c>
      <c r="D7" s="10" t="inlineStr">
        <is>
          <t>alta</t>
        </is>
      </c>
      <c r="E7" s="10" t="inlineStr">
        <is>
          <t>OPEN</t>
        </is>
      </c>
      <c r="F7" s="10" t="inlineStr">
        <is>
          <t>EXECUTAR_CHECKLIST_D01-D23_GRANULAR.yaml#user_action_required</t>
        </is>
      </c>
      <c r="G7" s="10" t="inlineStr">
        <is>
          <t>["D06-DOC-EGC-001"]</t>
        </is>
      </c>
    </row>
    <row r="8">
      <c r="A8" s="10" t="inlineStr">
        <is>
          <t>UAR-02</t>
        </is>
      </c>
      <c r="B8" s="10" t="inlineStr">
        <is>
          <t>USER_ACTION_REQUIRED</t>
        </is>
      </c>
      <c r="C8" s="10" t="inlineStr">
        <is>
          <t>O plano GTM de lancamento em 07/09/2026 ja foi executado? Com qual resultado? Se nao, qual a nova data?</t>
        </is>
      </c>
      <c r="D8" s="10" t="inlineStr">
        <is>
          <t>alta</t>
        </is>
      </c>
      <c r="E8" s="10" t="inlineStr">
        <is>
          <t>OPEN</t>
        </is>
      </c>
      <c r="F8" s="10" t="inlineStr">
        <is>
          <t>EXECUTAR_CHECKLIST_D01-D23_GRANULAR.yaml#user_action_required</t>
        </is>
      </c>
      <c r="G8" s="10" t="inlineStr">
        <is>
          <t>["D07-DOC-PIM-001.milestones.marco", "D13-DOC-GTM-001.launch.launch"]</t>
        </is>
      </c>
    </row>
    <row r="9">
      <c r="A9" s="10" t="inlineStr">
        <is>
          <t>UAR-03</t>
        </is>
      </c>
      <c r="B9" s="10" t="inlineStr">
        <is>
          <t>USER_ACTION_REQUIRED</t>
        </is>
      </c>
      <c r="C9" s="10" t="inlineStr">
        <is>
          <t>Vera e uma pessoa real da equipe (com pendencia de INSS registrada) ou apenas o nome do agente/produto? Se pessoa real, qual seu papel formal?</t>
        </is>
      </c>
      <c r="D9" s="10" t="inlineStr">
        <is>
          <t>alta</t>
        </is>
      </c>
      <c r="E9" s="10" t="inlineStr">
        <is>
          <t>OPEN</t>
        </is>
      </c>
      <c r="F9" s="10" t="inlineStr">
        <is>
          <t>EXECUTAR_CHECKLIST_D01-D23_GRANULAR.yaml#user_action_required</t>
        </is>
      </c>
      <c r="G9" s="10" t="inlineStr">
        <is>
          <t>["D04-DOC-PPC-001.people.pessoa"]</t>
        </is>
      </c>
    </row>
    <row r="10">
      <c r="A10" s="10" t="inlineStr">
        <is>
          <t>UAR-04</t>
        </is>
      </c>
      <c r="B10" s="10" t="inlineStr">
        <is>
          <t>USER_ACTION_REQUIRED</t>
        </is>
      </c>
      <c r="C10" s="10" t="inlineStr">
        <is>
          <t>Todos os 1.013 campos PROPOSED neste YAML sao recomendacoes genericas de pratica de mercado, nao fatos deste ecossistema. Autoriza tratar cada um deles como base para trabalho subsequente, ou prefere que eu priorize revisao humana antes de qualquer uso operacional desses campos?</t>
        </is>
      </c>
      <c r="D10" s="10" t="inlineStr">
        <is>
          <t>alta</t>
        </is>
      </c>
      <c r="E10" s="10" t="inlineStr">
        <is>
          <t>OPEN</t>
        </is>
      </c>
      <c r="F10" s="10" t="inlineStr">
        <is>
          <t>EXECUTAR_CHECKLIST_D01-D23_GRANULAR.yaml#user_action_required</t>
        </is>
      </c>
      <c r="G10" s="10" t="inlineStr">
        <is>
          <t>["Todos os campos com epistemic_class=PROPOSED em todos os 37 documentos"]</t>
        </is>
      </c>
    </row>
    <row r="11">
      <c r="A11" s="10" t="inlineStr">
        <is>
          <t>GAP-DEP-01</t>
        </is>
      </c>
      <c r="B11" s="10" t="inlineStr">
        <is>
          <t>STRUCTURAL</t>
        </is>
      </c>
      <c r="C11" s="10" t="inlineStr">
        <is>
          <t>Campos depends_on/blocks entre areas continuam nao preenchidos (PF-24 nao executado em profundidade); proximo passo registrado em NEXT_ACTIONS_REGISTER.</t>
        </is>
      </c>
      <c r="D11" s="10" t="inlineStr">
        <is>
          <t>alta</t>
        </is>
      </c>
      <c r="E11" s="10" t="inlineStr">
        <is>
          <t>OPEN</t>
        </is>
      </c>
      <c r="F11" s="10" t="inlineStr">
        <is>
          <t>validation_report</t>
        </is>
      </c>
      <c r="G11" s="10" t="n"/>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13" customWidth="1" min="3" max="3"/>
    <col width="12" customWidth="1" min="4" max="4"/>
    <col width="60" customWidth="1" min="5" max="5"/>
    <col width="60" customWidth="1" min="6" max="6"/>
    <col width="25" customWidth="1" min="7" max="7"/>
    <col width="12" customWidth="1" min="8" max="8"/>
  </cols>
  <sheetData>
    <row r="1">
      <c r="A1" s="5" t="inlineStr">
        <is>
          <t>conflict_id</t>
        </is>
      </c>
      <c r="B1" s="5" t="inlineStr">
        <is>
          <t>domain_id</t>
        </is>
      </c>
      <c r="C1" s="5" t="inlineStr">
        <is>
          <t>document_id</t>
        </is>
      </c>
      <c r="D1" s="5" t="inlineStr">
        <is>
          <t>field_id</t>
        </is>
      </c>
      <c r="E1" s="5" t="inlineStr">
        <is>
          <t>issue</t>
        </is>
      </c>
      <c r="F1" s="5" t="inlineStr">
        <is>
          <t>resolution_rule</t>
        </is>
      </c>
      <c r="G1" s="5" t="inlineStr">
        <is>
          <t>requires_human_decision</t>
        </is>
      </c>
      <c r="H1" s="5" t="inlineStr">
        <is>
          <t>status</t>
        </is>
      </c>
    </row>
    <row r="2">
      <c r="A2" s="10" t="inlineStr">
        <is>
          <t>D22-DEC-CFL-01</t>
        </is>
      </c>
      <c r="B2" s="10" t="inlineStr">
        <is>
          <t>D06/D22</t>
        </is>
      </c>
      <c r="C2" s="10" t="inlineStr"/>
      <c r="D2" s="10" t="inlineStr"/>
      <c r="E2" s="10" t="inlineStr">
        <is>
          <t>Contagem de documentos: 37 (Handoff) vs 46 (GOVERNANCA) — Handoff.md (EXECUTAR-DOC-PREFILL-001) define escopo de 37 documentos (23 macro + 14 especializados); GOVERNANCA (Drive) declara '46 documentos registrados no índice documental' sem enumerá-los.</t>
        </is>
      </c>
      <c r="F2" s="10" t="inlineStr">
        <is>
          <t>Precedencia conforme regra do EXECUTAR-DOC-PREFILL-001: fonte mais recente e de maior autoridade vence; sem isso, permanece CONFLICT.</t>
        </is>
      </c>
      <c r="G2" s="10" t="b">
        <v>1</v>
      </c>
      <c r="H2" s="10" t="inlineStr">
        <is>
          <t>ABERTO</t>
        </is>
      </c>
    </row>
    <row r="3">
      <c r="A3" s="10" t="inlineStr">
        <is>
          <t>D22-DEC-CFL-02</t>
        </is>
      </c>
      <c r="B3" s="10" t="inlineStr">
        <is>
          <t>D07/D13/D14</t>
        </is>
      </c>
      <c r="C3" s="10" t="inlineStr"/>
      <c r="D3" s="10" t="inlineStr"/>
      <c r="E3" s="10" t="inlineStr">
        <is>
          <t>Janela de lançamento GTM 07/09/2026 expirada sem verificação — Plano GTM escrito em 25/08/2026 para lançamento em 07/09/2026; na data desta extração (22/09/2026) o cronograma está vencido e seu estado real não foi verificado.</t>
        </is>
      </c>
      <c r="F3" s="10" t="inlineStr">
        <is>
          <t>Precedencia conforme regra do EXECUTAR-DOC-PREFILL-001: fonte mais recente e de maior autoridade vence; sem isso, permanece CONFLICT.</t>
        </is>
      </c>
      <c r="G3" s="10" t="b">
        <v>1</v>
      </c>
      <c r="H3" s="10" t="inlineStr">
        <is>
          <t>ABERTO</t>
        </is>
      </c>
    </row>
    <row r="4">
      <c r="A4" s="10" t="inlineStr">
        <is>
          <t>D22-DEC-CFL-03</t>
        </is>
      </c>
      <c r="B4" s="10" t="inlineStr">
        <is>
          <t>D14</t>
        </is>
      </c>
      <c r="C4" s="10" t="inlineStr"/>
      <c r="D4" s="10" t="inlineStr"/>
      <c r="E4" s="10" t="inlineStr">
        <is>
          <t>Ancoragem de preço: piloto R$700 vs benchmark de mercado R$2.500-4.000 — Modelo anterior registrava R$700 por projeto de uma semana; benchmark de mercado mostra R$2.500/15 dias e R$4.000/30 dias para mapeamento puro; consultoria a R$300/hora.</t>
        </is>
      </c>
      <c r="F4" s="10" t="inlineStr">
        <is>
          <t>Precedencia conforme regra do EXECUTAR-DOC-PREFILL-001: fonte mais recente e de maior autoridade vence; sem isso, permanece CONFLICT.</t>
        </is>
      </c>
      <c r="G4" s="10" t="b">
        <v>1</v>
      </c>
      <c r="H4" s="10" t="inlineStr">
        <is>
          <t>ABERTO</t>
        </is>
      </c>
    </row>
    <row r="5">
      <c r="A5" s="10" t="inlineStr">
        <is>
          <t>D22-DEC-CFL-04</t>
        </is>
      </c>
      <c r="B5" s="10" t="inlineStr">
        <is>
          <t>D16</t>
        </is>
      </c>
      <c r="C5" s="10" t="inlineStr"/>
      <c r="D5" s="10" t="inlineStr"/>
      <c r="E5" s="10" t="inlineStr">
        <is>
          <t>Nomenclatura de área D16 divergente — GOVERNANCA usa 'Mídias Sociais e Distribuição Digital'; estrutura de pastas do Drive usa 'Mídias Sociais e Estratégias'. Handoff.md já registra ambas como aliases.</t>
        </is>
      </c>
      <c r="F5" s="10" t="inlineStr">
        <is>
          <t>Precedencia conforme regra do EXECUTAR-DOC-PREFILL-001: fonte mais recente e de maior autoridade vence; sem isso, permanece CONFLICT.</t>
        </is>
      </c>
      <c r="G5" s="10" t="b">
        <v>1</v>
      </c>
      <c r="H5" s="10" t="inlineStr">
        <is>
          <t>ABERTO</t>
        </is>
      </c>
    </row>
    <row r="6">
      <c r="A6" s="10" t="inlineStr">
        <is>
          <t>D22-DEC-CFL-05</t>
        </is>
      </c>
      <c r="B6" s="10" t="inlineStr">
        <is>
          <t>D18</t>
        </is>
      </c>
      <c r="C6" s="10" t="inlineStr"/>
      <c r="D6" s="10" t="inlineStr"/>
      <c r="E6" s="10" t="inlineStr">
        <is>
          <t>Nomenclatura de área D18 divergente — 'Contratos e Esquemas' (GOVERNANCA/Handoff) vs 'Contratos e Schemas' (estrutura de pastas do Drive). Handoff.md já registra ambas como aliases.</t>
        </is>
      </c>
      <c r="F6" s="10" t="inlineStr">
        <is>
          <t>Precedencia conforme regra do EXECUTAR-DOC-PREFILL-001: fonte mais recente e de maior autoridade vence; sem isso, permanece CONFLICT.</t>
        </is>
      </c>
      <c r="G6" s="10" t="b">
        <v>1</v>
      </c>
      <c r="H6" s="10" t="inlineStr">
        <is>
          <t>ABERTO</t>
        </is>
      </c>
    </row>
    <row r="7">
      <c r="A7" s="10" t="inlineStr">
        <is>
          <t>D22-DEC-GOVSPEC-A01</t>
        </is>
      </c>
      <c r="B7" s="10" t="inlineStr">
        <is>
          <t>D06/D07</t>
        </is>
      </c>
      <c r="C7" s="10" t="inlineStr"/>
      <c r="D7" s="10" t="inlineStr"/>
      <c r="E7" s="10" t="inlineStr">
        <is>
          <t>Matriz de 16 áreas e GOV-DOM-006 usam numeração diferente para vários domínios ( — Matriz de 16 áreas e GOV-DOM-006 usam numeração diferente para vários domínios (ex.: D02 é Jurídico numa e Dados na outra).</t>
        </is>
      </c>
      <c r="F7" s="10" t="inlineStr">
        <is>
          <t>Precedencia conforme regra do EXECUTAR-DOC-PREFILL-001: fonte mais recente e de maior autoridade vence; sem isso, permanece CONFLICT.</t>
        </is>
      </c>
      <c r="G7" s="10" t="b">
        <v>1</v>
      </c>
      <c r="H7" s="10" t="inlineStr">
        <is>
          <t>ABERTO</t>
        </is>
      </c>
    </row>
    <row r="8">
      <c r="A8" s="10" t="inlineStr">
        <is>
          <t>D22-DEC-GOVSPEC-A02</t>
        </is>
      </c>
      <c r="B8" s="10" t="inlineStr">
        <is>
          <t>D06/D07</t>
        </is>
      </c>
      <c r="C8" s="10" t="inlineStr"/>
      <c r="D8" s="10" t="inlineStr"/>
      <c r="E8" s="10" t="inlineStr">
        <is>
          <t>Duas estruturas de endereço concorrentes: D01.01-IDE-001 e domínio-&gt;área-&gt;subáre — Duas estruturas de endereço concorrentes: D01.01-IDE-001 e domínio-&gt;área-&gt;subárea-&gt;objeto.</t>
        </is>
      </c>
      <c r="F8" s="10" t="inlineStr">
        <is>
          <t>Precedencia conforme regra do EXECUTAR-DOC-PREFILL-001: fonte mais recente e de maior autoridade vence; sem isso, permanece CONFLICT.</t>
        </is>
      </c>
      <c r="G8" s="10" t="b">
        <v>1</v>
      </c>
      <c r="H8" s="10" t="inlineStr">
        <is>
          <t>ABERTO</t>
        </is>
      </c>
    </row>
    <row r="9">
      <c r="A9" s="10" t="inlineStr">
        <is>
          <t>D22-DEC-GOVSPEC-A05</t>
        </is>
      </c>
      <c r="B9" s="10" t="inlineStr">
        <is>
          <t>D06/D07</t>
        </is>
      </c>
      <c r="C9" s="10" t="inlineStr"/>
      <c r="D9" s="10" t="inlineStr"/>
      <c r="E9" s="10" t="inlineStr">
        <is>
          <t>Painel declara 39 peças de conteúdo mas a soma própria resulta em 45-47 incluind — Painel declara 39 peças de conteúdo mas a soma própria resulta em 45-47 incluindo os três ebooks.</t>
        </is>
      </c>
      <c r="F9" s="10" t="inlineStr">
        <is>
          <t>Precedencia conforme regra do EXECUTAR-DOC-PREFILL-001: fonte mais recente e de maior autoridade vence; sem isso, permanece CONFLICT.</t>
        </is>
      </c>
      <c r="G9" s="10" t="b">
        <v>1</v>
      </c>
      <c r="H9" s="10" t="inlineStr">
        <is>
          <t>ABERTO</t>
        </is>
      </c>
    </row>
    <row r="10">
      <c r="A10" s="10" t="inlineStr">
        <is>
          <t>D22-DEC-GOVSPEC-A07</t>
        </is>
      </c>
      <c r="B10" s="10" t="inlineStr">
        <is>
          <t>D06/D07</t>
        </is>
      </c>
      <c r="C10" s="10" t="inlineStr"/>
      <c r="D10" s="10" t="inlineStr"/>
      <c r="E10" s="10" t="inlineStr">
        <is>
          <t>Artigo: 1.900-2.500 palavras num trecho vs 1.800-2.400 noutro. — Artigo: 1.900-2.500 palavras num trecho vs 1.800-2.400 noutro.</t>
        </is>
      </c>
      <c r="F10" s="10" t="inlineStr">
        <is>
          <t>Precedencia conforme regra do EXECUTAR-DOC-PREFILL-001: fonte mais recente e de maior autoridade vence; sem isso, permanece CONFLICT.</t>
        </is>
      </c>
      <c r="G10" s="10" t="b">
        <v>1</v>
      </c>
      <c r="H10" s="10" t="inlineStr">
        <is>
          <t>ABERTO</t>
        </is>
      </c>
    </row>
    <row r="11">
      <c r="A11" s="10" t="inlineStr">
        <is>
          <t>D22-DEC-GOVSPEC-A16</t>
        </is>
      </c>
      <c r="B11" s="10" t="inlineStr">
        <is>
          <t>D06/D07</t>
        </is>
      </c>
      <c r="C11" s="10" t="inlineStr"/>
      <c r="D11" s="10" t="inlineStr"/>
      <c r="E11" s="10" t="inlineStr">
        <is>
          <t>Runbook de 19 tarefas, referência a tarefas 01-22 e outro registro de dez tarefa — Runbook de 19 tarefas, referência a tarefas 01-22 e outro registro de dez tarefas.</t>
        </is>
      </c>
      <c r="F11" s="10" t="inlineStr">
        <is>
          <t>Precedencia conforme regra do EXECUTAR-DOC-PREFILL-001: fonte mais recente e de maior autoridade vence; sem isso, permanece CONFLICT.</t>
        </is>
      </c>
      <c r="G11" s="10" t="b">
        <v>1</v>
      </c>
      <c r="H11" s="10" t="inlineStr">
        <is>
          <t>ABERTO</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3" customWidth="1" min="3" max="3"/>
    <col width="60" customWidth="1" min="4" max="4"/>
  </cols>
  <sheetData>
    <row r="1">
      <c r="A1" s="5" t="inlineStr">
        <is>
          <t>legacy_id</t>
        </is>
      </c>
      <c r="B1" s="5" t="inlineStr">
        <is>
          <t>canonical_id</t>
        </is>
      </c>
      <c r="C1" s="5" t="inlineStr">
        <is>
          <t>object_type</t>
        </is>
      </c>
      <c r="D1" s="5" t="inlineStr">
        <is>
          <t>note</t>
        </is>
      </c>
    </row>
    <row r="2">
      <c r="A2" s="10" t="inlineStr">
        <is>
          <t>D01-DOC-DDE-001</t>
        </is>
      </c>
      <c r="B2" s="10" t="inlineStr">
        <is>
          <t>D01-DOC-DDE-001</t>
        </is>
      </c>
      <c r="C2" s="10" t="inlineStr">
        <is>
          <t>artifact</t>
        </is>
      </c>
      <c r="D2" s="10" t="inlineStr">
        <is>
          <t>ID de origem já em formato canônico; preservado sem alteração.</t>
        </is>
      </c>
    </row>
    <row r="3">
      <c r="A3" s="10" t="inlineStr">
        <is>
          <t>D01-DOC-TAP-001</t>
        </is>
      </c>
      <c r="B3" s="10" t="inlineStr">
        <is>
          <t>D01-DOC-TAP-001</t>
        </is>
      </c>
      <c r="C3" s="10" t="inlineStr">
        <is>
          <t>artifact</t>
        </is>
      </c>
      <c r="D3" s="10" t="inlineStr">
        <is>
          <t>ID de origem já em formato canônico; preservado sem alteração.</t>
        </is>
      </c>
    </row>
    <row r="4">
      <c r="A4" s="10" t="inlineStr">
        <is>
          <t>D01-DOC-MNE-001</t>
        </is>
      </c>
      <c r="B4" s="10" t="inlineStr">
        <is>
          <t>D01-DOC-MNE-001</t>
        </is>
      </c>
      <c r="C4" s="10" t="inlineStr">
        <is>
          <t>artifact</t>
        </is>
      </c>
      <c r="D4" s="10" t="inlineStr">
        <is>
          <t>ID de origem já em formato canônico; preservado sem alteração.</t>
        </is>
      </c>
    </row>
    <row r="5">
      <c r="A5" s="10" t="inlineStr">
        <is>
          <t>D01-DOC-MRE-001</t>
        </is>
      </c>
      <c r="B5" s="10" t="inlineStr">
        <is>
          <t>D01-DOC-MRE-001</t>
        </is>
      </c>
      <c r="C5" s="10" t="inlineStr">
        <is>
          <t>artifact</t>
        </is>
      </c>
      <c r="D5" s="10" t="inlineStr">
        <is>
          <t>ID de origem já em formato canônico; preservado sem alteração.</t>
        </is>
      </c>
    </row>
    <row r="6">
      <c r="A6" s="10" t="inlineStr">
        <is>
          <t>D02-DOC-DGRC-001</t>
        </is>
      </c>
      <c r="B6" s="10" t="inlineStr">
        <is>
          <t>D02-DOC-DGRC-001</t>
        </is>
      </c>
      <c r="C6" s="10" t="inlineStr">
        <is>
          <t>artifact</t>
        </is>
      </c>
      <c r="D6" s="10" t="inlineStr">
        <is>
          <t>ID de origem já em formato canônico; preservado sem alteração.</t>
        </is>
      </c>
    </row>
    <row r="7">
      <c r="A7" s="10" t="inlineStr">
        <is>
          <t>D02-DOC-MRC-001</t>
        </is>
      </c>
      <c r="B7" s="10" t="inlineStr">
        <is>
          <t>D02-DOC-MRC-001</t>
        </is>
      </c>
      <c r="C7" s="10" t="inlineStr">
        <is>
          <t>artifact</t>
        </is>
      </c>
      <c r="D7" s="10" t="inlineStr">
        <is>
          <t>ID de origem já em formato canônico; preservado sem alteração.</t>
        </is>
      </c>
    </row>
    <row r="8">
      <c r="A8" s="10" t="inlineStr">
        <is>
          <t>D02-DOC-PPT-001</t>
        </is>
      </c>
      <c r="B8" s="10" t="inlineStr">
        <is>
          <t>D02-DOC-PPT-001</t>
        </is>
      </c>
      <c r="C8" s="10" t="inlineStr">
        <is>
          <t>artifact</t>
        </is>
      </c>
      <c r="D8" s="10" t="inlineStr">
        <is>
          <t>ID de origem já em formato canônico; preservado sem alteração.</t>
        </is>
      </c>
    </row>
    <row r="9">
      <c r="A9" s="10" t="inlineStr">
        <is>
          <t>D03-DOC-PFO-001</t>
        </is>
      </c>
      <c r="B9" s="10" t="inlineStr">
        <is>
          <t>D03-DOC-PFO-001</t>
        </is>
      </c>
      <c r="C9" s="10" t="inlineStr">
        <is>
          <t>artifact</t>
        </is>
      </c>
      <c r="D9" s="10" t="inlineStr">
        <is>
          <t>ID de origem já em formato canônico; preservado sem alteração.</t>
        </is>
      </c>
    </row>
    <row r="10">
      <c r="A10" s="10" t="inlineStr">
        <is>
          <t>D03-DOC-MFO-001</t>
        </is>
      </c>
      <c r="B10" s="10" t="inlineStr">
        <is>
          <t>D03-DOC-MFO-001</t>
        </is>
      </c>
      <c r="C10" s="10" t="inlineStr">
        <is>
          <t>artifact</t>
        </is>
      </c>
      <c r="D10" s="10" t="inlineStr">
        <is>
          <t>ID de origem já em formato canônico; preservado sem alteração.</t>
        </is>
      </c>
    </row>
    <row r="11">
      <c r="A11" s="10" t="inlineStr">
        <is>
          <t>D04-DOC-PPC-001</t>
        </is>
      </c>
      <c r="B11" s="10" t="inlineStr">
        <is>
          <t>D04-DOC-PPC-001</t>
        </is>
      </c>
      <c r="C11" s="10" t="inlineStr">
        <is>
          <t>artifact</t>
        </is>
      </c>
      <c r="D11" s="10" t="inlineStr">
        <is>
          <t>ID de origem já em formato canônico; preservado sem alteração.</t>
        </is>
      </c>
    </row>
    <row r="12">
      <c r="A12" s="10" t="inlineStr">
        <is>
          <t>D05-DOC-EPGD-001</t>
        </is>
      </c>
      <c r="B12" s="10" t="inlineStr">
        <is>
          <t>D05-DOC-EPGD-001</t>
        </is>
      </c>
      <c r="C12" s="10" t="inlineStr">
        <is>
          <t>artifact</t>
        </is>
      </c>
      <c r="D12" s="10" t="inlineStr">
        <is>
          <t>ID de origem já em formato canônico; preservado sem alteração.</t>
        </is>
      </c>
    </row>
    <row r="13">
      <c r="A13" s="10" t="inlineStr">
        <is>
          <t>D05-DOC-DCM-001</t>
        </is>
      </c>
      <c r="B13" s="10" t="inlineStr">
        <is>
          <t>D05-DOC-DCM-001</t>
        </is>
      </c>
      <c r="C13" s="10" t="inlineStr">
        <is>
          <t>artifact</t>
        </is>
      </c>
      <c r="D13" s="10" t="inlineStr">
        <is>
          <t>ID de origem já em formato canônico; preservado sem alteração.</t>
        </is>
      </c>
    </row>
    <row r="14">
      <c r="A14" s="10" t="inlineStr">
        <is>
          <t>D06-DOC-EGC-001</t>
        </is>
      </c>
      <c r="B14" s="10" t="inlineStr">
        <is>
          <t>D06-DOC-EGC-001</t>
        </is>
      </c>
      <c r="C14" s="10" t="inlineStr">
        <is>
          <t>artifact</t>
        </is>
      </c>
      <c r="D14" s="10" t="inlineStr">
        <is>
          <t>ID de origem já em formato canônico; preservado sem alteração.</t>
        </is>
      </c>
    </row>
    <row r="15">
      <c r="A15" s="10" t="inlineStr">
        <is>
          <t>D06-DOC-RMI-001</t>
        </is>
      </c>
      <c r="B15" s="10" t="inlineStr">
        <is>
          <t>D06-DOC-RMI-001</t>
        </is>
      </c>
      <c r="C15" s="10" t="inlineStr">
        <is>
          <t>artifact</t>
        </is>
      </c>
      <c r="D15" s="10" t="inlineStr">
        <is>
          <t>ID de origem já em formato canônico; preservado sem alteração.</t>
        </is>
      </c>
    </row>
    <row r="16">
      <c r="A16" s="10" t="inlineStr">
        <is>
          <t>D07-DOC-PEX-001</t>
        </is>
      </c>
      <c r="B16" s="10" t="inlineStr">
        <is>
          <t>D07-DOC-PEX-001</t>
        </is>
      </c>
      <c r="C16" s="10" t="inlineStr">
        <is>
          <t>artifact</t>
        </is>
      </c>
      <c r="D16" s="10" t="inlineStr">
        <is>
          <t>ID de origem já em formato canônico; preservado sem alteração.</t>
        </is>
      </c>
    </row>
    <row r="17">
      <c r="A17" s="10" t="inlineStr">
        <is>
          <t>D07-DOC-PIM-001</t>
        </is>
      </c>
      <c r="B17" s="10" t="inlineStr">
        <is>
          <t>D07-DOC-PIM-001</t>
        </is>
      </c>
      <c r="C17" s="10" t="inlineStr">
        <is>
          <t>artifact</t>
        </is>
      </c>
      <c r="D17" s="10" t="inlineStr">
        <is>
          <t>ID de origem já em formato canônico; preservado sem alteração.</t>
        </is>
      </c>
    </row>
    <row r="18">
      <c r="A18" s="10" t="inlineStr">
        <is>
          <t>D08-DOC-MOP-001</t>
        </is>
      </c>
      <c r="B18" s="10" t="inlineStr">
        <is>
          <t>D08-DOC-MOP-001</t>
        </is>
      </c>
      <c r="C18" s="10" t="inlineStr">
        <is>
          <t>artifact</t>
        </is>
      </c>
      <c r="D18" s="10" t="inlineStr">
        <is>
          <t>ID de origem já em formato canônico; preservado sem alteração.</t>
        </is>
      </c>
    </row>
    <row r="19">
      <c r="A19" s="10" t="inlineStr">
        <is>
          <t>D08-DOC-RUN-001</t>
        </is>
      </c>
      <c r="B19" s="10" t="inlineStr">
        <is>
          <t>D08-DOC-RUN-001</t>
        </is>
      </c>
      <c r="C19" s="10" t="inlineStr">
        <is>
          <t>artifact</t>
        </is>
      </c>
      <c r="D19" s="10" t="inlineStr">
        <is>
          <t>ID de origem já em formato canônico; preservado sem alteração.</t>
        </is>
      </c>
    </row>
    <row r="20">
      <c r="A20" s="10" t="inlineStr">
        <is>
          <t>D09-DOC-PPE-001</t>
        </is>
      </c>
      <c r="B20" s="10" t="inlineStr">
        <is>
          <t>D09-DOC-PPE-001</t>
        </is>
      </c>
      <c r="C20" s="10" t="inlineStr">
        <is>
          <t>artifact</t>
        </is>
      </c>
      <c r="D20" s="10" t="inlineStr">
        <is>
          <t>ID de origem já em formato canônico; preservado sem alteração.</t>
        </is>
      </c>
    </row>
    <row r="21">
      <c r="A21" s="10" t="inlineStr">
        <is>
          <t>D09-DOC-DEB-001</t>
        </is>
      </c>
      <c r="B21" s="10" t="inlineStr">
        <is>
          <t>D09-DOC-DEB-001</t>
        </is>
      </c>
      <c r="C21" s="10" t="inlineStr">
        <is>
          <t>artifact</t>
        </is>
      </c>
      <c r="D21" s="10" t="inlineStr">
        <is>
          <t>ID de origem já em formato canônico; preservado sem alteração.</t>
        </is>
      </c>
    </row>
    <row r="22">
      <c r="A22" s="10" t="inlineStr">
        <is>
          <t>D10-DOC-DRP-001</t>
        </is>
      </c>
      <c r="B22" s="10" t="inlineStr">
        <is>
          <t>D10-DOC-DRP-001</t>
        </is>
      </c>
      <c r="C22" s="10" t="inlineStr">
        <is>
          <t>artifact</t>
        </is>
      </c>
      <c r="D22" s="10" t="inlineStr">
        <is>
          <t>ID de origem já em formato canônico; preservado sem alteração.</t>
        </is>
      </c>
    </row>
    <row r="23">
      <c r="A23" s="10" t="inlineStr">
        <is>
          <t>D10-DOC-PRD-001</t>
        </is>
      </c>
      <c r="B23" s="10" t="inlineStr">
        <is>
          <t>D10-DOC-PRD-001</t>
        </is>
      </c>
      <c r="C23" s="10" t="inlineStr">
        <is>
          <t>artifact</t>
        </is>
      </c>
      <c r="D23" s="10" t="inlineStr">
        <is>
          <t>ID de origem já em formato canônico; preservado sem alteração.</t>
        </is>
      </c>
    </row>
    <row r="24">
      <c r="A24" s="10" t="inlineStr">
        <is>
          <t>D11-DOC-EEP-001</t>
        </is>
      </c>
      <c r="B24" s="10" t="inlineStr">
        <is>
          <t>D11-DOC-EEP-001</t>
        </is>
      </c>
      <c r="C24" s="10" t="inlineStr">
        <is>
          <t>artifact</t>
        </is>
      </c>
      <c r="D24" s="10" t="inlineStr">
        <is>
          <t>ID de origem já em formato canônico; preservado sem alteração.</t>
        </is>
      </c>
    </row>
    <row r="25">
      <c r="A25" s="10" t="inlineStr">
        <is>
          <t>D11-DOC-DSI-001</t>
        </is>
      </c>
      <c r="B25" s="10" t="inlineStr">
        <is>
          <t>D11-DOC-DSI-001</t>
        </is>
      </c>
      <c r="C25" s="10" t="inlineStr">
        <is>
          <t>artifact</t>
        </is>
      </c>
      <c r="D25" s="10" t="inlineStr">
        <is>
          <t>ID de origem já em formato canônico; preservado sem alteração.</t>
        </is>
      </c>
    </row>
    <row r="26">
      <c r="A26" s="10" t="inlineStr">
        <is>
          <t>D12-DOC-ETE-001</t>
        </is>
      </c>
      <c r="B26" s="10" t="inlineStr">
        <is>
          <t>D12-DOC-ETE-001</t>
        </is>
      </c>
      <c r="C26" s="10" t="inlineStr">
        <is>
          <t>artifact</t>
        </is>
      </c>
      <c r="D26" s="10" t="inlineStr">
        <is>
          <t>ID de origem já em formato canônico; preservado sem alteração.</t>
        </is>
      </c>
    </row>
    <row r="27">
      <c r="A27" s="10" t="inlineStr">
        <is>
          <t>D13-DOC-DRM-001</t>
        </is>
      </c>
      <c r="B27" s="10" t="inlineStr">
        <is>
          <t>D13-DOC-DRM-001</t>
        </is>
      </c>
      <c r="C27" s="10" t="inlineStr">
        <is>
          <t>artifact</t>
        </is>
      </c>
      <c r="D27" s="10" t="inlineStr">
        <is>
          <t>ID de origem já em formato canônico; preservado sem alteração.</t>
        </is>
      </c>
    </row>
    <row r="28">
      <c r="A28" s="10" t="inlineStr">
        <is>
          <t>D13-DOC-GTM-001</t>
        </is>
      </c>
      <c r="B28" s="10" t="inlineStr">
        <is>
          <t>D13-DOC-GTM-001</t>
        </is>
      </c>
      <c r="C28" s="10" t="inlineStr">
        <is>
          <t>artifact</t>
        </is>
      </c>
      <c r="D28" s="10" t="inlineStr">
        <is>
          <t>ID de origem já em formato canônico; preservado sem alteração.</t>
        </is>
      </c>
    </row>
    <row r="29">
      <c r="A29" s="10" t="inlineStr">
        <is>
          <t>D14-DOC-PCV-001</t>
        </is>
      </c>
      <c r="B29" s="10" t="inlineStr">
        <is>
          <t>D14-DOC-PCV-001</t>
        </is>
      </c>
      <c r="C29" s="10" t="inlineStr">
        <is>
          <t>artifact</t>
        </is>
      </c>
      <c r="D29" s="10" t="inlineStr">
        <is>
          <t>ID de origem já em formato canônico; preservado sem alteração.</t>
        </is>
      </c>
    </row>
    <row r="30">
      <c r="A30" s="10" t="inlineStr">
        <is>
          <t>D15-DOC-PASC-001</t>
        </is>
      </c>
      <c r="B30" s="10" t="inlineStr">
        <is>
          <t>D15-DOC-PASC-001</t>
        </is>
      </c>
      <c r="C30" s="10" t="inlineStr">
        <is>
          <t>artifact</t>
        </is>
      </c>
      <c r="D30" s="10" t="inlineStr">
        <is>
          <t>ID de origem já em formato canônico; preservado sem alteração.</t>
        </is>
      </c>
    </row>
    <row r="31">
      <c r="A31" s="10" t="inlineStr">
        <is>
          <t>D16-DOC-PEM-001</t>
        </is>
      </c>
      <c r="B31" s="10" t="inlineStr">
        <is>
          <t>D16-DOC-PEM-001</t>
        </is>
      </c>
      <c r="C31" s="10" t="inlineStr">
        <is>
          <t>artifact</t>
        </is>
      </c>
      <c r="D31" s="10" t="inlineStr">
        <is>
          <t>ID de origem já em formato canônico; preservado sem alteração.</t>
        </is>
      </c>
    </row>
    <row r="32">
      <c r="A32" s="10" t="inlineStr">
        <is>
          <t>D17-DOC-PEP-001</t>
        </is>
      </c>
      <c r="B32" s="10" t="inlineStr">
        <is>
          <t>D17-DOC-PEP-001</t>
        </is>
      </c>
      <c r="C32" s="10" t="inlineStr">
        <is>
          <t>artifact</t>
        </is>
      </c>
      <c r="D32" s="10" t="inlineStr">
        <is>
          <t>ID de origem já em formato canônico; preservado sem alteração.</t>
        </is>
      </c>
    </row>
    <row r="33">
      <c r="A33" s="10" t="inlineStr">
        <is>
          <t>D18-DOC-PCE-001</t>
        </is>
      </c>
      <c r="B33" s="10" t="inlineStr">
        <is>
          <t>D18-DOC-PCE-001</t>
        </is>
      </c>
      <c r="C33" s="10" t="inlineStr">
        <is>
          <t>artifact</t>
        </is>
      </c>
      <c r="D33" s="10" t="inlineStr">
        <is>
          <t>ID de origem já em formato canônico; preservado sem alteração.</t>
        </is>
      </c>
    </row>
    <row r="34">
      <c r="A34" s="10" t="inlineStr">
        <is>
          <t>D19-DOC-PAC-001</t>
        </is>
      </c>
      <c r="B34" s="10" t="inlineStr">
        <is>
          <t>D19-DOC-PAC-001</t>
        </is>
      </c>
      <c r="C34" s="10" t="inlineStr">
        <is>
          <t>artifact</t>
        </is>
      </c>
      <c r="D34" s="10" t="inlineStr">
        <is>
          <t>ID de origem já em formato canônico; preservado sem alteração.</t>
        </is>
      </c>
    </row>
    <row r="35">
      <c r="A35" s="10" t="inlineStr">
        <is>
          <t>D20-DOC-PPR-001</t>
        </is>
      </c>
      <c r="B35" s="10" t="inlineStr">
        <is>
          <t>D20-DOC-PPR-001</t>
        </is>
      </c>
      <c r="C35" s="10" t="inlineStr">
        <is>
          <t>artifact</t>
        </is>
      </c>
      <c r="D35" s="10" t="inlineStr">
        <is>
          <t>ID de origem já em formato canônico; preservado sem alteração.</t>
        </is>
      </c>
    </row>
    <row r="36">
      <c r="A36" s="10" t="inlineStr">
        <is>
          <t>D21-DOC-PWB-001</t>
        </is>
      </c>
      <c r="B36" s="10" t="inlineStr">
        <is>
          <t>D21-DOC-PWB-001</t>
        </is>
      </c>
      <c r="C36" s="10" t="inlineStr">
        <is>
          <t>artifact</t>
        </is>
      </c>
      <c r="D36" s="10" t="inlineStr">
        <is>
          <t>ID de origem já em formato canônico; preservado sem alteração.</t>
        </is>
      </c>
    </row>
    <row r="37">
      <c r="A37" s="10" t="inlineStr">
        <is>
          <t>D22-DOC-DRL-001</t>
        </is>
      </c>
      <c r="B37" s="10" t="inlineStr">
        <is>
          <t>D22-DOC-DRL-001</t>
        </is>
      </c>
      <c r="C37" s="10" t="inlineStr">
        <is>
          <t>artifact</t>
        </is>
      </c>
      <c r="D37" s="10" t="inlineStr">
        <is>
          <t>ID de origem já em formato canônico; preservado sem alteração.</t>
        </is>
      </c>
    </row>
    <row r="38">
      <c r="A38" s="10" t="inlineStr">
        <is>
          <t>D23-DOC-PBL-001</t>
        </is>
      </c>
      <c r="B38" s="10" t="inlineStr">
        <is>
          <t>D23-DOC-PBL-001</t>
        </is>
      </c>
      <c r="C38" s="10" t="inlineStr">
        <is>
          <t>artifact</t>
        </is>
      </c>
      <c r="D38" s="10" t="inlineStr">
        <is>
          <t>ID de origem já em formato canônico; preservado sem alteração.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60" customWidth="1" min="3" max="3"/>
  </cols>
  <sheetData>
    <row r="1">
      <c r="A1" s="5" t="inlineStr">
        <is>
          <t>source_id</t>
        </is>
      </c>
      <c r="B1" s="5" t="inlineStr">
        <is>
          <t>name</t>
        </is>
      </c>
      <c r="C1" s="5" t="inlineStr">
        <is>
          <t>role</t>
        </is>
      </c>
    </row>
    <row r="2">
      <c r="A2" s="10" t="inlineStr">
        <is>
          <t>SRC-01</t>
        </is>
      </c>
      <c r="B2" s="10" t="inlineStr">
        <is>
          <t>EXECUTAR_projetosaasentrypoint_EXPANDIDO.xlsx</t>
        </is>
      </c>
      <c r="C2" s="10" t="inlineStr">
        <is>
          <t>UX/structure reference (Release 1 baseline)</t>
        </is>
      </c>
    </row>
    <row r="3">
      <c r="A3" s="10" t="inlineStr">
        <is>
          <t>SRC-02</t>
        </is>
      </c>
      <c r="B3" s="10" t="inlineStr">
        <is>
          <t>EXECUTAR_CHECKLIST_D01-D23_GRANULAR.yaml</t>
        </is>
      </c>
      <c r="C3" s="10" t="inlineStr">
        <is>
          <t>Structured corpus: 23 domains, 37 deliverables, 1125 fields</t>
        </is>
      </c>
    </row>
    <row r="4">
      <c r="A4" s="10" t="inlineStr">
        <is>
          <t>SRC-03</t>
        </is>
      </c>
      <c r="B4" s="10" t="inlineStr">
        <is>
          <t>Progama_Master_index.docx</t>
        </is>
      </c>
      <c r="C4" s="10" t="inlineStr">
        <is>
          <t>PM lifecycle taxonomy (D0+D01-D23 x PM01-13), corroborates domain list</t>
        </is>
      </c>
    </row>
    <row r="5">
      <c r="A5" s="10" t="inlineStr">
        <is>
          <t>SRC-04</t>
        </is>
      </c>
      <c r="B5" s="10" t="inlineStr">
        <is>
          <t>ecossistema_operacional.yaml</t>
        </is>
      </c>
      <c r="C5" s="10" t="inlineStr">
        <is>
          <t>Portfolio (Mxx), macroarea candidate list, PM lifecycle phases, area folder names</t>
        </is>
      </c>
    </row>
    <row r="6">
      <c r="A6" s="10" t="inlineStr">
        <is>
          <t>SRC-05</t>
        </is>
      </c>
      <c r="B6" s="10" t="inlineStr">
        <is>
          <t>GOV-SPEC-20260907-001</t>
        </is>
      </c>
      <c r="C6" s="10" t="inlineStr">
        <is>
          <t>Upstream governance spec cited inside granular checklist (blocks B01,B02,B04,B07,B08,B09 read in full per prefill_limitations)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2026-09-23T12:57:38Z</dcterms:created>
  <dcterms:modified xmlns:dcterms="http://purl.org/dc/terms/" xmlns:xsi="http://www.w3.org/2001/XMLSchema-instance" xsi:type="dcterms:W3CDTF">2026-09-23T12:57:39Z</dcterms:modified>
</cp:coreProperties>
</file>